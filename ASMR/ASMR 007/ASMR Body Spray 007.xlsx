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ousif's PC\Desktop\Ai Projects\Perfume\ASMR\Perfume 007\"/>
    </mc:Choice>
  </mc:AlternateContent>
  <xr:revisionPtr revIDLastSave="0" documentId="13_ncr:1_{2029D751-7551-4297-8E40-326F3B1850A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cipe" sheetId="1" r:id="rId1"/>
    <sheet name="Inventory &amp; Links" sheetId="2" r:id="rId2"/>
    <sheet name="Step-by-Ste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" l="1"/>
  <c r="G5" i="2"/>
  <c r="D15" i="1"/>
  <c r="B15" i="1"/>
  <c r="C15" i="1" s="1"/>
  <c r="E15" i="1" s="1"/>
  <c r="D14" i="1"/>
  <c r="B14" i="1"/>
  <c r="B16" i="1" l="1"/>
  <c r="C14" i="1"/>
  <c r="C16" i="1" l="1"/>
  <c r="E14" i="1"/>
  <c r="E16" i="1" s="1"/>
  <c r="B20" i="1" s="1"/>
  <c r="B21" i="1" s="1"/>
  <c r="B22" i="1" s="1"/>
</calcChain>
</file>

<file path=xl/sharedStrings.xml><?xml version="1.0" encoding="utf-8"?>
<sst xmlns="http://schemas.openxmlformats.org/spreadsheetml/2006/main" count="84" uniqueCount="83">
  <si>
    <t>ASMR Body Spray 007</t>
  </si>
  <si>
    <t>Alcohol body spray, default 100 g at 5% fragrance.</t>
  </si>
  <si>
    <t>1 · LIVE ASSUMPTIONS</t>
  </si>
  <si>
    <t>Batch size (g)</t>
  </si>
  <si>
    <t>Fragrance %</t>
  </si>
  <si>
    <t>Alcohol %</t>
  </si>
  <si>
    <t>Concentrate cost/g</t>
  </si>
  <si>
    <t>Alcohol cost/g</t>
  </si>
  <si>
    <t>2 · FORMULA</t>
  </si>
  <si>
    <t>Component</t>
  </si>
  <si>
    <t>Percent</t>
  </si>
  <si>
    <t>Grams</t>
  </si>
  <si>
    <t>Cost/g</t>
  </si>
  <si>
    <t>Cost</t>
  </si>
  <si>
    <t>How to use this material</t>
  </si>
  <si>
    <t>Perfume concentrate</t>
  </si>
  <si>
    <t>Finished concentrate from the main suite. Weigh it first into the beaker; do not rebuild the perfume formula here.</t>
  </si>
  <si>
    <t>Alcohol 190 proof SDA 40B</t>
  </si>
  <si>
    <t>Add slowly in portions while stirring. Alcohol carries the spray and self-preserves the product. Never use SDA 39C.</t>
  </si>
  <si>
    <t>TOTAL</t>
  </si>
  <si>
    <t>Must equal the batch size. If you change fragrance %, alcohol automatically balances.</t>
  </si>
  <si>
    <t>3 · COST</t>
  </si>
  <si>
    <t>Total batch cost</t>
  </si>
  <si>
    <t>Cost per gram</t>
  </si>
  <si>
    <t>Cost per 100 ml approx.</t>
  </si>
  <si>
    <t>Product Materials, Prices &amp; Links</t>
  </si>
  <si>
    <t>Only the materials used in this product are listed here. Perfume concentrate is treated as one finished input.</t>
  </si>
  <si>
    <t>Material</t>
  </si>
  <si>
    <t>Role</t>
  </si>
  <si>
    <t>Pack</t>
  </si>
  <si>
    <t>Unit</t>
  </si>
  <si>
    <t>Price/pack</t>
  </si>
  <si>
    <t>Density</t>
  </si>
  <si>
    <t>SAR/g</t>
  </si>
  <si>
    <t>Supplier</t>
  </si>
  <si>
    <t>Link</t>
  </si>
  <si>
    <t>How to use it</t>
  </si>
  <si>
    <t>Storage / safety</t>
  </si>
  <si>
    <t>ASMR perfume concentrate</t>
  </si>
  <si>
    <t>Fragrance</t>
  </si>
  <si>
    <t>g</t>
  </si>
  <si>
    <t>Internal</t>
  </si>
  <si>
    <t>internal</t>
  </si>
  <si>
    <t>Weigh as finished concentrate. Do not rebuild the full perfume formula inside this product file.</t>
  </si>
  <si>
    <t>Amber glass, tightly closed, cool dark cabinet.</t>
  </si>
  <si>
    <t>Diluent / carrier</t>
  </si>
  <si>
    <t>ml</t>
  </si>
  <si>
    <t>iterji.com</t>
  </si>
  <si>
    <t>open</t>
  </si>
  <si>
    <t>Use only SDA 40B. Add slowly to concentrate while stirring; keep away from flame.</t>
  </si>
  <si>
    <t>Flammable. Keep capped, ventilated, away from heat.</t>
  </si>
  <si>
    <t>Detailed Preparation Method</t>
  </si>
  <si>
    <t>Weigh in grams, keep batch records, patch-test before use.</t>
  </si>
  <si>
    <t>Step</t>
  </si>
  <si>
    <t>Action</t>
  </si>
  <si>
    <t>Detail</t>
  </si>
  <si>
    <t>1</t>
  </si>
  <si>
    <t>Prepare the bench</t>
  </si>
  <si>
    <t>Work in ventilation, away from flame or hot tools. Wear gloves. Clean the scale, beaker, stir rod, funnel, and spray bottle with alcohol and let them dry.</t>
  </si>
  <si>
    <t>2</t>
  </si>
  <si>
    <t>Tare and weigh concentrate</t>
  </si>
  <si>
    <t>Place a clean glass beaker on the scale and tare to zero. Weigh the exact perfume concentrate grams from the Recipe sheet. Do not count drops.</t>
  </si>
  <si>
    <t>3</t>
  </si>
  <si>
    <t>Pre-mix the concentrate</t>
  </si>
  <si>
    <t>Stir the concentrate for 30-60 seconds. If it contains any visible crystals or haze, warm the closed concentrate bottle gently in a warm-water bath, then stir again.</t>
  </si>
  <si>
    <t>4</t>
  </si>
  <si>
    <t>Add alcohol in portions</t>
  </si>
  <si>
    <t>Weigh SDA 40B alcohol in 3-4 small additions. Stir after each addition so the perfume concentrate opens into the alcohol evenly. Never use SDA 39C.</t>
  </si>
  <si>
    <t>5</t>
  </si>
  <si>
    <t>Clarity check</t>
  </si>
  <si>
    <t>The liquid should be clear or lightly opalescent. If cloudy, cap the beaker or bottle and rest 12-24 hours, then check again before filtering.</t>
  </si>
  <si>
    <t>6</t>
  </si>
  <si>
    <t>Bottle</t>
  </si>
  <si>
    <t>Use a funnel or pipette to transfer into the spray bottle. Leave headspace so the pump can work. Cap immediately to reduce alcohol loss.</t>
  </si>
  <si>
    <t>7</t>
  </si>
  <si>
    <t>Rest / macerate</t>
  </si>
  <si>
    <t>Minimum rest is 48 hours. Better: 1-2 weeks in a cool dark place. Shake gently once per day for the first 3 days.</t>
  </si>
  <si>
    <t>8</t>
  </si>
  <si>
    <t>Label and record</t>
  </si>
  <si>
    <t>Label product name, body spray strength, batch ID, date, grams made, and alcohol warning. Record the batch before use or gifting.</t>
  </si>
  <si>
    <t>9</t>
  </si>
  <si>
    <t>Use guidance</t>
  </si>
  <si>
    <t>Spray on clothes or body from distance. Avoid eyes, broken skin, heat, flame, and children. Patch-test first.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</si>
</sst>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&quot; g&quot;"/>
    <numFmt numFmtId="165" formatCode="0.0%"/>
    <numFmt numFmtId="166" formatCode="&quot;SAR &quot;#,##0.00"/>
  </numFmts>
  <fonts count="9" x14ac:knownFonts="1">
    <font>
      <sz val="11"/>
      <color theme="1"/>
      <name val="Calibri"/>
      <family val="2"/>
      <scheme val="minor"/>
    </font>
    <font>
      <b/>
      <sz val="18"/>
      <color rgb="FF404040"/>
      <name val="Arial"/>
    </font>
    <font>
      <i/>
      <sz val="10"/>
      <color rgb="FF666666"/>
      <name val="Arial"/>
    </font>
    <font>
      <b/>
      <sz val="9"/>
      <color rgb="FFFFFFFF"/>
      <name val="Arial"/>
    </font>
    <font>
      <b/>
      <sz val="9"/>
      <color rgb="FF404040"/>
      <name val="Arial"/>
    </font>
    <font>
      <b/>
      <sz val="9"/>
      <color rgb="FF1F4E79"/>
      <name val="Arial"/>
    </font>
    <font>
      <sz val="9"/>
      <color rgb="FF404040"/>
      <name val="Arial"/>
    </font>
    <font>
      <sz val="8"/>
      <color rgb="FF666666"/>
      <name val="Arial"/>
    </font>
    <font>
      <u/>
      <sz val="8"/>
      <color rgb="FF1155CC"/>
      <name val="Arial"/>
    </font>
  </fonts>
  <fills count="7">
    <fill>
      <patternFill patternType="none"/>
    </fill>
    <fill>
      <patternFill patternType="gray125"/>
    </fill>
    <fill>
      <patternFill patternType="solid">
        <fgColor rgb="FFC9A961"/>
      </patternFill>
    </fill>
    <fill>
      <patternFill patternType="solid">
        <fgColor rgb="FFFFF8D8"/>
      </patternFill>
    </fill>
    <fill>
      <patternFill patternType="solid">
        <fgColor rgb="FF2F2F2F"/>
      </patternFill>
    </fill>
    <fill>
      <patternFill patternType="solid">
        <fgColor rgb="FFEBDFC6"/>
      </patternFill>
    </fill>
    <fill>
      <patternFill patternType="solid">
        <fgColor rgb="FFF3EBDD"/>
      </patternFill>
    </fill>
  </fills>
  <borders count="3">
    <border>
      <left/>
      <right/>
      <top/>
      <bottom/>
      <diagonal/>
    </border>
    <border>
      <left style="thin">
        <color rgb="FFD9D0BD"/>
      </left>
      <right style="thin">
        <color rgb="FFD9D0BD"/>
      </right>
      <top style="thin">
        <color rgb="FFD9D0BD"/>
      </top>
      <bottom style="thin">
        <color rgb="FFD9D0BD"/>
      </bottom>
      <diagonal/>
    </border>
    <border>
      <left style="thin">
        <color rgb="FFC9A961"/>
      </left>
      <right style="thin">
        <color rgb="FFC9A961"/>
      </right>
      <top style="thin">
        <color rgb="FFC9A961"/>
      </top>
      <bottom style="thin">
        <color rgb="FFC9A96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164" fontId="5" fillId="3" borderId="2" xfId="0" applyNumberFormat="1" applyFont="1" applyFill="1" applyBorder="1" applyAlignment="1" applyProtection="1">
      <alignment horizontal="center" vertical="center"/>
      <protection locked="0"/>
    </xf>
    <xf numFmtId="165" fontId="5" fillId="3" borderId="2" xfId="0" applyNumberFormat="1" applyFont="1" applyFill="1" applyBorder="1" applyAlignment="1" applyProtection="1">
      <alignment horizontal="center" vertical="center"/>
      <protection locked="0"/>
    </xf>
    <xf numFmtId="166" fontId="5" fillId="3" borderId="2" xfId="0" applyNumberFormat="1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left" vertical="center" wrapText="1"/>
      <protection locked="0"/>
    </xf>
    <xf numFmtId="165" fontId="6" fillId="0" borderId="1" xfId="0" applyNumberFormat="1" applyFont="1" applyBorder="1" applyAlignment="1" applyProtection="1">
      <alignment horizontal="center" vertical="center" wrapText="1"/>
      <protection locked="0"/>
    </xf>
    <xf numFmtId="164" fontId="6" fillId="0" borderId="1" xfId="0" applyNumberFormat="1" applyFont="1" applyBorder="1" applyAlignment="1" applyProtection="1">
      <alignment horizontal="center" vertical="center" wrapText="1"/>
      <protection locked="0"/>
    </xf>
    <xf numFmtId="166" fontId="6" fillId="0" borderId="1" xfId="0" applyNumberFormat="1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165" fontId="4" fillId="0" borderId="1" xfId="0" applyNumberFormat="1" applyFont="1" applyBorder="1" applyAlignment="1" applyProtection="1">
      <alignment horizontal="center" vertical="center" wrapText="1"/>
      <protection locked="0"/>
    </xf>
    <xf numFmtId="164" fontId="4" fillId="0" borderId="1" xfId="0" applyNumberFormat="1" applyFont="1" applyBorder="1" applyAlignment="1" applyProtection="1">
      <alignment horizontal="center" vertical="center" wrapText="1"/>
      <protection locked="0"/>
    </xf>
    <xf numFmtId="166" fontId="4" fillId="0" borderId="1" xfId="0" applyNumberFormat="1" applyFont="1" applyBorder="1" applyAlignment="1" applyProtection="1">
      <alignment horizontal="center" vertical="center" wrapText="1"/>
      <protection locked="0"/>
    </xf>
    <xf numFmtId="166" fontId="4" fillId="5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2" fontId="6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4" fillId="6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iterji.com/perfumery-ingredients/other-ingredients/alcohol-190-proof-sda-40b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tabSelected="1"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28" customWidth="1"/>
    <col min="2" max="3" width="13" customWidth="1"/>
    <col min="4" max="4" width="16" customWidth="1"/>
    <col min="5" max="5" width="15" customWidth="1"/>
    <col min="6" max="6" width="58" customWidth="1"/>
    <col min="7" max="8" width="18" customWidth="1"/>
  </cols>
  <sheetData>
    <row r="1" spans="1:8" ht="28" customHeight="1" x14ac:dyDescent="0.35">
      <c r="A1" s="27" t="s">
        <v>0</v>
      </c>
      <c r="B1" s="25"/>
      <c r="C1" s="25"/>
      <c r="D1" s="25"/>
      <c r="E1" s="25"/>
      <c r="F1" s="25"/>
      <c r="G1" s="25"/>
      <c r="H1" s="25"/>
    </row>
    <row r="2" spans="1:8" x14ac:dyDescent="0.35">
      <c r="A2" s="26" t="s">
        <v>1</v>
      </c>
      <c r="B2" s="25"/>
      <c r="C2" s="25"/>
      <c r="D2" s="25"/>
      <c r="E2" s="25"/>
      <c r="F2" s="25"/>
      <c r="G2" s="25"/>
      <c r="H2" s="25"/>
    </row>
    <row r="3" spans="1:8" x14ac:dyDescent="0.35">
      <c r="A3" s="1"/>
      <c r="B3" s="1"/>
      <c r="C3" s="1"/>
      <c r="D3" s="1"/>
      <c r="E3" s="1"/>
      <c r="F3" s="1"/>
      <c r="G3" s="1"/>
      <c r="H3" s="1"/>
    </row>
    <row r="4" spans="1:8" x14ac:dyDescent="0.35">
      <c r="A4" s="24" t="s">
        <v>2</v>
      </c>
      <c r="B4" s="25"/>
      <c r="C4" s="25"/>
      <c r="D4" s="25"/>
      <c r="E4" s="25"/>
      <c r="F4" s="25"/>
      <c r="G4" s="25"/>
      <c r="H4" s="25"/>
    </row>
    <row r="5" spans="1:8" x14ac:dyDescent="0.35">
      <c r="A5" s="2" t="s">
        <v>3</v>
      </c>
      <c r="B5" s="3">
        <v>100</v>
      </c>
      <c r="C5" s="1"/>
      <c r="D5" s="1"/>
      <c r="E5" s="1"/>
      <c r="F5" s="1"/>
      <c r="G5" s="1"/>
      <c r="H5" s="1"/>
    </row>
    <row r="6" spans="1:8" x14ac:dyDescent="0.35">
      <c r="A6" s="2" t="s">
        <v>4</v>
      </c>
      <c r="B6" s="4">
        <v>0.05</v>
      </c>
      <c r="C6" s="1"/>
      <c r="D6" s="1"/>
      <c r="E6" s="1"/>
      <c r="F6" s="1"/>
      <c r="G6" s="1"/>
      <c r="H6" s="1"/>
    </row>
    <row r="7" spans="1:8" x14ac:dyDescent="0.35">
      <c r="A7" s="2" t="s">
        <v>5</v>
      </c>
      <c r="B7" s="4">
        <v>0.95</v>
      </c>
      <c r="C7" s="1"/>
      <c r="D7" s="1"/>
      <c r="E7" s="1"/>
      <c r="F7" s="1"/>
      <c r="G7" s="1"/>
      <c r="H7" s="1"/>
    </row>
    <row r="8" spans="1:8" x14ac:dyDescent="0.35">
      <c r="A8" s="2" t="s">
        <v>6</v>
      </c>
      <c r="B8" s="5">
        <v>6.2870944697001452</v>
      </c>
      <c r="C8" s="1"/>
      <c r="D8" s="1"/>
      <c r="E8" s="1"/>
      <c r="F8" s="1"/>
      <c r="G8" s="1"/>
      <c r="H8" s="1"/>
    </row>
    <row r="9" spans="1:8" x14ac:dyDescent="0.35">
      <c r="A9" s="2" t="s">
        <v>7</v>
      </c>
      <c r="B9" s="5">
        <v>0.1852</v>
      </c>
      <c r="C9" s="1"/>
      <c r="D9" s="1"/>
      <c r="E9" s="1"/>
      <c r="F9" s="1"/>
      <c r="G9" s="1"/>
      <c r="H9" s="1"/>
    </row>
    <row r="10" spans="1:8" x14ac:dyDescent="0.35">
      <c r="A10" s="1"/>
      <c r="B10" s="1"/>
      <c r="C10" s="1"/>
      <c r="D10" s="1"/>
      <c r="E10" s="1"/>
      <c r="F10" s="1"/>
      <c r="G10" s="1"/>
      <c r="H10" s="1"/>
    </row>
    <row r="11" spans="1:8" x14ac:dyDescent="0.35">
      <c r="A11" s="1"/>
      <c r="B11" s="1"/>
      <c r="C11" s="1"/>
      <c r="D11" s="1"/>
      <c r="E11" s="1"/>
      <c r="F11" s="1"/>
      <c r="G11" s="1"/>
      <c r="H11" s="1"/>
    </row>
    <row r="12" spans="1:8" x14ac:dyDescent="0.35">
      <c r="A12" s="24" t="s">
        <v>8</v>
      </c>
      <c r="B12" s="25"/>
      <c r="C12" s="25"/>
      <c r="D12" s="25"/>
      <c r="E12" s="25"/>
      <c r="F12" s="25"/>
      <c r="G12" s="25"/>
      <c r="H12" s="25"/>
    </row>
    <row r="13" spans="1:8" x14ac:dyDescent="0.35">
      <c r="A13" s="6" t="s">
        <v>9</v>
      </c>
      <c r="B13" s="6" t="s">
        <v>10</v>
      </c>
      <c r="C13" s="6" t="s">
        <v>11</v>
      </c>
      <c r="D13" s="6" t="s">
        <v>12</v>
      </c>
      <c r="E13" s="6" t="s">
        <v>13</v>
      </c>
      <c r="F13" s="6" t="s">
        <v>14</v>
      </c>
      <c r="G13" s="1"/>
      <c r="H13" s="1"/>
    </row>
    <row r="14" spans="1:8" ht="23" x14ac:dyDescent="0.35">
      <c r="A14" s="7" t="s">
        <v>15</v>
      </c>
      <c r="B14" s="8">
        <f>B6</f>
        <v>0.05</v>
      </c>
      <c r="C14" s="9">
        <f>B5*B14</f>
        <v>5</v>
      </c>
      <c r="D14" s="10">
        <f>B8</f>
        <v>6.2870944697001452</v>
      </c>
      <c r="E14" s="10">
        <f>C14*D14</f>
        <v>31.435472348500724</v>
      </c>
      <c r="F14" s="7" t="s">
        <v>16</v>
      </c>
      <c r="G14" s="1"/>
      <c r="H14" s="1"/>
    </row>
    <row r="15" spans="1:8" ht="23" x14ac:dyDescent="0.35">
      <c r="A15" s="7" t="s">
        <v>17</v>
      </c>
      <c r="B15" s="8">
        <f>B7</f>
        <v>0.95</v>
      </c>
      <c r="C15" s="9">
        <f>B5*B15</f>
        <v>95</v>
      </c>
      <c r="D15" s="10">
        <f>B9</f>
        <v>0.1852</v>
      </c>
      <c r="E15" s="10">
        <f>C15*D15</f>
        <v>17.594000000000001</v>
      </c>
      <c r="F15" s="7" t="s">
        <v>18</v>
      </c>
      <c r="G15" s="1"/>
      <c r="H15" s="1"/>
    </row>
    <row r="16" spans="1:8" ht="23" x14ac:dyDescent="0.35">
      <c r="A16" s="11" t="s">
        <v>19</v>
      </c>
      <c r="B16" s="12">
        <f>SUM(B14:B15)</f>
        <v>1</v>
      </c>
      <c r="C16" s="13">
        <f>SUM(C14:C15)</f>
        <v>100</v>
      </c>
      <c r="D16" s="14"/>
      <c r="E16" s="14">
        <f>SUM(E14:E15)</f>
        <v>49.029472348500725</v>
      </c>
      <c r="F16" s="11" t="s">
        <v>20</v>
      </c>
      <c r="G16" s="1"/>
      <c r="H16" s="1"/>
    </row>
    <row r="17" spans="1:8" x14ac:dyDescent="0.35">
      <c r="A17" s="1"/>
      <c r="B17" s="1"/>
      <c r="C17" s="1"/>
      <c r="D17" s="1"/>
      <c r="E17" s="1"/>
      <c r="F17" s="1"/>
      <c r="G17" s="1"/>
      <c r="H17" s="1"/>
    </row>
    <row r="18" spans="1:8" x14ac:dyDescent="0.35">
      <c r="A18" s="1"/>
      <c r="B18" s="1"/>
      <c r="C18" s="1"/>
      <c r="D18" s="1"/>
      <c r="E18" s="1"/>
      <c r="F18" s="1"/>
      <c r="G18" s="1"/>
      <c r="H18" s="1"/>
    </row>
    <row r="19" spans="1:8" x14ac:dyDescent="0.35">
      <c r="A19" s="24" t="s">
        <v>21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" t="s">
        <v>22</v>
      </c>
      <c r="B20" s="15">
        <f>E16</f>
        <v>49.029472348500725</v>
      </c>
      <c r="C20" s="1"/>
      <c r="D20" s="1"/>
      <c r="E20" s="1"/>
      <c r="F20" s="1"/>
      <c r="G20" s="1"/>
      <c r="H20" s="1"/>
    </row>
    <row r="21" spans="1:8" x14ac:dyDescent="0.35">
      <c r="A21" s="2" t="s">
        <v>23</v>
      </c>
      <c r="B21" s="15">
        <f>B20/B5</f>
        <v>0.49029472348500724</v>
      </c>
      <c r="C21" s="1"/>
      <c r="D21" s="1"/>
      <c r="E21" s="1"/>
      <c r="F21" s="1"/>
      <c r="G21" s="1"/>
      <c r="H21" s="1"/>
    </row>
    <row r="22" spans="1:8" x14ac:dyDescent="0.35">
      <c r="A22" s="2" t="s">
        <v>24</v>
      </c>
      <c r="B22" s="15">
        <f>B21*100*0.87</f>
        <v>42.655640943195628</v>
      </c>
      <c r="C22" s="1"/>
      <c r="D22" s="1"/>
      <c r="E22" s="1"/>
      <c r="F22" s="1"/>
      <c r="G22" s="1"/>
      <c r="H22" s="1"/>
    </row>
  </sheetData>
  <mergeCells count="5">
    <mergeCell ref="A12:H12"/>
    <mergeCell ref="A4:H4"/>
    <mergeCell ref="A2:H2"/>
    <mergeCell ref="A19:H1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28" customWidth="1"/>
    <col min="2" max="2" width="18" customWidth="1"/>
    <col min="3" max="3" width="8" customWidth="1"/>
    <col min="4" max="4" width="7" customWidth="1"/>
    <col min="5" max="5" width="11" customWidth="1"/>
    <col min="6" max="6" width="9" customWidth="1"/>
    <col min="7" max="7" width="11" customWidth="1"/>
    <col min="8" max="8" width="22" customWidth="1"/>
    <col min="9" max="9" width="16" customWidth="1"/>
    <col min="10" max="10" width="42" customWidth="1"/>
    <col min="11" max="11" width="34" customWidth="1"/>
  </cols>
  <sheetData>
    <row r="1" spans="1:11" ht="28" customHeight="1" x14ac:dyDescent="0.35">
      <c r="A1" s="27" t="s">
        <v>25</v>
      </c>
      <c r="B1" s="25"/>
      <c r="C1" s="25"/>
      <c r="D1" s="25"/>
      <c r="E1" s="25"/>
      <c r="F1" s="25"/>
      <c r="G1" s="25"/>
      <c r="H1" s="25"/>
      <c r="I1" s="1"/>
      <c r="J1" s="1"/>
      <c r="K1" s="1"/>
    </row>
    <row r="2" spans="1:11" x14ac:dyDescent="0.35">
      <c r="A2" s="26" t="s">
        <v>26</v>
      </c>
      <c r="B2" s="25"/>
      <c r="C2" s="25"/>
      <c r="D2" s="25"/>
      <c r="E2" s="25"/>
      <c r="F2" s="25"/>
      <c r="G2" s="25"/>
      <c r="H2" s="25"/>
      <c r="I2" s="1"/>
      <c r="J2" s="1"/>
      <c r="K2" s="1"/>
    </row>
    <row r="3" spans="1:1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5">
      <c r="A4" s="6" t="s">
        <v>27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35</v>
      </c>
      <c r="J4" s="6" t="s">
        <v>36</v>
      </c>
      <c r="K4" s="6" t="s">
        <v>37</v>
      </c>
    </row>
    <row r="5" spans="1:11" ht="44" customHeight="1" x14ac:dyDescent="0.35">
      <c r="A5" s="7" t="s">
        <v>38</v>
      </c>
      <c r="B5" s="16" t="s">
        <v>39</v>
      </c>
      <c r="C5" s="17">
        <v>1</v>
      </c>
      <c r="D5" s="18" t="s">
        <v>40</v>
      </c>
      <c r="E5" s="19">
        <v>6.2870944697001452</v>
      </c>
      <c r="F5" s="20">
        <v>1</v>
      </c>
      <c r="G5" s="19">
        <f>IF(D5="ml",E5/(C5*F5),E5/C5)</f>
        <v>6.2870944697001452</v>
      </c>
      <c r="H5" s="16" t="s">
        <v>41</v>
      </c>
      <c r="I5" s="18" t="s">
        <v>42</v>
      </c>
      <c r="J5" s="7" t="s">
        <v>43</v>
      </c>
      <c r="K5" s="21" t="s">
        <v>44</v>
      </c>
    </row>
    <row r="6" spans="1:11" ht="44" customHeight="1" x14ac:dyDescent="0.35">
      <c r="A6" s="7" t="s">
        <v>17</v>
      </c>
      <c r="B6" s="16" t="s">
        <v>45</v>
      </c>
      <c r="C6" s="17">
        <v>1000</v>
      </c>
      <c r="D6" s="18" t="s">
        <v>46</v>
      </c>
      <c r="E6" s="19">
        <v>150.012</v>
      </c>
      <c r="F6" s="20">
        <v>0.81</v>
      </c>
      <c r="G6" s="19">
        <f>IF(D6="ml",E6/(C6*F6),E6/C6)</f>
        <v>0.1852</v>
      </c>
      <c r="H6" s="16" t="s">
        <v>47</v>
      </c>
      <c r="I6" s="22" t="s">
        <v>48</v>
      </c>
      <c r="J6" s="7" t="s">
        <v>49</v>
      </c>
      <c r="K6" s="21" t="s">
        <v>50</v>
      </c>
    </row>
  </sheetData>
  <mergeCells count="2">
    <mergeCell ref="A2:H2"/>
    <mergeCell ref="A1:H1"/>
  </mergeCells>
  <hyperlinks>
    <hyperlink ref="I6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showGridLines="0" workbookViewId="0"/>
  </sheetViews>
  <sheetFormatPr defaultRowHeight="14.5" x14ac:dyDescent="0.35"/>
  <cols>
    <col min="1" max="1" width="8" customWidth="1"/>
    <col min="2" max="2" width="30" customWidth="1"/>
    <col min="3" max="3" width="86" customWidth="1"/>
  </cols>
  <sheetData>
    <row r="1" spans="1:8" ht="28" customHeight="1" x14ac:dyDescent="0.35">
      <c r="A1" s="27" t="s">
        <v>51</v>
      </c>
      <c r="B1" s="25"/>
      <c r="C1" s="25"/>
      <c r="D1" s="25"/>
      <c r="E1" s="25"/>
      <c r="F1" s="25"/>
      <c r="G1" s="25"/>
      <c r="H1" s="25"/>
    </row>
    <row r="2" spans="1:8" x14ac:dyDescent="0.35">
      <c r="A2" s="26" t="s">
        <v>52</v>
      </c>
      <c r="B2" s="25"/>
      <c r="C2" s="25"/>
      <c r="D2" s="25"/>
      <c r="E2" s="25"/>
      <c r="F2" s="25"/>
      <c r="G2" s="25"/>
      <c r="H2" s="25"/>
    </row>
    <row r="3" spans="1:8" x14ac:dyDescent="0.35">
      <c r="A3" s="1"/>
      <c r="B3" s="1"/>
      <c r="C3" s="1"/>
      <c r="D3" s="1"/>
      <c r="E3" s="1"/>
      <c r="F3" s="1"/>
      <c r="G3" s="1"/>
      <c r="H3" s="1"/>
    </row>
    <row r="4" spans="1:8" x14ac:dyDescent="0.35">
      <c r="A4" s="6" t="s">
        <v>53</v>
      </c>
      <c r="B4" s="6" t="s">
        <v>54</v>
      </c>
      <c r="C4" s="6" t="s">
        <v>55</v>
      </c>
      <c r="D4" s="1"/>
      <c r="E4" s="1"/>
      <c r="F4" s="1"/>
      <c r="G4" s="1"/>
      <c r="H4" s="1"/>
    </row>
    <row r="5" spans="1:8" ht="34" customHeight="1" x14ac:dyDescent="0.35">
      <c r="A5" s="23" t="s">
        <v>56</v>
      </c>
      <c r="B5" s="2" t="s">
        <v>57</v>
      </c>
      <c r="C5" s="7" t="s">
        <v>58</v>
      </c>
      <c r="D5" s="1"/>
      <c r="E5" s="1"/>
      <c r="F5" s="1"/>
      <c r="G5" s="1"/>
      <c r="H5" s="1"/>
    </row>
    <row r="6" spans="1:8" ht="34" customHeight="1" x14ac:dyDescent="0.35">
      <c r="A6" s="23" t="s">
        <v>59</v>
      </c>
      <c r="B6" s="2" t="s">
        <v>60</v>
      </c>
      <c r="C6" s="7" t="s">
        <v>61</v>
      </c>
      <c r="D6" s="1"/>
      <c r="E6" s="1"/>
      <c r="F6" s="1"/>
      <c r="G6" s="1"/>
      <c r="H6" s="1"/>
    </row>
    <row r="7" spans="1:8" ht="34" customHeight="1" x14ac:dyDescent="0.35">
      <c r="A7" s="23" t="s">
        <v>62</v>
      </c>
      <c r="B7" s="2" t="s">
        <v>63</v>
      </c>
      <c r="C7" s="7" t="s">
        <v>64</v>
      </c>
      <c r="D7" s="1"/>
      <c r="E7" s="1"/>
      <c r="F7" s="1"/>
      <c r="G7" s="1"/>
      <c r="H7" s="1"/>
    </row>
    <row r="8" spans="1:8" ht="34" customHeight="1" x14ac:dyDescent="0.35">
      <c r="A8" s="23" t="s">
        <v>65</v>
      </c>
      <c r="B8" s="2" t="s">
        <v>66</v>
      </c>
      <c r="C8" s="7" t="s">
        <v>67</v>
      </c>
      <c r="D8" s="1"/>
      <c r="E8" s="1"/>
      <c r="F8" s="1"/>
      <c r="G8" s="1"/>
      <c r="H8" s="1"/>
    </row>
    <row r="9" spans="1:8" ht="34" customHeight="1" x14ac:dyDescent="0.35">
      <c r="A9" s="23" t="s">
        <v>68</v>
      </c>
      <c r="B9" s="2" t="s">
        <v>69</v>
      </c>
      <c r="C9" s="7" t="s">
        <v>70</v>
      </c>
      <c r="D9" s="1"/>
      <c r="E9" s="1"/>
      <c r="F9" s="1"/>
      <c r="G9" s="1"/>
      <c r="H9" s="1"/>
    </row>
    <row r="10" spans="1:8" ht="34" customHeight="1" x14ac:dyDescent="0.35">
      <c r="A10" s="23" t="s">
        <v>71</v>
      </c>
      <c r="B10" s="2" t="s">
        <v>72</v>
      </c>
      <c r="C10" s="7" t="s">
        <v>73</v>
      </c>
      <c r="D10" s="1"/>
      <c r="E10" s="1"/>
      <c r="F10" s="1"/>
      <c r="G10" s="1"/>
      <c r="H10" s="1"/>
    </row>
    <row r="11" spans="1:8" ht="34" customHeight="1" x14ac:dyDescent="0.35">
      <c r="A11" s="23" t="s">
        <v>74</v>
      </c>
      <c r="B11" s="2" t="s">
        <v>75</v>
      </c>
      <c r="C11" s="7" t="s">
        <v>76</v>
      </c>
      <c r="D11" s="1"/>
      <c r="E11" s="1"/>
      <c r="F11" s="1"/>
      <c r="G11" s="1"/>
      <c r="H11" s="1"/>
    </row>
    <row r="12" spans="1:8" ht="34" customHeight="1" x14ac:dyDescent="0.35">
      <c r="A12" s="23" t="s">
        <v>77</v>
      </c>
      <c r="B12" s="2" t="s">
        <v>78</v>
      </c>
      <c r="C12" s="7" t="s">
        <v>79</v>
      </c>
      <c r="D12" s="1"/>
      <c r="E12" s="1"/>
      <c r="F12" s="1"/>
      <c r="G12" s="1"/>
      <c r="H12" s="1"/>
    </row>
    <row r="13" spans="1:8" ht="34" customHeight="1" x14ac:dyDescent="0.35">
      <c r="A13" s="23" t="s">
        <v>80</v>
      </c>
      <c r="B13" s="2" t="s">
        <v>81</v>
      </c>
      <c r="C13" s="7" t="s">
        <v>82</v>
      </c>
      <c r="D13" s="1"/>
      <c r="E13" s="1"/>
      <c r="F13" s="1"/>
      <c r="G13" s="1"/>
      <c r="H13" s="1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Recipe</vt:lpstr>
      <vt:lpstr>Inventory &amp; Links</vt:lpstr>
      <vt:lpstr>Step-by-Step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ASMR Body Spray 007</dc:title>
  <dc:creator>ASMR</dc:creator>
  <cp:lastModifiedBy>Office</cp:lastModifiedBy>
  <dcterms:created xsi:type="dcterms:W3CDTF">2026-07-11T10:22:21Z</dcterms:created>
  <dcterms:modified xsi:type="dcterms:W3CDTF">2026-07-11T10:22:26Z</dcterms:modified>
</cp:coreProperties>
</file>