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ula Master" sheetId="2" state="visible" r:id="rId2"/>
    <sheet xmlns:r="http://schemas.openxmlformats.org/officeDocument/2006/relationships" name="Batch Calculator" sheetId="3" state="visible" r:id="rId3"/>
    <sheet xmlns:r="http://schemas.openxmlformats.org/officeDocument/2006/relationships" name="Dilution Prep (D10)" sheetId="4" state="visible" r:id="rId4"/>
    <sheet xmlns:r="http://schemas.openxmlformats.org/officeDocument/2006/relationships" name="Inventory" sheetId="5" state="visible" r:id="rId5"/>
    <sheet xmlns:r="http://schemas.openxmlformats.org/officeDocument/2006/relationships" name="Production Log" sheetId="6" state="visible" r:id="rId6"/>
    <sheet xmlns:r="http://schemas.openxmlformats.org/officeDocument/2006/relationships" name="Maceration Tracker" sheetId="7" state="visible" r:id="rId7"/>
    <sheet xmlns:r="http://schemas.openxmlformats.org/officeDocument/2006/relationships" name="Cost Analysis" sheetId="8" state="visible" r:id="rId8"/>
    <sheet xmlns:r="http://schemas.openxmlformats.org/officeDocument/2006/relationships" name="Yield &amp; Capacity" sheetId="9" state="visible" r:id="rId9"/>
    <sheet xmlns:r="http://schemas.openxmlformats.org/officeDocument/2006/relationships" name="Process Reference" sheetId="10" state="visible" r:id="rId10"/>
    <sheet xmlns:r="http://schemas.openxmlformats.org/officeDocument/2006/relationships" name="Safety Notes" sheetId="11" state="visible" r:id="rId11"/>
    <sheet xmlns:r="http://schemas.openxmlformats.org/officeDocument/2006/relationships" name="Lists" sheetId="12" state="hidden" r:id="rId12"/>
  </sheets>
  <definedNames>
    <definedName name="FormatList">Lists!$A$2:$A$7</definedName>
    <definedName name="FormatDefaults">Lists!$A$2:$E$7</definedName>
    <definedName name="StatusList">Lists!$G$2:$G$4</definedName>
    <definedName name="YesNoList">Lists!$H$2:$H$3</definedName>
    <definedName name="UnitList">Lists!$I$2:$I$3</definedName>
    <definedName name="IncludeOptionals">'Formula Master'!$C$4</definedName>
    <definedName name="OptPctSum">'Formula Master'!$I$3</definedName>
    <definedName name="D10ActivePct">'Formula Master'!$I$4</definedName>
    <definedName name="FM_Mat">'Formula Master'!$B$7:$B$31</definedName>
    <definedName name="FM_InputPct">'Formula Master'!$C$7:$C$31</definedName>
    <definedName name="FM_D10">'Formula Master'!$D$7:$D$31</definedName>
    <definedName name="FM_Active">'Formula Master'!$F$7:$F$31</definedName>
    <definedName name="FM_CostG">'Formula Master'!$H$7:$H$31</definedName>
    <definedName name="BatchFormat">'Batch Calculator'!$C$4</definedName>
    <definedName name="BatchSize">'Batch Calculator'!$C$5</definedName>
    <definedName name="BatchUnit">'Batch Calculator'!$C$6</definedName>
    <definedName name="ConcPct">'Batch Calculator'!$C$7</definedName>
    <definedName name="FinishedDensity">'Batch Calculator'!$C$8</definedName>
    <definedName name="WaterPct">'Batch Calculator'!$C$12</definedName>
    <definedName name="MistGlyPct">'Batch Calculator'!$C$13</definedName>
    <definedName name="MistWaterPct">'Batch Calculator'!$C$14</definedName>
    <definedName name="SolubRatio">'Batch Calculator'!$C$15</definedName>
    <definedName name="WMGlyPct">'Batch Calculator'!$C$16</definedName>
    <definedName name="WMPresPct">'Batch Calculator'!$C$17</definedName>
    <definedName name="VitEPct">'Batch Calculator'!$C$18</definedName>
    <definedName name="CR2GlyPct">'Batch Calculator'!$G$13</definedName>
    <definedName name="CR2EwaxPct">'Batch Calculator'!$G$14</definedName>
    <definedName name="CR2CetPct">'Batch Calculator'!$G$15</definedName>
    <definedName name="CR2OilPct">'Batch Calculator'!$G$16</definedName>
    <definedName name="CR2ButterPct">'Batch Calculator'!$G$17</definedName>
    <definedName name="CR2PresPct">'Batch Calculator'!$G$18</definedName>
    <definedName name="TotalMassG">'Batch Calculator'!$C$21</definedName>
    <definedName name="BatchVolMl">'Batch Calculator'!$C$22</definedName>
    <definedName name="ConcG">'Batch Calculator'!$C$23</definedName>
    <definedName name="BatchCostSAR">'Batch Calculator'!$C$24</definedName>
    <definedName name="CostPerMl">'Batch Calculator'!$C$25</definedName>
    <definedName name="AuxGrams">'Batch Calculator'!$D$58:$D$68</definedName>
    <definedName name="AlcoholG">'Batch Calculator'!$D$58</definedName>
    <definedName name="WaterG">'Batch Calculator'!$D$59</definedName>
    <definedName name="GlycerinG">'Batch Calculator'!$D$60</definedName>
    <definedName name="PolysorbateG">'Batch Calculator'!$D$61</definedName>
    <definedName name="PreservativeG">'Batch Calculator'!$D$62</definedName>
    <definedName name="CreamBaseG">'Batch Calculator'!$D$63</definedName>
    <definedName name="Inv_Mat">Inventory!$A$4:$A$31</definedName>
    <definedName name="Inv_GramsBought">Inventory!$F$4:$F$31</definedName>
    <definedName name="Inv_TotalPaid">Inventory!$H$4:$H$31</definedName>
    <definedName name="Inv_PricePerG">Inventory!$I$4:$I$31</definedName>
    <definedName name="Inv_OnHand">Inventory!$K$4:$K$31</definedName>
    <definedName name="Inv_Threshold">Inventory!$L$4:$L$31</definedName>
    <definedName name="Inv_LowNames">Inventory!$N$4:$N$31</definedName>
    <definedName name="Inv_LowJoined">Inventory!$O$31</definedName>
    <definedName name="DefaultBatchConcG">Inventory!$H$2</definedName>
    <definedName name="DefaultBatchAlcG">Inventory!$K$2</definedName>
    <definedName name="MacDays">'Production Log'!$C$3</definedName>
    <definedName name="TotalConcUsedG">'Production Log'!$F$3</definedName>
    <definedName name="AlcoholUsedG">'Production Log'!$I$3</definedName>
    <definedName name="LogID">'Production Log'!$B$5:$B$44</definedName>
    <definedName name="LogConcG">'Production Log'!$G$5:$G$44</definedName>
    <definedName name="LogAlcG">'Production Log'!$H$5:$H$44</definedName>
    <definedName name="LogStart">'Production Log'!$I$5:$I$44</definedName>
    <definedName name="LogEnd">'Production Log'!$J$5:$J$44</definedName>
    <definedName name="LogStatus">'Production Log'!$K$5:$K$44</definedName>
    <definedName name="LogMacStart">'Production Log'!$M$5:$M$44</definedName>
    <definedName name="MaterialsTotalSAR">'Cost Analysis'!$C$4</definedName>
    <definedName name="ShippingSAR">'Cost Analysis'!$C$5</definedName>
    <definedName name="TotalCapital">'Cost Analysis'!$C$6</definedName>
    <definedName name="ShipLoad">'Cost Analysis'!$C$7</definedName>
    <definedName name="DPGPricePerG">'Cost Analysis'!$C$10</definedName>
    <definedName name="ConcCostPerG">'Cost Analysis'!$C$11</definedName>
    <definedName name="ConcCostPerGLoaded">'Cost Analysis'!$C$12</definedName>
    <definedName name="AuxCostPerG">'Cost Analysis'!$C$16:$C$26</definedName>
    <definedName name="AlcCostPerG">'Cost Analysis'!$C$16</definedName>
    <definedName name="StockValueSAR">'Cost Analysis'!$C$40</definedName>
    <definedName name="YC_ConcPct">'Yield &amp; Capacity'!$C$4</definedName>
    <definedName name="YC_Density">'Yield &amp; Capacity'!$C$5</definedName>
    <definedName name="YC_Loss">'Yield &amp; Capacity'!$C$6</definedName>
    <definedName name="YC_Basis">'Yield &amp; Capacity'!$C$7</definedName>
    <definedName name="YC_MaxConc">'Yield &amp; Capacity'!$B$11</definedName>
    <definedName name="YC_UsableConc">'Yield &amp; Capacity'!$C$11</definedName>
    <definedName name="YC_AlcOnHand">'Yield &amp; Capacity'!$D$11</definedName>
    <definedName name="YC_DPGOnHand">'Yield &amp; Capacity'!$E$11</definedName>
    <definedName name="YC_LimitMat">'Yield &amp; Capacity'!$F$11</definedName>
    <definedName name="_xlnm.Print_Area" localSheetId="2">'Batch Calculator'!$A$1:$H$76</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0;&quot;–&quot;"/>
    <numFmt numFmtId="167" formatCode="#,##0.000"/>
    <numFmt numFmtId="168" formatCode="yyyy-mm-dd"/>
    <numFmt numFmtId="169" formatCode="0.000"/>
  </numFmts>
  <fonts count="15">
    <font>
      <name val="Calibri"/>
      <family val="2"/>
      <color theme="1"/>
      <sz val="11"/>
      <scheme val="minor"/>
    </font>
    <font>
      <name val="Arial"/>
      <b val="1"/>
      <color rgb="003B3531"/>
      <sz val="18"/>
    </font>
    <font>
      <name val="Arial"/>
      <i val="1"/>
      <color rgb="008A8072"/>
      <sz val="9.5"/>
    </font>
    <font>
      <name val="Arial"/>
      <b val="1"/>
      <color rgb="003B3531"/>
      <sz val="10"/>
    </font>
    <font>
      <name val="Arial"/>
      <b val="1"/>
      <color rgb="008A8072"/>
      <sz val="8.5"/>
    </font>
    <font>
      <name val="Arial"/>
      <color rgb="003B3531"/>
      <sz val="10"/>
    </font>
    <font>
      <name val="Arial"/>
      <b val="1"/>
      <color rgb="00FBF8F1"/>
      <sz val="9"/>
    </font>
    <font>
      <name val="Arial"/>
      <i val="1"/>
      <color rgb="008A8072"/>
      <sz val="9"/>
    </font>
    <font>
      <name val="Arial"/>
      <b val="1"/>
      <color rgb="009C7B3C"/>
      <sz val="10"/>
    </font>
    <font>
      <name val="Arial"/>
      <b val="1"/>
      <color rgb="00FBF8F1"/>
      <sz val="10"/>
    </font>
    <font>
      <name val="Arial"/>
      <b val="1"/>
      <color rgb="002C2825"/>
      <sz val="9"/>
    </font>
    <font>
      <name val="Arial"/>
      <b val="1"/>
      <color rgb="003B3531"/>
      <sz val="14"/>
    </font>
    <font>
      <name val="Arial"/>
      <b val="1"/>
      <color rgb="00FFFFFF"/>
      <sz val="9"/>
    </font>
    <font>
      <name val="Arial"/>
      <b val="1"/>
      <color rgb="003B3531"/>
      <sz val="24"/>
    </font>
    <font>
      <name val="Arial"/>
      <i val="1"/>
      <color rgb="008A8072"/>
      <sz val="8"/>
    </font>
  </fonts>
  <fills count="15">
    <fill>
      <patternFill/>
    </fill>
    <fill>
      <patternFill patternType="gray125"/>
    </fill>
    <fill>
      <patternFill patternType="solid">
        <fgColor rgb="00F6EEDD"/>
      </patternFill>
    </fill>
    <fill>
      <patternFill patternType="solid">
        <fgColor rgb="002C2825"/>
      </patternFill>
    </fill>
    <fill>
      <patternFill patternType="solid">
        <fgColor rgb="00FBF8F1"/>
      </patternFill>
    </fill>
    <fill>
      <patternFill patternType="solid">
        <fgColor rgb="00F2EBDD"/>
      </patternFill>
    </fill>
    <fill>
      <patternFill patternType="solid">
        <fgColor rgb="00F0DCB0"/>
      </patternFill>
    </fill>
    <fill>
      <patternFill patternType="solid">
        <fgColor rgb="00DCE3E8"/>
      </patternFill>
    </fill>
    <fill>
      <patternFill patternType="solid">
        <fgColor rgb="003B3531"/>
      </patternFill>
    </fill>
    <fill>
      <patternFill patternType="solid">
        <fgColor rgb="00EBDFC6"/>
      </patternFill>
    </fill>
    <fill>
      <patternFill patternType="solid">
        <fgColor rgb="00C4A566"/>
      </patternFill>
    </fill>
    <fill>
      <patternFill patternType="solid">
        <fgColor rgb="00E4D3D0"/>
      </patternFill>
    </fill>
    <fill>
      <patternFill patternType="solid">
        <fgColor rgb="00FFF2B8"/>
      </patternFill>
    </fill>
    <fill>
      <patternFill patternType="solid">
        <fgColor rgb="00A93226"/>
      </patternFill>
    </fill>
    <fill>
      <patternFill patternType="solid">
        <fgColor rgb="008A8072"/>
      </patternFill>
    </fill>
  </fills>
  <borders count="11">
    <border>
      <left/>
      <right/>
      <top/>
      <bottom/>
      <diagonal/>
    </border>
    <border>
      <bottom style="medium">
        <color rgb="00C4A566"/>
      </bottom>
    </border>
    <border>
      <left style="thin">
        <color rgb="00C4A566"/>
      </left>
      <right style="thin">
        <color rgb="00C4A566"/>
      </right>
      <top style="thin">
        <color rgb="00C4A566"/>
      </top>
      <bottom style="thin">
        <color rgb="00C4A566"/>
      </bottom>
    </border>
    <border>
      <left style="thin">
        <color rgb="00DCD2BE"/>
      </left>
      <right style="thin">
        <color rgb="00DCD2BE"/>
      </right>
      <top style="thin">
        <color rgb="00DCD2BE"/>
      </top>
      <bottom style="thin">
        <color rgb="00DCD2BE"/>
      </bottom>
    </border>
    <border/>
    <border>
      <left/>
      <right/>
      <top style="thin">
        <color rgb="00DCD2BE"/>
      </top>
      <bottom/>
      <diagonal/>
    </border>
    <border>
      <left/>
      <right style="thin">
        <color rgb="00DCD2BE"/>
      </right>
      <top style="thin">
        <color rgb="00DCD2BE"/>
      </top>
      <bottom/>
      <diagonal/>
    </border>
    <border>
      <left/>
      <right/>
      <top style="thin">
        <color rgb="00DCD2BE"/>
      </top>
      <bottom style="thin">
        <color rgb="00DCD2BE"/>
      </bottom>
      <diagonal/>
    </border>
    <border>
      <left/>
      <right style="thin">
        <color rgb="00DCD2BE"/>
      </right>
      <top style="thin">
        <color rgb="00DCD2BE"/>
      </top>
      <bottom style="thin">
        <color rgb="00DCD2BE"/>
      </bottom>
      <diagonal/>
    </border>
    <border>
      <bottom style="thin">
        <color rgb="003B3531"/>
      </bottom>
    </border>
    <border>
      <left/>
      <right/>
      <top/>
      <bottom style="medium">
        <color rgb="00C4A566"/>
      </bottom>
      <diagonal/>
    </border>
  </borders>
  <cellStyleXfs count="1">
    <xf numFmtId="0" fontId="0" fillId="0" borderId="0"/>
  </cellStyleXfs>
  <cellXfs count="106">
    <xf numFmtId="0" fontId="0" fillId="0" borderId="0" pivotButton="0" quotePrefix="0" xfId="0"/>
    <xf numFmtId="0" fontId="13" fillId="0" borderId="0" applyAlignment="1" pivotButton="0" quotePrefix="0" xfId="0">
      <alignment horizontal="center" vertical="center"/>
    </xf>
    <xf numFmtId="0" fontId="2" fillId="0" borderId="0" applyAlignment="1" pivotButton="0" quotePrefix="0" xfId="0">
      <alignment horizontal="center" vertical="center"/>
    </xf>
    <xf numFmtId="0" fontId="0" fillId="10" borderId="0" pivotButton="0" quotePrefix="0" xfId="0"/>
    <xf numFmtId="0" fontId="4" fillId="0" borderId="0" applyAlignment="1" pivotButton="0" quotePrefix="0" xfId="0">
      <alignment horizontal="center" vertical="center"/>
    </xf>
    <xf numFmtId="4" fontId="11" fillId="4" borderId="3" applyAlignment="1" pivotButton="0" quotePrefix="0" xfId="0">
      <alignment horizontal="center" vertical="center"/>
    </xf>
    <xf numFmtId="1" fontId="11" fillId="4" borderId="3" applyAlignment="1" pivotButton="0" quotePrefix="0" xfId="0">
      <alignment horizontal="center" vertical="center"/>
    </xf>
    <xf numFmtId="0" fontId="9" fillId="8" borderId="4" applyAlignment="1" pivotButton="0" quotePrefix="0" xfId="0">
      <alignment vertical="center" indent="1"/>
    </xf>
    <xf numFmtId="0" fontId="0" fillId="8" borderId="4" pivotButton="0" quotePrefix="0" xfId="0"/>
    <xf numFmtId="0" fontId="5" fillId="0" borderId="0" applyAlignment="1" pivotButton="0" quotePrefix="0" xfId="0">
      <alignment vertical="center"/>
    </xf>
    <xf numFmtId="0" fontId="3" fillId="4" borderId="3" applyAlignment="1" pivotButton="0" quotePrefix="0" xfId="0">
      <alignment horizontal="center" vertical="center"/>
    </xf>
    <xf numFmtId="4" fontId="3" fillId="4" borderId="3" applyAlignment="1" pivotButton="0" quotePrefix="0" xfId="0">
      <alignment horizontal="center" vertical="center"/>
    </xf>
    <xf numFmtId="1" fontId="3" fillId="4" borderId="3" applyAlignment="1" pivotButton="0" quotePrefix="0" xfId="0">
      <alignment horizontal="center" vertical="center"/>
    </xf>
    <xf numFmtId="166" fontId="3" fillId="4" borderId="3" applyAlignment="1" pivotButton="0" quotePrefix="0" xfId="0">
      <alignment horizontal="center" vertical="center"/>
    </xf>
    <xf numFmtId="0" fontId="3" fillId="4" borderId="3" applyAlignment="1" pivotButton="0" quotePrefix="0" xfId="0">
      <alignment horizontal="center" vertical="center" wrapText="1"/>
    </xf>
    <xf numFmtId="0" fontId="7" fillId="0" borderId="0" applyAlignment="1" pivotButton="0" quotePrefix="0" xfId="0">
      <alignment vertical="center"/>
    </xf>
    <xf numFmtId="0" fontId="14" fillId="0" borderId="0" applyAlignment="1" pivotButton="0" quotePrefix="0" xfId="0">
      <alignment horizontal="center" vertical="center"/>
    </xf>
    <xf numFmtId="0" fontId="1" fillId="0" borderId="0" applyAlignment="1" pivotButton="0" quotePrefix="0" xfId="0">
      <alignment vertical="center"/>
    </xf>
    <xf numFmtId="0" fontId="2" fillId="0" borderId="1" applyAlignment="1" pivotButton="0" quotePrefix="0" xfId="0">
      <alignment vertical="center"/>
    </xf>
    <xf numFmtId="0" fontId="0" fillId="0" borderId="1" pivotButton="0" quotePrefix="0" xfId="0"/>
    <xf numFmtId="0" fontId="4" fillId="0" borderId="0" applyAlignment="1" pivotButton="0" quotePrefix="0" xfId="0">
      <alignment horizontal="right" vertical="center"/>
    </xf>
    <xf numFmtId="10" fontId="5" fillId="0" borderId="0" applyAlignment="1" pivotButton="0" quotePrefix="0" xfId="0">
      <alignment horizontal="center" vertical="center"/>
    </xf>
    <xf numFmtId="0" fontId="3" fillId="0" borderId="0" applyAlignment="1" pivotButton="0" quotePrefix="0" xfId="0">
      <alignment vertical="center"/>
    </xf>
    <xf numFmtId="0" fontId="3" fillId="2" borderId="2" applyAlignment="1" applyProtection="1" pivotButton="0" quotePrefix="0" xfId="0">
      <alignment horizontal="center" vertical="center"/>
      <protection locked="0" hidden="0"/>
    </xf>
    <xf numFmtId="0" fontId="6" fillId="3" borderId="3" applyAlignment="1" pivotButton="0" quotePrefix="0" xfId="0">
      <alignment horizontal="center" vertical="center" wrapText="1"/>
    </xf>
    <xf numFmtId="0" fontId="7" fillId="4" borderId="3" applyAlignment="1" pivotButton="0" quotePrefix="0" xfId="0">
      <alignment horizontal="center" vertical="center"/>
    </xf>
    <xf numFmtId="0" fontId="5" fillId="4" borderId="3" applyAlignment="1" pivotButton="0" quotePrefix="0" xfId="0">
      <alignment vertical="center"/>
    </xf>
    <xf numFmtId="164" fontId="3" fillId="2" borderId="2" applyAlignment="1" applyProtection="1" pivotButton="0" quotePrefix="0" xfId="0">
      <alignment horizontal="center" vertical="center"/>
      <protection locked="0" hidden="0"/>
    </xf>
    <xf numFmtId="0" fontId="8" fillId="4" borderId="3" applyAlignment="1" pivotButton="0" quotePrefix="0" xfId="0">
      <alignment horizontal="center" vertical="center"/>
    </xf>
    <xf numFmtId="10" fontId="5" fillId="4" borderId="3" applyAlignment="1" pivotButton="0" quotePrefix="0" xfId="0">
      <alignment horizontal="center" vertical="center"/>
    </xf>
    <xf numFmtId="0" fontId="7" fillId="4" borderId="3" applyAlignment="1" pivotButton="0" quotePrefix="0" xfId="0">
      <alignment vertical="center"/>
    </xf>
    <xf numFmtId="4" fontId="5" fillId="0" borderId="3" applyAlignment="1" pivotButton="0" quotePrefix="0" xfId="0">
      <alignment horizontal="center" vertical="center"/>
    </xf>
    <xf numFmtId="0" fontId="7" fillId="5" borderId="3" applyAlignment="1" pivotButton="0" quotePrefix="0" xfId="0">
      <alignment horizontal="center" vertical="center"/>
    </xf>
    <xf numFmtId="0" fontId="5" fillId="5" borderId="3" applyAlignment="1" pivotButton="0" quotePrefix="0" xfId="0">
      <alignment vertical="center"/>
    </xf>
    <xf numFmtId="0" fontId="8" fillId="5" borderId="3" applyAlignment="1" pivotButton="0" quotePrefix="0" xfId="0">
      <alignment horizontal="center" vertical="center"/>
    </xf>
    <xf numFmtId="10" fontId="5" fillId="5" borderId="3" applyAlignment="1" pivotButton="0" quotePrefix="0" xfId="0">
      <alignment horizontal="center" vertical="center"/>
    </xf>
    <xf numFmtId="0" fontId="7" fillId="5" borderId="3" applyAlignment="1" pivotButton="0" quotePrefix="0" xfId="0">
      <alignment vertical="center"/>
    </xf>
    <xf numFmtId="0" fontId="7" fillId="6" borderId="3" applyAlignment="1" pivotButton="0" quotePrefix="0" xfId="0">
      <alignment horizontal="center" vertical="center"/>
    </xf>
    <xf numFmtId="0" fontId="5" fillId="6" borderId="3" applyAlignment="1" pivotButton="0" quotePrefix="0" xfId="0">
      <alignment vertical="center"/>
    </xf>
    <xf numFmtId="0" fontId="8" fillId="6" borderId="3" applyAlignment="1" pivotButton="0" quotePrefix="0" xfId="0">
      <alignment horizontal="center" vertical="center"/>
    </xf>
    <xf numFmtId="10" fontId="5" fillId="6" borderId="3" applyAlignment="1" pivotButton="0" quotePrefix="0" xfId="0">
      <alignment horizontal="center" vertical="center"/>
    </xf>
    <xf numFmtId="0" fontId="7" fillId="6" borderId="3" applyAlignment="1" pivotButton="0" quotePrefix="0" xfId="0">
      <alignment vertical="center"/>
    </xf>
    <xf numFmtId="0" fontId="7" fillId="7" borderId="3" applyAlignment="1" pivotButton="0" quotePrefix="0" xfId="0">
      <alignment horizontal="center" vertical="center"/>
    </xf>
    <xf numFmtId="0" fontId="5" fillId="7" borderId="3" applyAlignment="1" pivotButton="0" quotePrefix="0" xfId="0">
      <alignment vertical="center"/>
    </xf>
    <xf numFmtId="0" fontId="8" fillId="7" borderId="3" applyAlignment="1" pivotButton="0" quotePrefix="0" xfId="0">
      <alignment horizontal="center" vertical="center"/>
    </xf>
    <xf numFmtId="10" fontId="5" fillId="7" borderId="3" applyAlignment="1" pivotButton="0" quotePrefix="0" xfId="0">
      <alignment horizontal="center" vertical="center"/>
    </xf>
    <xf numFmtId="0" fontId="7" fillId="7" borderId="3" applyAlignment="1" pivotButton="0" quotePrefix="0" xfId="0">
      <alignment vertical="center"/>
    </xf>
    <xf numFmtId="0" fontId="3" fillId="0" borderId="0" applyAlignment="1" pivotButton="0" quotePrefix="0" xfId="0">
      <alignment horizontal="right" vertical="center"/>
    </xf>
    <xf numFmtId="10" fontId="3" fillId="0" borderId="1" applyAlignment="1" pivotButton="0" quotePrefix="0" xfId="0">
      <alignment horizontal="center" vertical="center"/>
    </xf>
    <xf numFmtId="0" fontId="3" fillId="0" borderId="0" applyAlignment="1" pivotButton="0" quotePrefix="0" xfId="0">
      <alignment horizontal="center" vertical="center"/>
    </xf>
    <xf numFmtId="0" fontId="7" fillId="0" borderId="0" applyAlignment="1" pivotButton="0" quotePrefix="0" xfId="0">
      <alignment vertical="center" wrapText="1"/>
    </xf>
    <xf numFmtId="4" fontId="3" fillId="2" borderId="2" applyAlignment="1" applyProtection="1" pivotButton="0" quotePrefix="0" xfId="0">
      <alignment horizontal="center" vertical="center"/>
      <protection locked="0" hidden="0"/>
    </xf>
    <xf numFmtId="2" fontId="3" fillId="2" borderId="2" applyAlignment="1" applyProtection="1" pivotButton="0" quotePrefix="0" xfId="0">
      <alignment horizontal="center" vertical="center"/>
      <protection locked="0" hidden="0"/>
    </xf>
    <xf numFmtId="0" fontId="8" fillId="0" borderId="3" applyAlignment="1" pivotButton="0" quotePrefix="0" xfId="0">
      <alignment horizontal="center" vertical="center"/>
    </xf>
    <xf numFmtId="0" fontId="4" fillId="9" borderId="0" applyAlignment="1" pivotButton="0" quotePrefix="0" xfId="0">
      <alignment horizontal="center" vertical="center"/>
    </xf>
    <xf numFmtId="165" fontId="3" fillId="2" borderId="2" applyAlignment="1" applyProtection="1" pivotButton="0" quotePrefix="0" xfId="0">
      <alignment horizontal="center" vertical="center"/>
      <protection locked="0" hidden="0"/>
    </xf>
    <xf numFmtId="4" fontId="3" fillId="5" borderId="3" applyAlignment="1" pivotButton="0" quotePrefix="0" xfId="0">
      <alignment horizontal="center" vertical="center"/>
    </xf>
    <xf numFmtId="0" fontId="0" fillId="0" borderId="3" pivotButton="0" quotePrefix="0" xfId="0"/>
    <xf numFmtId="167" fontId="7" fillId="4" borderId="3" applyAlignment="1" pivotButton="0" quotePrefix="0" xfId="0">
      <alignment horizontal="center" vertical="center"/>
    </xf>
    <xf numFmtId="0" fontId="5" fillId="4" borderId="3" applyAlignment="1" applyProtection="1" pivotButton="0" quotePrefix="0" xfId="0">
      <alignment vertical="center"/>
      <protection locked="0" hidden="0"/>
    </xf>
    <xf numFmtId="166" fontId="3" fillId="5" borderId="3" applyAlignment="1" pivotButton="0" quotePrefix="0" xfId="0">
      <alignment horizontal="center" vertical="center"/>
    </xf>
    <xf numFmtId="167" fontId="7" fillId="5" borderId="3" applyAlignment="1" pivotButton="0" quotePrefix="0" xfId="0">
      <alignment horizontal="center" vertical="center"/>
    </xf>
    <xf numFmtId="0" fontId="5" fillId="5" borderId="3" applyAlignment="1" applyProtection="1" pivotButton="0" quotePrefix="0" xfId="0">
      <alignment vertical="center"/>
      <protection locked="0" hidden="0"/>
    </xf>
    <xf numFmtId="4" fontId="3" fillId="9" borderId="3" applyAlignment="1" pivotButton="0" quotePrefix="0" xfId="0">
      <alignment horizontal="center" vertical="center"/>
    </xf>
    <xf numFmtId="0" fontId="3" fillId="0" borderId="3" applyAlignment="1" pivotButton="0" quotePrefix="0" xfId="0">
      <alignment horizontal="center" vertical="center"/>
    </xf>
    <xf numFmtId="167" fontId="7" fillId="0" borderId="3" applyAlignment="1" pivotButton="0" quotePrefix="0" xfId="0">
      <alignment horizontal="center" vertical="center"/>
    </xf>
    <xf numFmtId="0" fontId="0" fillId="0" borderId="7" pivotButton="0" quotePrefix="0" xfId="0"/>
    <xf numFmtId="0" fontId="0" fillId="0" borderId="8" pivotButton="0" quotePrefix="0" xfId="0"/>
    <xf numFmtId="0" fontId="5" fillId="0" borderId="3" applyAlignment="1" pivotButton="0" quotePrefix="0" xfId="0">
      <alignment vertical="center"/>
    </xf>
    <xf numFmtId="0" fontId="7" fillId="0" borderId="3" applyAlignment="1" pivotButton="0" quotePrefix="0" xfId="0">
      <alignment vertical="center"/>
    </xf>
    <xf numFmtId="0" fontId="7" fillId="0" borderId="0" applyAlignment="1" pivotButton="0" quotePrefix="0" xfId="0">
      <alignment horizontal="right" vertical="center"/>
    </xf>
    <xf numFmtId="0" fontId="5" fillId="0" borderId="9" applyAlignment="1" applyProtection="1" pivotButton="0" quotePrefix="0" xfId="0">
      <alignment vertical="center"/>
      <protection locked="0" hidden="0"/>
    </xf>
    <xf numFmtId="0" fontId="10" fillId="10" borderId="4" applyAlignment="1" pivotButton="0" quotePrefix="0" xfId="0">
      <alignment vertical="center" indent="1"/>
    </xf>
    <xf numFmtId="0" fontId="0" fillId="10" borderId="4" pivotButton="0" quotePrefix="0" xfId="0"/>
    <xf numFmtId="4" fontId="3" fillId="0" borderId="3" applyAlignment="1" pivotButton="0" quotePrefix="0" xfId="0">
      <alignment horizontal="center" vertical="center"/>
    </xf>
    <xf numFmtId="168" fontId="5" fillId="0" borderId="3" applyAlignment="1" applyProtection="1" pivotButton="0" quotePrefix="0" xfId="0">
      <alignment horizontal="center" vertical="center"/>
      <protection locked="0" hidden="0"/>
    </xf>
    <xf numFmtId="4" fontId="5" fillId="0" borderId="3" applyAlignment="1" applyProtection="1" pivotButton="0" quotePrefix="0" xfId="0">
      <alignment horizontal="center" vertical="center"/>
      <protection locked="0" hidden="0"/>
    </xf>
    <xf numFmtId="0" fontId="4" fillId="0" borderId="1" applyAlignment="1" pivotButton="0" quotePrefix="0" xfId="0">
      <alignment horizontal="right" vertical="center"/>
    </xf>
    <xf numFmtId="0" fontId="0" fillId="0" borderId="10" pivotButton="0" quotePrefix="0" xfId="0"/>
    <xf numFmtId="4" fontId="8" fillId="0" borderId="1" applyAlignment="1" pivotButton="0" quotePrefix="0" xfId="0">
      <alignment horizontal="center" vertical="center"/>
    </xf>
    <xf numFmtId="1" fontId="3" fillId="2" borderId="2" applyAlignment="1" applyProtection="1" pivotButton="0" quotePrefix="0" xfId="0">
      <alignment horizontal="center" vertical="center"/>
      <protection locked="0" hidden="0"/>
    </xf>
    <xf numFmtId="0" fontId="7" fillId="0" borderId="3" applyAlignment="1" pivotButton="0" quotePrefix="0" xfId="0">
      <alignment horizontal="center" vertical="center"/>
    </xf>
    <xf numFmtId="0" fontId="5" fillId="11" borderId="3" applyAlignment="1" pivotButton="0" quotePrefix="0" xfId="0">
      <alignment vertical="center"/>
    </xf>
    <xf numFmtId="1" fontId="3" fillId="12" borderId="2" applyAlignment="1" applyProtection="1" pivotButton="0" quotePrefix="0" xfId="0">
      <alignment horizontal="center" vertical="center"/>
      <protection locked="0" hidden="0"/>
    </xf>
    <xf numFmtId="4" fontId="3" fillId="0" borderId="1" applyAlignment="1" pivotButton="0" quotePrefix="0" xfId="0">
      <alignment horizontal="center" vertical="center"/>
    </xf>
    <xf numFmtId="4" fontId="8" fillId="0" borderId="0" applyAlignment="1" pivotButton="0" quotePrefix="0" xfId="0">
      <alignment horizontal="center" vertical="center"/>
    </xf>
    <xf numFmtId="0" fontId="5" fillId="0" borderId="3" applyAlignment="1" applyProtection="1" pivotButton="0" quotePrefix="0" xfId="0">
      <alignment horizontal="center" vertical="center"/>
      <protection locked="0" hidden="0"/>
    </xf>
    <xf numFmtId="0" fontId="5" fillId="0" borderId="3" applyAlignment="1" applyProtection="1" pivotButton="0" quotePrefix="0" xfId="0">
      <alignment vertical="center"/>
      <protection locked="0" hidden="0"/>
    </xf>
    <xf numFmtId="164" fontId="5" fillId="0" borderId="3" applyAlignment="1" applyProtection="1" pivotButton="0" quotePrefix="0" xfId="0">
      <alignment horizontal="center" vertical="center"/>
      <protection locked="0" hidden="0"/>
    </xf>
    <xf numFmtId="0" fontId="5" fillId="0" borderId="3" applyAlignment="1" pivotButton="0" quotePrefix="0" xfId="0">
      <alignment horizontal="center" vertic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165" fontId="5" fillId="0" borderId="3" applyAlignment="1" pivotButton="0" quotePrefix="0" xfId="0">
      <alignment horizontal="center" vertical="center"/>
    </xf>
    <xf numFmtId="169" fontId="3" fillId="5" borderId="3" applyAlignment="1" pivotButton="0" quotePrefix="0" xfId="0">
      <alignment horizontal="center" vertical="center"/>
    </xf>
    <xf numFmtId="0" fontId="6" fillId="3" borderId="3" applyAlignment="1" pivotButton="0" quotePrefix="0" xfId="0">
      <alignment vertical="center"/>
    </xf>
    <xf numFmtId="0" fontId="6" fillId="3" borderId="3" applyAlignment="1" pivotButton="0" quotePrefix="0" xfId="0">
      <alignment horizontal="center" vertical="center"/>
    </xf>
    <xf numFmtId="0" fontId="8" fillId="9" borderId="3" applyAlignment="1" pivotButton="0" quotePrefix="0" xfId="0">
      <alignment horizontal="center" vertical="center"/>
    </xf>
    <xf numFmtId="1" fontId="3" fillId="5" borderId="3" applyAlignment="1" pivotButton="0" quotePrefix="0" xfId="0">
      <alignment horizontal="center" vertical="center"/>
    </xf>
    <xf numFmtId="1" fontId="11" fillId="9" borderId="3" applyAlignment="1" pivotButton="0" quotePrefix="0" xfId="0">
      <alignment horizontal="center" vertical="center"/>
    </xf>
    <xf numFmtId="10" fontId="5" fillId="0" borderId="3" applyAlignment="1" pivotButton="0" quotePrefix="0" xfId="0">
      <alignment horizontal="center" vertical="center"/>
    </xf>
    <xf numFmtId="167" fontId="5" fillId="0" borderId="3" applyAlignment="1" pivotButton="0" quotePrefix="0" xfId="0">
      <alignment horizontal="center" vertical="center"/>
    </xf>
    <xf numFmtId="1" fontId="7" fillId="0" borderId="3" applyAlignment="1" pivotButton="0" quotePrefix="0" xfId="0">
      <alignment horizontal="center" vertical="center"/>
    </xf>
    <xf numFmtId="0" fontId="5" fillId="0" borderId="0" applyAlignment="1" pivotButton="0" quotePrefix="0" xfId="0">
      <alignment vertical="center" wrapText="1"/>
    </xf>
    <xf numFmtId="0" fontId="12" fillId="13" borderId="0" applyAlignment="1" pivotButton="0" quotePrefix="0" xfId="0">
      <alignment horizontal="center" vertical="center"/>
    </xf>
    <xf numFmtId="0" fontId="10" fillId="10" borderId="0" applyAlignment="1" pivotButton="0" quotePrefix="0" xfId="0">
      <alignment horizontal="center" vertical="center"/>
    </xf>
    <xf numFmtId="0" fontId="6" fillId="14" borderId="0" applyAlignment="1" pivotButton="0" quotePrefix="0" xfId="0">
      <alignment horizontal="center" vertical="center"/>
    </xf>
  </cellXfs>
  <cellStyles count="1">
    <cellStyle name="Normal" xfId="0" builtinId="0" hidden="0"/>
  </cellStyles>
  <dxfs count="6">
    <dxf>
      <font>
        <name val="Arial"/>
        <b val="1"/>
        <color rgb="00A93226"/>
        <sz val="14"/>
      </font>
      <fill>
        <patternFill patternType="solid">
          <fgColor rgb="00F6D7D2"/>
        </patternFill>
      </fill>
    </dxf>
    <dxf>
      <font>
        <name val="Arial"/>
        <b val="1"/>
        <color rgb="00A93226"/>
        <sz val="10"/>
      </font>
      <fill>
        <patternFill patternType="solid">
          <fgColor rgb="00F6D7D2"/>
        </patternFill>
      </fill>
    </dxf>
    <dxf>
      <fill>
        <patternFill patternType="solid">
          <fgColor rgb="00DCEBDC"/>
        </patternFill>
      </fill>
    </dxf>
    <dxf>
      <fill>
        <patternFill patternType="solid">
          <fgColor rgb="00F6D7D2"/>
        </patternFill>
      </fill>
    </dxf>
    <dxf>
      <fill>
        <patternFill patternType="solid">
          <fgColor rgb="00E8E4DC"/>
        </patternFill>
      </fill>
    </dxf>
    <dxf>
      <fill>
        <patternFill patternType="solid">
          <fgColor rgb="00FBE9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ASMR Suite</author>
  </authors>
  <commentList>
    <comment ref="C4" authorId="0" shapeId="0">
      <text>
        <t>YES = full formula.
NO = optionals removed and every remaining % is renormalised so the concentrate still sums to 100%.</t>
      </text>
    </comment>
    <comment ref="I4" authorId="0" shapeId="0">
      <text>
        <t>Share of the (active) concentrate that is weighed as 10% DPG dilutions. Drives DPG consumption in Inventory.</t>
      </text>
    </comment>
    <comment ref="B15" authorId="0" shapeId="0">
      <text>
        <t>OPTIONAL — the ONE precious luxury in the heart (orris/iris butter).
Expected result if INCLUDED: a buttery, powdery, suede-like violet-orris depth that reads as 'expensive' and haute-parfumerie. It rounds the heart and makes the drydown feel refined.
If you LEAVE IT OUT: Methyl Alpha Ionone still carries the powdery-violet direction — the heart is simply a touch less deep. Set the toggle in C4 to NO and the workbook renormalises everything else to 100% automatically.</t>
      </text>
    </comment>
    <comment ref="B21" authorId="0" shapeId="0">
      <text>
        <t>SANDALWOOD ACCORD (1 of 3): this natural EO is the anchor. Sandalore adds smooth volume; Javanol (optional) adds radiance. Overlapping on purpose for a full, natural-leaning sandalwood.</t>
      </text>
    </comment>
    <comment ref="B22" authorId="0" shapeId="0">
      <text>
        <t>SANDALWOOD ACCORD (2 of 3): overlaps Javanol (both creamy sandalwood synthetics). Intentional layering. If you ever simplify, drop Javanol (optional) first — keep this + the natural EO.</t>
      </text>
    </comment>
    <comment ref="B23" authorId="0" shapeId="0">
      <text>
        <t>OPTIONAL — a radiance booster in the sandalwood accord.
Expected result if INCLUDED: a big lift of creamy, milky, glowing sandalwood — more 'aura' and a modern sandal signature that projects softly.
If you LEAVE IT OUT: natural Sandalwood EO + Sandalore still give a rounded, creamy sandalwood — just with less radiant push. Toggle C4 = NO renormalises automatically.</t>
      </text>
    </comment>
    <comment ref="B24" authorId="0" shapeId="0">
      <text>
        <t>MUSK ACCORD: this and Exaltolide Total are both macrocyclic-lactone musks (very close smell). Kept together for a rounder, longer skin-musk trail — this is the effect you asked for ('still here after I leave').</t>
      </text>
    </comment>
    <comment ref="B28" authorId="0" shapeId="0">
      <text>
        <t>MUSK ACCORD: overlaps Globalide (both macrocyclic-lactone musks). If you want to cut cost/complexity later, these two are the pair to review — but together they build the lingering trail.</t>
      </text>
    </comment>
  </commentList>
</comments>
</file>

<file path=xl/comments/comment2.xml><?xml version="1.0" encoding="utf-8"?>
<comments xmlns="http://schemas.openxmlformats.org/spreadsheetml/2006/main">
  <authors>
    <author>ASMR Suite</author>
  </authors>
  <commentList>
    <comment ref="C7" authorId="0" shapeId="0">
      <text>
        <t>Enter as a fraction (0.28 = 28%). Extrait default is 28% for maximum longevity. Suggested defaults per format are shown to the right.</t>
      </text>
    </comment>
    <comment ref="C8" authorId="0" shapeId="0">
      <text>
        <t>Used to convert ml ↔ g. Typical: EDP/Extrait 0.85, alcohol mist 0.87, water mist 0.99, cream 0.98.</t>
      </text>
    </comment>
  </commentList>
</comments>
</file>

<file path=xl/comments/comment3.xml><?xml version="1.0" encoding="utf-8"?>
<comments xmlns="http://schemas.openxmlformats.org/spreadsheetml/2006/main">
  <authors>
    <author>ASMR Suite</author>
  </authors>
  <commentList>
    <comment ref="H2" authorId="0" shapeId="0">
      <text>
        <t>Low-stock alert basis: concentrate grams in one default Extrait batch (50 ml @ 28%, density 0.85). Red rows = on hand below TWO such batches.</t>
      </text>
    </comment>
    <comment ref="E3" authorId="0" shapeId="0">
      <text>
        <t>For ml-sold items grams = ml × density. Default 0.9 g/ml — refine per material. Alcohol 190 proof: 0.81.</t>
      </text>
    </comment>
    <comment ref="J3" authorId="0" shapeId="0">
      <text>
        <t>Usage = Σ concentrate logged in the Production Log × the material's CURRENT active % (D10 items count 10% neat; DPG counts the 90% carrier). Alcohol = Σ of the log's alcohol column.</t>
      </text>
    </comment>
    <comment ref="A27" authorId="0" shapeId="0">
      <text>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text>
    </comment>
    <comment ref="J27" authorId="0" shapeId="0">
      <text>
        <t>Fabric use only — track manually.</t>
      </text>
    </comment>
    <comment ref="B30" authorId="0" shapeId="0">
      <text>
        <t>ASSUMED pack content — edit to the real amount.</t>
      </text>
    </comment>
    <comment ref="B31" authorId="0" shapeId="0">
      <text>
        <t>ASSUMED pack content — edit to the real amount.</t>
      </text>
    </comment>
  </commentList>
</comments>
</file>

<file path=xl/comments/comment4.xml><?xml version="1.0" encoding="utf-8"?>
<comments xmlns="http://schemas.openxmlformats.org/spreadsheetml/2006/main">
  <authors>
    <author>ASMR Suite</author>
  </authors>
  <commentList>
    <comment ref="C3" authorId="0" shapeId="0">
      <text>
        <t>Target end = maceration start + this many days. 42 days = 6 weeks (ready window is 4–8 weeks).</t>
      </text>
    </comment>
    <comment ref="B4" authorId="0" shapeId="0">
      <text>
        <t>Suggested ID: ASMR-YYYYMMDD-01</t>
      </text>
    </comment>
    <comment ref="J5" authorId="0" shapeId="0">
      <text>
        <t>Pre-filled as start + default days. Type a date over it to override.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C4A566"/>
    <outlinePr summaryBelow="1" summaryRight="1"/>
    <pageSetUpPr/>
  </sheetPr>
  <dimension ref="B2:G25"/>
  <sheetViews>
    <sheetView showGridLines="0" workbookViewId="0">
      <selection activeCell="A1" sqref="A1"/>
    </sheetView>
  </sheetViews>
  <sheetFormatPr baseColWidth="8" defaultRowHeight="15"/>
  <cols>
    <col width="2.5" customWidth="1" min="1" max="1"/>
    <col width="19" customWidth="1" min="2" max="2"/>
    <col width="19" customWidth="1" min="3" max="3"/>
    <col width="19" customWidth="1" min="4" max="4"/>
    <col width="19" customWidth="1" min="5" max="5"/>
    <col width="19" customWidth="1" min="6" max="6"/>
    <col width="19" customWidth="1" min="7" max="7"/>
    <col width="2.5" customWidth="1" min="8" max="8"/>
  </cols>
  <sheetData>
    <row r="2" ht="34" customHeight="1">
      <c r="B2" s="1" t="inlineStr">
        <is>
          <t>A U R A · 3 7</t>
        </is>
      </c>
    </row>
    <row r="3">
      <c r="B3" s="2" t="inlineStr">
        <is>
          <t>a signature luxury skin scent · Extrait — Mist — Cream · presence that stays</t>
        </is>
      </c>
    </row>
    <row r="4" ht="3" customHeight="1">
      <c r="B4" s="3" t="n"/>
      <c r="C4" s="3" t="n"/>
      <c r="D4" s="3" t="n"/>
      <c r="E4" s="3" t="n"/>
      <c r="F4" s="3" t="n"/>
      <c r="G4" s="3" t="n"/>
    </row>
    <row r="6">
      <c r="B6" s="4" t="inlineStr">
        <is>
          <t>INVESTED (SAR)</t>
        </is>
      </c>
      <c r="C6" s="4" t="inlineStr">
        <is>
          <t>STOCK VALUE (SAR)</t>
        </is>
      </c>
      <c r="D6" s="4" t="inlineStr">
        <is>
          <t>CONCENTRATE (SAR/g)</t>
        </is>
      </c>
      <c r="E6" s="4" t="inlineStr">
        <is>
          <t>BATCHES LOGGED</t>
        </is>
      </c>
      <c r="F6" s="4" t="inlineStr">
        <is>
          <t>MACERATING NOW</t>
        </is>
      </c>
      <c r="G6" s="4" t="inlineStr">
        <is>
          <t>LOW-STOCK ITEMS</t>
        </is>
      </c>
    </row>
    <row r="7" ht="26" customHeight="1">
      <c r="B7" s="5">
        <f>TotalCapital</f>
        <v/>
      </c>
      <c r="C7" s="5">
        <f>StockValueSAR</f>
        <v/>
      </c>
      <c r="D7" s="5">
        <f>ConcCostPerGLoaded</f>
        <v/>
      </c>
      <c r="E7" s="6">
        <f>SUMPRODUCT((LogID&lt;&gt;"")*1)</f>
        <v/>
      </c>
      <c r="F7" s="6">
        <f>COUNTIF(LogStatus,"Macerating")</f>
        <v/>
      </c>
      <c r="G7" s="6">
        <f>SUMPRODUCT((Inv_OnHand&lt;Inv_Threshold)*1)</f>
        <v/>
      </c>
    </row>
    <row r="9" ht="18" customHeight="1">
      <c r="B9" s="7" t="inlineStr">
        <is>
          <t>CURRENT BATCH — quick launch</t>
        </is>
      </c>
      <c r="C9" s="8" t="n"/>
      <c r="D9" s="8" t="n"/>
      <c r="E9" s="7" t="inlineStr">
        <is>
          <t>MACERATION MILESTONES</t>
        </is>
      </c>
      <c r="F9" s="8" t="n"/>
      <c r="G9" s="8" t="n"/>
    </row>
    <row r="10">
      <c r="B10" s="9" t="inlineStr">
        <is>
          <t>Format</t>
        </is>
      </c>
      <c r="C10" s="10">
        <f>BatchFormat</f>
        <v/>
      </c>
      <c r="E10" s="9" t="inlineStr">
        <is>
          <t>Next ready window opens</t>
        </is>
      </c>
      <c r="G10" s="10">
        <f>IF(COUNTIFS(LogStatus,"Macerating",LogStart,"&lt;&gt;")=0,"—",TEXT(MIN(LogMacStart)+28,"yyyy-mm-dd"))</f>
        <v/>
      </c>
    </row>
    <row r="11">
      <c r="B11" s="9" t="inlineStr">
        <is>
          <t>Batch</t>
        </is>
      </c>
      <c r="C11" s="10">
        <f>BatchSize&amp;" "&amp;BatchUnit</f>
        <v/>
      </c>
      <c r="E11" s="9" t="inlineStr">
        <is>
          <t>Next maceration complete</t>
        </is>
      </c>
      <c r="G11" s="10">
        <f>IF(COUNTIFS(LogStatus,"Macerating",LogStart,"&lt;&gt;")=0,"—",TEXT(MIN(LogMacStart)+MacDays,"yyyy-mm-dd"))</f>
        <v/>
      </c>
    </row>
    <row r="12">
      <c r="B12" s="9" t="inlineStr">
        <is>
          <t>Concentrate to weigh (g)</t>
        </is>
      </c>
      <c r="C12" s="11">
        <f>ConcG</f>
        <v/>
      </c>
      <c r="E12" s="9" t="inlineStr">
        <is>
          <t>Batches in ready window</t>
        </is>
      </c>
      <c r="G12" s="12">
        <f>SUMPRODUCT((LogStatus="Macerating")*(LogStart&lt;&gt;"")*((TODAY()-LogStart)&gt;=28))</f>
        <v/>
      </c>
    </row>
    <row r="13">
      <c r="B13" s="9" t="inlineStr">
        <is>
          <t>Alcohol (g)</t>
        </is>
      </c>
      <c r="C13" s="13">
        <f>AlcoholG</f>
        <v/>
      </c>
      <c r="E13" s="9" t="inlineStr">
        <is>
          <t>Concentrate used to date (g)</t>
        </is>
      </c>
      <c r="G13" s="11">
        <f>TotalConcUsedG</f>
        <v/>
      </c>
    </row>
    <row r="14">
      <c r="B14" s="9" t="inlineStr">
        <is>
          <t>Estimated cost (SAR)</t>
        </is>
      </c>
      <c r="C14" s="11">
        <f>BatchCostSAR</f>
        <v/>
      </c>
      <c r="E14" s="9" t="inlineStr">
        <is>
          <t>Alcohol used to date (g)</t>
        </is>
      </c>
      <c r="G14" s="11">
        <f>AlcoholUsedG</f>
        <v/>
      </c>
    </row>
    <row r="15">
      <c r="B15" s="9" t="inlineStr">
        <is>
          <t>Cost per ml (SAR)</t>
        </is>
      </c>
      <c r="C15" s="11">
        <f>CostPerMl</f>
        <v/>
      </c>
      <c r="E15" s="9" t="inlineStr">
        <is>
          <t>Maceration target (days)</t>
        </is>
      </c>
      <c r="G15" s="12">
        <f>MacDays</f>
        <v/>
      </c>
    </row>
    <row r="17" ht="18" customHeight="1">
      <c r="B17" s="7" t="inlineStr">
        <is>
          <t>INVENTORY ALERTS</t>
        </is>
      </c>
      <c r="C17" s="8" t="n"/>
      <c r="D17" s="8" t="n"/>
      <c r="E17" s="8" t="n"/>
      <c r="F17" s="8" t="n"/>
      <c r="G17" s="8" t="n"/>
    </row>
    <row r="18" ht="30" customHeight="1">
      <c r="B18" s="14">
        <f>IF($G$7=0,"✓ All materials stocked for at least two default batches.","⚠ Low stock — reorder:  "&amp;Inv_LowJoined)</f>
        <v/>
      </c>
    </row>
    <row r="20" ht="18" customHeight="1">
      <c r="B20" s="7" t="inlineStr">
        <is>
          <t>WORKFLOW</t>
        </is>
      </c>
      <c r="C20" s="8" t="n"/>
      <c r="D20" s="8" t="n"/>
      <c r="E20" s="8" t="n"/>
      <c r="F20" s="8" t="n"/>
      <c r="G20" s="8" t="n"/>
    </row>
    <row r="21">
      <c r="B21" s="15" t="inlineStr">
        <is>
          <t>1 · Set format, size and concentration in the Batch Calculator — print it and take it to the bench.</t>
        </is>
      </c>
    </row>
    <row r="22">
      <c r="B22" s="15" t="inlineStr">
        <is>
          <t>2 · Weigh BASE → HEART → TOP, marry the concentrate 24–48 h, then dilute and start maceration.</t>
        </is>
      </c>
    </row>
    <row r="23">
      <c r="B23" s="15" t="inlineStr">
        <is>
          <t>3 · Log the batch in the Production Log — Inventory and the Maceration Tracker update themselves.</t>
        </is>
      </c>
    </row>
    <row r="25">
      <c r="B25" s="16" t="inlineStr">
        <is>
          <t>ASMR personal production suite · verify against current IFRA standards before any commercial use</t>
        </is>
      </c>
    </row>
  </sheetData>
  <sheetProtection selectLockedCells="0" selectUnlockedCells="0" sheet="1" objects="0" insertRows="1" insertHyperlinks="1" autoFilter="1" scenarios="0" formatColumns="0" deleteColumns="1" insertColumns="1" pivotTables="1" deleteRows="1" formatCells="0" formatRows="0" sort="1"/>
  <mergeCells count="23">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 ref="E11:F11"/>
    <mergeCell ref="B25:G25"/>
    <mergeCell ref="B3:G3"/>
    <mergeCell ref="B22:G22"/>
    <mergeCell ref="C13:D13"/>
    <mergeCell ref="B18:G18"/>
    <mergeCell ref="B21:G21"/>
  </mergeCells>
  <conditionalFormatting sqref="G7">
    <cfRule type="expression" priority="1" dxfId="0">
      <formula>$G$7&gt;0</formula>
    </cfRule>
  </conditionalFormatting>
  <conditionalFormatting sqref="B18:G18">
    <cfRule type="expression" priority="2" dxfId="1">
      <formula>$G$7&gt;0</formula>
    </cfRule>
  </conditionalFormatting>
  <pageMargins left="0.75" right="0.75" top="1" bottom="1" header="0.5" footer="0.5"/>
</worksheet>
</file>

<file path=xl/worksheets/sheet2.xml><?xml version="1.0" encoding="utf-8"?>
<worksheet xmlns="http://schemas.openxmlformats.org/spreadsheetml/2006/main">
  <sheetPr>
    <tabColor rgb="003B3531"/>
    <outlinePr summaryBelow="1" summaryRight="1"/>
    <pageSetUpPr/>
  </sheetPr>
  <dimension ref="A1:I38"/>
  <sheetViews>
    <sheetView showGridLines="0" workbookViewId="0">
      <pane ySplit="6" topLeftCell="A7" activePane="bottomLeft" state="frozen"/>
      <selection pane="bottomLeft" activeCell="A1" sqref="A1"/>
    </sheetView>
  </sheetViews>
  <sheetFormatPr baseColWidth="8" defaultRowHeight="15"/>
  <cols>
    <col width="9" customWidth="1" min="1" max="1"/>
    <col width="30" customWidth="1" min="2" max="2"/>
    <col width="10" customWidth="1" min="3" max="3"/>
    <col width="7" customWidth="1" min="4" max="4"/>
    <col width="9" customWidth="1" min="5" max="5"/>
    <col width="10" customWidth="1" min="6" max="6"/>
    <col width="40" customWidth="1" min="7" max="7"/>
    <col width="13" customWidth="1" min="8" max="8"/>
    <col width="9" customWidth="1" min="9" max="9"/>
  </cols>
  <sheetData>
    <row r="1" ht="28" customHeight="1">
      <c r="A1" s="17" t="inlineStr">
        <is>
          <t>ASMR — MASTER FORMULA</t>
        </is>
      </c>
    </row>
    <row r="2">
      <c r="A2" s="18" t="inlineStr">
        <is>
          <t>Concentrate = 100% by weight.  D10 = weighed as a 10% dilution in DPG — the % shown is the weight of the dilution.</t>
        </is>
      </c>
      <c r="B2" s="19" t="n"/>
      <c r="C2" s="19" t="n"/>
      <c r="D2" s="19" t="n"/>
      <c r="E2" s="19" t="n"/>
      <c r="F2" s="19" t="n"/>
      <c r="G2" s="19" t="n"/>
      <c r="H2" s="19" t="n"/>
      <c r="I2" s="19" t="n"/>
    </row>
    <row r="3">
      <c r="H3" s="20" t="inlineStr">
        <is>
          <t>Optionals Σ</t>
        </is>
      </c>
      <c r="I3" s="21">
        <f>SUMIF($E$7:$E$31,"OPT",$C$7:$C$31)</f>
        <v/>
      </c>
    </row>
    <row r="4">
      <c r="A4" s="22" t="inlineStr">
        <is>
          <t>Include optional materials (Irone Alpha, Javanol):</t>
        </is>
      </c>
      <c r="C4" s="23" t="inlineStr">
        <is>
          <t>YES</t>
        </is>
      </c>
      <c r="H4" s="20" t="inlineStr">
        <is>
          <t>D10 Σ (active)</t>
        </is>
      </c>
      <c r="I4" s="21">
        <f>SUMIF($D$7:$D$31,"D10",$F$7:$F$31)</f>
        <v/>
      </c>
    </row>
    <row r="6" ht="24" customHeight="1">
      <c r="A6" s="24" t="inlineStr">
        <is>
          <t>Phase</t>
        </is>
      </c>
      <c r="B6" s="24" t="inlineStr">
        <is>
          <t>Material</t>
        </is>
      </c>
      <c r="C6" s="24" t="inlineStr">
        <is>
          <t>Input %</t>
        </is>
      </c>
      <c r="D6" s="24" t="inlineStr">
        <is>
          <t>D10</t>
        </is>
      </c>
      <c r="E6" s="24" t="inlineStr">
        <is>
          <t>Optional</t>
        </is>
      </c>
      <c r="F6" s="24" t="inlineStr">
        <is>
          <t>Active %</t>
        </is>
      </c>
      <c r="G6" s="24" t="inlineStr">
        <is>
          <t>Role in the accord</t>
        </is>
      </c>
      <c r="H6" s="24" t="inlineStr">
        <is>
          <t>SAR/g (as weighed)</t>
        </is>
      </c>
    </row>
    <row r="7">
      <c r="A7" s="25" t="inlineStr">
        <is>
          <t>TOP</t>
        </is>
      </c>
      <c r="B7" s="26" t="inlineStr">
        <is>
          <t>Bergamot Accord</t>
        </is>
      </c>
      <c r="C7" s="27" t="n">
        <v>0.09</v>
      </c>
      <c r="D7" s="28" t="inlineStr"/>
      <c r="E7" s="28" t="inlineStr"/>
      <c r="F7" s="29">
        <f>IF(IncludeOptionals="YES",C7,IF($E7="OPT",0,C7/(1-OptPctSum)))</f>
        <v/>
      </c>
      <c r="G7" s="30" t="inlineStr">
        <is>
          <t>sparkling citrus opening — photosafe accord</t>
        </is>
      </c>
      <c r="H7" s="31">
        <f>IF($D7="D10",0.1*INDEX(Inv_PricePerG,MATCH($B7,Inv_Mat,0))+0.9*DPGPricePerG,INDEX(Inv_PricePerG,MATCH($B7,Inv_Mat,0)))</f>
        <v/>
      </c>
    </row>
    <row r="8">
      <c r="A8" s="25" t="inlineStr">
        <is>
          <t>TOP</t>
        </is>
      </c>
      <c r="B8" s="26" t="inlineStr">
        <is>
          <t>Petitgrain Paraguay</t>
        </is>
      </c>
      <c r="C8" s="27" t="n">
        <v>0.015</v>
      </c>
      <c r="D8" s="28" t="inlineStr"/>
      <c r="E8" s="28" t="inlineStr"/>
      <c r="F8" s="29">
        <f>IF(IncludeOptionals="YES",C8,IF($E8="OPT",0,C8/(1-OptPctSum)))</f>
        <v/>
      </c>
      <c r="G8" s="30" t="inlineStr">
        <is>
          <t>green-bitter citrus leaf</t>
        </is>
      </c>
      <c r="H8" s="31">
        <f>IF($D8="D10",0.1*INDEX(Inv_PricePerG,MATCH($B8,Inv_Mat,0))+0.9*DPGPricePerG,INDEX(Inv_PricePerG,MATCH($B8,Inv_Mat,0)))</f>
        <v/>
      </c>
    </row>
    <row r="9">
      <c r="A9" s="25" t="inlineStr">
        <is>
          <t>TOP</t>
        </is>
      </c>
      <c r="B9" s="26" t="inlineStr">
        <is>
          <t>Neroli Accord</t>
        </is>
      </c>
      <c r="C9" s="27" t="n">
        <v>0.01</v>
      </c>
      <c r="D9" s="28" t="inlineStr"/>
      <c r="E9" s="28" t="inlineStr"/>
      <c r="F9" s="29">
        <f>IF(IncludeOptionals="YES",C9,IF($E9="OPT",0,C9/(1-OptPctSum)))</f>
        <v/>
      </c>
      <c r="G9" s="30" t="inlineStr">
        <is>
          <t>orange-flower lift</t>
        </is>
      </c>
      <c r="H9" s="31">
        <f>IF($D9="D10",0.1*INDEX(Inv_PricePerG,MATCH($B9,Inv_Mat,0))+0.9*DPGPricePerG,INDEX(Inv_PricePerG,MATCH($B9,Inv_Mat,0)))</f>
        <v/>
      </c>
    </row>
    <row r="10">
      <c r="A10" s="25" t="inlineStr">
        <is>
          <t>TOP</t>
        </is>
      </c>
      <c r="B10" s="26" t="inlineStr">
        <is>
          <t>Pink Peppercorn</t>
        </is>
      </c>
      <c r="C10" s="27" t="n">
        <v>0.005</v>
      </c>
      <c r="D10" s="28" t="inlineStr">
        <is>
          <t>D10</t>
        </is>
      </c>
      <c r="E10" s="28" t="inlineStr"/>
      <c r="F10" s="29">
        <f>IF(IncludeOptionals="YES",C10,IF($E10="OPT",0,C10/(1-OptPctSum)))</f>
        <v/>
      </c>
      <c r="G10" s="30" t="inlineStr">
        <is>
          <t>rosy-spicy glint</t>
        </is>
      </c>
      <c r="H10" s="31">
        <f>IF($D10="D10",0.1*INDEX(Inv_PricePerG,MATCH($B10,Inv_Mat,0))+0.9*DPGPricePerG,INDEX(Inv_PricePerG,MATCH($B10,Inv_Mat,0)))</f>
        <v/>
      </c>
    </row>
    <row r="11">
      <c r="A11" s="25" t="inlineStr">
        <is>
          <t>TOP</t>
        </is>
      </c>
      <c r="B11" s="26" t="inlineStr">
        <is>
          <t>Floralozone</t>
        </is>
      </c>
      <c r="C11" s="27" t="n">
        <v>0.005</v>
      </c>
      <c r="D11" s="28" t="inlineStr">
        <is>
          <t>D10</t>
        </is>
      </c>
      <c r="E11" s="28" t="inlineStr"/>
      <c r="F11" s="29">
        <f>IF(IncludeOptionals="YES",C11,IF($E11="OPT",0,C11/(1-OptPctSum)))</f>
        <v/>
      </c>
      <c r="G11" s="30" t="inlineStr">
        <is>
          <t>clean air, sea-light transparency</t>
        </is>
      </c>
      <c r="H11" s="31">
        <f>IF($D11="D10",0.1*INDEX(Inv_PricePerG,MATCH($B11,Inv_Mat,0))+0.9*DPGPricePerG,INDEX(Inv_PricePerG,MATCH($B11,Inv_Mat,0)))</f>
        <v/>
      </c>
    </row>
    <row r="12">
      <c r="A12" s="32" t="inlineStr">
        <is>
          <t>HEART</t>
        </is>
      </c>
      <c r="B12" s="33" t="inlineStr">
        <is>
          <t>Hedione (Firmenich)</t>
        </is>
      </c>
      <c r="C12" s="27" t="n">
        <v>0.2</v>
      </c>
      <c r="D12" s="34" t="inlineStr"/>
      <c r="E12" s="34" t="inlineStr"/>
      <c r="F12" s="35">
        <f>IF(IncludeOptionals="YES",C12,IF($E12="OPT",0,C12/(1-OptPctSum)))</f>
        <v/>
      </c>
      <c r="G12" s="36" t="inlineStr">
        <is>
          <t>transparent jasmine — the radiance engine</t>
        </is>
      </c>
      <c r="H12" s="31">
        <f>IF($D12="D10",0.1*INDEX(Inv_PricePerG,MATCH($B12,Inv_Mat,0))+0.9*DPGPricePerG,INDEX(Inv_PricePerG,MATCH($B12,Inv_Mat,0)))</f>
        <v/>
      </c>
    </row>
    <row r="13">
      <c r="A13" s="32" t="inlineStr">
        <is>
          <t>HEART</t>
        </is>
      </c>
      <c r="B13" s="33" t="inlineStr">
        <is>
          <t>Orange Blossom Tunisia Absolute</t>
        </is>
      </c>
      <c r="C13" s="27" t="n">
        <v>0.025</v>
      </c>
      <c r="D13" s="34" t="inlineStr"/>
      <c r="E13" s="34" t="inlineStr"/>
      <c r="F13" s="35">
        <f>IF(IncludeOptionals="YES",C13,IF($E13="OPT",0,C13/(1-OptPctSum)))</f>
        <v/>
      </c>
      <c r="G13" s="36" t="inlineStr">
        <is>
          <t>true white-flower warmth</t>
        </is>
      </c>
      <c r="H13" s="31">
        <f>IF($D13="D10",0.1*INDEX(Inv_PricePerG,MATCH($B13,Inv_Mat,0))+0.9*DPGPricePerG,INDEX(Inv_PricePerG,MATCH($B13,Inv_Mat,0)))</f>
        <v/>
      </c>
    </row>
    <row r="14">
      <c r="A14" s="32" t="inlineStr">
        <is>
          <t>HEART</t>
        </is>
      </c>
      <c r="B14" s="33" t="inlineStr">
        <is>
          <t>Methyl Alpha Ionone Iso</t>
        </is>
      </c>
      <c r="C14" s="27" t="n">
        <v>0.04</v>
      </c>
      <c r="D14" s="34" t="inlineStr"/>
      <c r="E14" s="34" t="inlineStr"/>
      <c r="F14" s="35">
        <f>IF(IncludeOptionals="YES",C14,IF($E14="OPT",0,C14/(1-OptPctSum)))</f>
        <v/>
      </c>
      <c r="G14" s="36" t="inlineStr">
        <is>
          <t>powdery orris-violet velvet</t>
        </is>
      </c>
      <c r="H14" s="31">
        <f>IF($D14="D10",0.1*INDEX(Inv_PricePerG,MATCH($B14,Inv_Mat,0))+0.9*DPGPricePerG,INDEX(Inv_PricePerG,MATCH($B14,Inv_Mat,0)))</f>
        <v/>
      </c>
    </row>
    <row r="15">
      <c r="A15" s="37" t="inlineStr">
        <is>
          <t>HEART</t>
        </is>
      </c>
      <c r="B15" s="38" t="inlineStr">
        <is>
          <t>Irone Alpha</t>
        </is>
      </c>
      <c r="C15" s="27" t="n">
        <v>0.01</v>
      </c>
      <c r="D15" s="39" t="inlineStr">
        <is>
          <t>D10</t>
        </is>
      </c>
      <c r="E15" s="39" t="inlineStr">
        <is>
          <t>OPT</t>
        </is>
      </c>
      <c r="F15" s="40">
        <f>IF(IncludeOptionals="YES",C15,IF($E15="OPT",0,C15/(1-OptPctSum)))</f>
        <v/>
      </c>
      <c r="G15" s="41" t="inlineStr">
        <is>
          <t>precious orris butter — optional luxury</t>
        </is>
      </c>
      <c r="H15" s="31">
        <f>IF($D15="D10",0.1*INDEX(Inv_PricePerG,MATCH($B15,Inv_Mat,0))+0.9*DPGPricePerG,INDEX(Inv_PricePerG,MATCH($B15,Inv_Mat,0)))</f>
        <v/>
      </c>
    </row>
    <row r="16">
      <c r="A16" s="32" t="inlineStr">
        <is>
          <t>HEART</t>
        </is>
      </c>
      <c r="B16" s="33" t="inlineStr">
        <is>
          <t>Benzyl Salicylate</t>
        </is>
      </c>
      <c r="C16" s="27" t="n">
        <v>0.03</v>
      </c>
      <c r="D16" s="34" t="inlineStr"/>
      <c r="E16" s="34" t="inlineStr"/>
      <c r="F16" s="35">
        <f>IF(IncludeOptionals="YES",C16,IF($E16="OPT",0,C16/(1-OptPctSum)))</f>
        <v/>
      </c>
      <c r="G16" s="36" t="inlineStr">
        <is>
          <t>soft balsamic blender</t>
        </is>
      </c>
      <c r="H16" s="31">
        <f>IF($D16="D10",0.1*INDEX(Inv_PricePerG,MATCH($B16,Inv_Mat,0))+0.9*DPGPricePerG,INDEX(Inv_PricePerG,MATCH($B16,Inv_Mat,0)))</f>
        <v/>
      </c>
    </row>
    <row r="17">
      <c r="A17" s="32" t="inlineStr">
        <is>
          <t>HEART</t>
        </is>
      </c>
      <c r="B17" s="33" t="inlineStr">
        <is>
          <t>Linalool</t>
        </is>
      </c>
      <c r="C17" s="27" t="n">
        <v>0.01</v>
      </c>
      <c r="D17" s="34" t="inlineStr"/>
      <c r="E17" s="34" t="inlineStr"/>
      <c r="F17" s="35">
        <f>IF(IncludeOptionals="YES",C17,IF($E17="OPT",0,C17/(1-OptPctSum)))</f>
        <v/>
      </c>
      <c r="G17" s="36" t="inlineStr">
        <is>
          <t>fresh floral smoothing</t>
        </is>
      </c>
      <c r="H17" s="31">
        <f>IF($D17="D10",0.1*INDEX(Inv_PricePerG,MATCH($B17,Inv_Mat,0))+0.9*DPGPricePerG,INDEX(Inv_PricePerG,MATCH($B17,Inv_Mat,0)))</f>
        <v/>
      </c>
    </row>
    <row r="18">
      <c r="A18" s="25" t="inlineStr">
        <is>
          <t>BASE</t>
        </is>
      </c>
      <c r="B18" s="26" t="inlineStr">
        <is>
          <t>Iso E Super</t>
        </is>
      </c>
      <c r="C18" s="27" t="n">
        <v>0.15</v>
      </c>
      <c r="D18" s="28" t="inlineStr"/>
      <c r="E18" s="28" t="inlineStr"/>
      <c r="F18" s="29">
        <f>IF(IncludeOptionals="YES",C18,IF($E18="OPT",0,C18/(1-OptPctSum)))</f>
        <v/>
      </c>
      <c r="G18" s="30" t="inlineStr">
        <is>
          <t>velvet-wood aura, skin-like halo</t>
        </is>
      </c>
      <c r="H18" s="31">
        <f>IF($D18="D10",0.1*INDEX(Inv_PricePerG,MATCH($B18,Inv_Mat,0))+0.9*DPGPricePerG,INDEX(Inv_PricePerG,MATCH($B18,Inv_Mat,0)))</f>
        <v/>
      </c>
    </row>
    <row r="19">
      <c r="A19" s="25" t="inlineStr">
        <is>
          <t>BASE</t>
        </is>
      </c>
      <c r="B19" s="26" t="inlineStr">
        <is>
          <t>Amberxan (Ambroxan)</t>
        </is>
      </c>
      <c r="C19" s="27" t="n">
        <v>0.08</v>
      </c>
      <c r="D19" s="28" t="inlineStr"/>
      <c r="E19" s="28" t="inlineStr"/>
      <c r="F19" s="29">
        <f>IF(IncludeOptionals="YES",C19,IF($E19="OPT",0,C19/(1-OptPctSum)))</f>
        <v/>
      </c>
      <c r="G19" s="30" t="inlineStr">
        <is>
          <t>mineral amber radiance — the 'still here' trail</t>
        </is>
      </c>
      <c r="H19" s="31">
        <f>IF($D19="D10",0.1*INDEX(Inv_PricePerG,MATCH($B19,Inv_Mat,0))+0.9*DPGPricePerG,INDEX(Inv_PricePerG,MATCH($B19,Inv_Mat,0)))</f>
        <v/>
      </c>
    </row>
    <row r="20">
      <c r="A20" s="25" t="inlineStr">
        <is>
          <t>BASE</t>
        </is>
      </c>
      <c r="B20" s="26" t="inlineStr">
        <is>
          <t>Cashmeran IFF</t>
        </is>
      </c>
      <c r="C20" s="27" t="n">
        <v>0.025</v>
      </c>
      <c r="D20" s="28" t="inlineStr"/>
      <c r="E20" s="28" t="inlineStr"/>
      <c r="F20" s="29">
        <f>IF(IncludeOptionals="YES",C20,IF($E20="OPT",0,C20/(1-OptPctSum)))</f>
        <v/>
      </c>
      <c r="G20" s="30" t="inlineStr">
        <is>
          <t>cashmere musk-wood</t>
        </is>
      </c>
      <c r="H20" s="31">
        <f>IF($D20="D10",0.1*INDEX(Inv_PricePerG,MATCH($B20,Inv_Mat,0))+0.9*DPGPricePerG,INDEX(Inv_PricePerG,MATCH($B20,Inv_Mat,0)))</f>
        <v/>
      </c>
    </row>
    <row r="21">
      <c r="A21" s="42" t="inlineStr">
        <is>
          <t>BASE</t>
        </is>
      </c>
      <c r="B21" s="43" t="inlineStr">
        <is>
          <t>Sandal Spicatum Australia</t>
        </is>
      </c>
      <c r="C21" s="27" t="n">
        <v>0.04</v>
      </c>
      <c r="D21" s="44" t="inlineStr"/>
      <c r="E21" s="44" t="inlineStr"/>
      <c r="F21" s="45">
        <f>IF(IncludeOptionals="YES",C21,IF($E21="OPT",0,C21/(1-OptPctSum)))</f>
        <v/>
      </c>
      <c r="G21" s="46" t="inlineStr">
        <is>
          <t>creamy natural sandalwood EO</t>
        </is>
      </c>
      <c r="H21" s="31">
        <f>IF($D21="D10",0.1*INDEX(Inv_PricePerG,MATCH($B21,Inv_Mat,0))+0.9*DPGPricePerG,INDEX(Inv_PricePerG,MATCH($B21,Inv_Mat,0)))</f>
        <v/>
      </c>
    </row>
    <row r="22">
      <c r="A22" s="42" t="inlineStr">
        <is>
          <t>BASE</t>
        </is>
      </c>
      <c r="B22" s="43" t="inlineStr">
        <is>
          <t>Sandalore (Givaudan)</t>
        </is>
      </c>
      <c r="C22" s="27" t="n">
        <v>0.03</v>
      </c>
      <c r="D22" s="44" t="inlineStr"/>
      <c r="E22" s="44" t="inlineStr"/>
      <c r="F22" s="45">
        <f>IF(IncludeOptionals="YES",C22,IF($E22="OPT",0,C22/(1-OptPctSum)))</f>
        <v/>
      </c>
      <c r="G22" s="46" t="inlineStr">
        <is>
          <t>smooth sandalwood glow</t>
        </is>
      </c>
      <c r="H22" s="31">
        <f>IF($D22="D10",0.1*INDEX(Inv_PricePerG,MATCH($B22,Inv_Mat,0))+0.9*DPGPricePerG,INDEX(Inv_PricePerG,MATCH($B22,Inv_Mat,0)))</f>
        <v/>
      </c>
    </row>
    <row r="23">
      <c r="A23" s="37" t="inlineStr">
        <is>
          <t>BASE</t>
        </is>
      </c>
      <c r="B23" s="38" t="inlineStr">
        <is>
          <t>Javanol</t>
        </is>
      </c>
      <c r="C23" s="27" t="n">
        <v>0.005</v>
      </c>
      <c r="D23" s="39" t="inlineStr">
        <is>
          <t>D10</t>
        </is>
      </c>
      <c r="E23" s="39" t="inlineStr">
        <is>
          <t>OPT</t>
        </is>
      </c>
      <c r="F23" s="40">
        <f>IF(IncludeOptionals="YES",C23,IF($E23="OPT",0,C23/(1-OptPctSum)))</f>
        <v/>
      </c>
      <c r="G23" s="41" t="inlineStr">
        <is>
          <t>ultra-modern sandalwood — optional</t>
        </is>
      </c>
      <c r="H23" s="31">
        <f>IF($D23="D10",0.1*INDEX(Inv_PricePerG,MATCH($B23,Inv_Mat,0))+0.9*DPGPricePerG,INDEX(Inv_PricePerG,MATCH($B23,Inv_Mat,0)))</f>
        <v/>
      </c>
    </row>
    <row r="24">
      <c r="A24" s="42" t="inlineStr">
        <is>
          <t>BASE</t>
        </is>
      </c>
      <c r="B24" s="43" t="inlineStr">
        <is>
          <t>Globalide (Habanolide)</t>
        </is>
      </c>
      <c r="C24" s="27" t="n">
        <v>0.065</v>
      </c>
      <c r="D24" s="44" t="inlineStr"/>
      <c r="E24" s="44" t="inlineStr"/>
      <c r="F24" s="45">
        <f>IF(IncludeOptionals="YES",C24,IF($E24="OPT",0,C24/(1-OptPctSum)))</f>
        <v/>
      </c>
      <c r="G24" s="46" t="inlineStr">
        <is>
          <t>clean airy musk</t>
        </is>
      </c>
      <c r="H24" s="31">
        <f>IF($D24="D10",0.1*INDEX(Inv_PricePerG,MATCH($B24,Inv_Mat,0))+0.9*DPGPricePerG,INDEX(Inv_PricePerG,MATCH($B24,Inv_Mat,0)))</f>
        <v/>
      </c>
    </row>
    <row r="25">
      <c r="A25" s="25" t="inlineStr">
        <is>
          <t>BASE</t>
        </is>
      </c>
      <c r="B25" s="26" t="inlineStr">
        <is>
          <t>Helvetolide</t>
        </is>
      </c>
      <c r="C25" s="27" t="n">
        <v>0.05</v>
      </c>
      <c r="D25" s="28" t="inlineStr"/>
      <c r="E25" s="28" t="inlineStr"/>
      <c r="F25" s="29">
        <f>IF(IncludeOptionals="YES",C25,IF($E25="OPT",0,C25/(1-OptPctSum)))</f>
        <v/>
      </c>
      <c r="G25" s="30" t="inlineStr">
        <is>
          <t>fruity-ambrette musk</t>
        </is>
      </c>
      <c r="H25" s="31">
        <f>IF($D25="D10",0.1*INDEX(Inv_PricePerG,MATCH($B25,Inv_Mat,0))+0.9*DPGPricePerG,INDEX(Inv_PricePerG,MATCH($B25,Inv_Mat,0)))</f>
        <v/>
      </c>
    </row>
    <row r="26">
      <c r="A26" s="25" t="inlineStr">
        <is>
          <t>BASE</t>
        </is>
      </c>
      <c r="B26" s="26" t="inlineStr">
        <is>
          <t>Ambrettolide (Givaudan)</t>
        </is>
      </c>
      <c r="C26" s="27" t="n">
        <v>0.025</v>
      </c>
      <c r="D26" s="28" t="inlineStr"/>
      <c r="E26" s="28" t="inlineStr"/>
      <c r="F26" s="29">
        <f>IF(IncludeOptionals="YES",C26,IF($E26="OPT",0,C26/(1-OptPctSum)))</f>
        <v/>
      </c>
      <c r="G26" s="30" t="inlineStr">
        <is>
          <t>seamless skin musk</t>
        </is>
      </c>
      <c r="H26" s="31">
        <f>IF($D26="D10",0.1*INDEX(Inv_PricePerG,MATCH($B26,Inv_Mat,0))+0.9*DPGPricePerG,INDEX(Inv_PricePerG,MATCH($B26,Inv_Mat,0)))</f>
        <v/>
      </c>
    </row>
    <row r="27">
      <c r="A27" s="25" t="inlineStr">
        <is>
          <t>BASE</t>
        </is>
      </c>
      <c r="B27" s="26" t="inlineStr">
        <is>
          <t>Ethylene Brassylate</t>
        </is>
      </c>
      <c r="C27" s="27" t="n">
        <v>0.035</v>
      </c>
      <c r="D27" s="28" t="inlineStr"/>
      <c r="E27" s="28" t="inlineStr"/>
      <c r="F27" s="29">
        <f>IF(IncludeOptionals="YES",C27,IF($E27="OPT",0,C27/(1-OptPctSum)))</f>
        <v/>
      </c>
      <c r="G27" s="30" t="inlineStr">
        <is>
          <t>soft powder musk</t>
        </is>
      </c>
      <c r="H27" s="31">
        <f>IF($D27="D10",0.1*INDEX(Inv_PricePerG,MATCH($B27,Inv_Mat,0))+0.9*DPGPricePerG,INDEX(Inv_PricePerG,MATCH($B27,Inv_Mat,0)))</f>
        <v/>
      </c>
    </row>
    <row r="28">
      <c r="A28" s="42" t="inlineStr">
        <is>
          <t>BASE</t>
        </is>
      </c>
      <c r="B28" s="43" t="inlineStr">
        <is>
          <t>Exaltolide Total (Firmenich)</t>
        </is>
      </c>
      <c r="C28" s="27" t="n">
        <v>0.02</v>
      </c>
      <c r="D28" s="44" t="inlineStr"/>
      <c r="E28" s="44" t="inlineStr"/>
      <c r="F28" s="45">
        <f>IF(IncludeOptionals="YES",C28,IF($E28="OPT",0,C28/(1-OptPctSum)))</f>
        <v/>
      </c>
      <c r="G28" s="46" t="inlineStr">
        <is>
          <t>warm intimate musk</t>
        </is>
      </c>
      <c r="H28" s="31">
        <f>IF($D28="D10",0.1*INDEX(Inv_PricePerG,MATCH($B28,Inv_Mat,0))+0.9*DPGPricePerG,INDEX(Inv_PricePerG,MATCH($B28,Inv_Mat,0)))</f>
        <v/>
      </c>
    </row>
    <row r="29">
      <c r="A29" s="25" t="inlineStr">
        <is>
          <t>BASE</t>
        </is>
      </c>
      <c r="B29" s="26" t="inlineStr">
        <is>
          <t>Cedarwood Virginia</t>
        </is>
      </c>
      <c r="C29" s="27" t="n">
        <v>0.02</v>
      </c>
      <c r="D29" s="28" t="inlineStr"/>
      <c r="E29" s="28" t="inlineStr"/>
      <c r="F29" s="29">
        <f>IF(IncludeOptionals="YES",C29,IF($E29="OPT",0,C29/(1-OptPctSum)))</f>
        <v/>
      </c>
      <c r="G29" s="30" t="inlineStr">
        <is>
          <t>dry pencil-cedar backbone</t>
        </is>
      </c>
      <c r="H29" s="31">
        <f>IF($D29="D10",0.1*INDEX(Inv_PricePerG,MATCH($B29,Inv_Mat,0))+0.9*DPGPricePerG,INDEX(Inv_PricePerG,MATCH($B29,Inv_Mat,0)))</f>
        <v/>
      </c>
    </row>
    <row r="30">
      <c r="A30" s="25" t="inlineStr">
        <is>
          <t>BASE</t>
        </is>
      </c>
      <c r="B30" s="26" t="inlineStr">
        <is>
          <t>Vetyveryle Acetate</t>
        </is>
      </c>
      <c r="C30" s="27" t="n">
        <v>0.005</v>
      </c>
      <c r="D30" s="28" t="inlineStr"/>
      <c r="E30" s="28" t="inlineStr"/>
      <c r="F30" s="29">
        <f>IF(IncludeOptionals="YES",C30,IF($E30="OPT",0,C30/(1-OptPctSum)))</f>
        <v/>
      </c>
      <c r="G30" s="30" t="inlineStr">
        <is>
          <t>polished vetiver whisper</t>
        </is>
      </c>
      <c r="H30" s="31">
        <f>IF($D30="D10",0.1*INDEX(Inv_PricePerG,MATCH($B30,Inv_Mat,0))+0.9*DPGPricePerG,INDEX(Inv_PricePerG,MATCH($B30,Inv_Mat,0)))</f>
        <v/>
      </c>
    </row>
    <row r="31">
      <c r="A31" s="25" t="inlineStr">
        <is>
          <t>BASE</t>
        </is>
      </c>
      <c r="B31" s="26" t="inlineStr">
        <is>
          <t>Safraleine</t>
        </is>
      </c>
      <c r="C31" s="27" t="n">
        <v>0.01</v>
      </c>
      <c r="D31" s="28" t="inlineStr">
        <is>
          <t>D10</t>
        </is>
      </c>
      <c r="E31" s="28" t="inlineStr"/>
      <c r="F31" s="29">
        <f>IF(IncludeOptionals="YES",C31,IF($E31="OPT",0,C31/(1-OptPctSum)))</f>
        <v/>
      </c>
      <c r="G31" s="30" t="inlineStr">
        <is>
          <t>saffron-leather warmth</t>
        </is>
      </c>
      <c r="H31" s="31">
        <f>IF($D31="D10",0.1*INDEX(Inv_PricePerG,MATCH($B31,Inv_Mat,0))+0.9*DPGPricePerG,INDEX(Inv_PricePerG,MATCH($B31,Inv_Mat,0)))</f>
        <v/>
      </c>
    </row>
    <row r="33">
      <c r="B33" s="47" t="inlineStr">
        <is>
          <t>TOTALS</t>
        </is>
      </c>
      <c r="C33" s="48">
        <f>SUM(C7:C31)</f>
        <v/>
      </c>
      <c r="F33" s="48">
        <f>SUM(F7:F31)</f>
        <v/>
      </c>
    </row>
    <row r="34" ht="20" customHeight="1">
      <c r="A34" s="49">
        <f>IF(AND(ROUND(C33,6)=1,ROUND(F33,6)=1),"✓ BALANCED — input Σ = "&amp;TEXT(C33,"0.00%")&amp;"   ·   active Σ = "&amp;TEXT(F33,"0.00%"),"⚠ FORMULA DOES NOT SUM TO 100% — check the Input % column")</f>
        <v/>
      </c>
    </row>
    <row r="36">
      <c r="A36" s="22" t="inlineStr">
        <is>
          <t>Legend:</t>
        </is>
      </c>
      <c r="B36" s="37" t="inlineStr">
        <is>
          <t xml:space="preserve">  OPTIONAL / extra  </t>
        </is>
      </c>
      <c r="C36" s="15" t="inlineStr">
        <is>
          <t>hover the cell comment for its expected effect</t>
        </is>
      </c>
    </row>
    <row r="37">
      <c r="B37" s="42" t="inlineStr">
        <is>
          <t xml:space="preserve">  OVERLAPS another  </t>
        </is>
      </c>
      <c r="C37" s="15" t="inlineStr">
        <is>
          <t>shares a smell with a partner material — intentional layering, first to simplify</t>
        </is>
      </c>
    </row>
    <row r="38" ht="24" customHeight="1">
      <c r="A38" s="50" t="inlineStr">
        <is>
          <t>Every other ingredient is essential to the accord. There are NO wasted materials here — each phase (top / heart / base) needs its members to smell complete.</t>
        </is>
      </c>
    </row>
  </sheetData>
  <sheetProtection selectLockedCells="0" selectUnlockedCells="0" sheet="1" objects="0" insertRows="1" insertHyperlinks="1" autoFilter="1" scenarios="0" formatColumns="0" deleteColumns="1" insertColumns="1" pivotTables="1" deleteRows="1" formatCells="0" formatRows="0" sort="1"/>
  <mergeCells count="7">
    <mergeCell ref="A4:B4"/>
    <mergeCell ref="A2:I2"/>
    <mergeCell ref="A38:H38"/>
    <mergeCell ref="A1:I1"/>
    <mergeCell ref="C36:D36"/>
    <mergeCell ref="C37:G37"/>
    <mergeCell ref="A34:H34"/>
  </mergeCells>
  <conditionalFormatting sqref="A34:H34">
    <cfRule type="expression" priority="1" dxfId="2" stopIfTrue="1">
      <formula>LEFT($A$34,1)="✓"</formula>
    </cfRule>
    <cfRule type="expression" priority="2" dxfId="3">
      <formula>LEFT($A$34,1)&lt;&gt;"✓"</formula>
    </cfRule>
  </conditionalFormatting>
  <dataValidations count="2">
    <dataValidation sqref="C4" showDropDown="0" showInputMessage="0" showErrorMessage="0" allowBlank="0" type="list">
      <formula1>YesNoList</formula1>
    </dataValidation>
    <dataValidation sqref="C7:C31" showDropDown="0" showInputMessage="0" showErrorMessage="0" allowBlank="0" error="Enter a fraction, e.g. 0.09 for 9%"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C4A566"/>
    <outlinePr summaryBelow="1" summaryRight="1"/>
    <pageSetUpPr fitToPage="1"/>
  </sheetPr>
  <dimension ref="A1:H76"/>
  <sheetViews>
    <sheetView showGridLines="0" workbookViewId="0">
      <pane ySplit="28" topLeftCell="A29" activePane="bottomLeft" state="frozen"/>
      <selection pane="bottomLeft" activeCell="A1" sqref="A1"/>
    </sheetView>
  </sheetViews>
  <sheetFormatPr baseColWidth="8" defaultRowHeight="15"/>
  <cols>
    <col width="11" customWidth="1" min="1" max="1"/>
    <col width="14" customWidth="1" min="2" max="2"/>
    <col width="24" customWidth="1" min="3" max="3"/>
    <col width="12" customWidth="1" min="4" max="4"/>
    <col width="12" customWidth="1" min="5" max="5"/>
    <col width="13" customWidth="1" min="6" max="6"/>
    <col width="11" customWidth="1" min="7" max="7"/>
    <col width="9" customWidth="1" min="8" max="8"/>
  </cols>
  <sheetData>
    <row r="1" ht="28" customHeight="1">
      <c r="A1" s="17" t="inlineStr">
        <is>
          <t>ASMR — BATCH CALCULATOR</t>
        </is>
      </c>
    </row>
    <row r="2">
      <c r="A2" s="18" t="inlineStr">
        <is>
          <t>All quantities in grams. Weighing order: BASE → HEART → TOP.  Champagne cells are inputs.</t>
        </is>
      </c>
      <c r="B2" s="19" t="n"/>
      <c r="C2" s="19" t="n"/>
      <c r="D2" s="19" t="n"/>
      <c r="E2" s="19" t="n"/>
      <c r="F2" s="19" t="n"/>
      <c r="G2" s="19" t="n"/>
      <c r="H2" s="19" t="n"/>
    </row>
    <row r="3" ht="18" customHeight="1">
      <c r="A3" s="7" t="inlineStr">
        <is>
          <t>1 · BATCH INPUTS</t>
        </is>
      </c>
      <c r="B3" s="8" t="n"/>
      <c r="C3" s="8" t="n"/>
      <c r="D3" s="8" t="n"/>
      <c r="E3" s="8" t="n"/>
      <c r="F3" s="8" t="n"/>
      <c r="G3" s="8" t="n"/>
      <c r="H3" s="8" t="n"/>
    </row>
    <row r="4">
      <c r="A4" s="22" t="inlineStr">
        <is>
          <t>Product format</t>
        </is>
      </c>
      <c r="C4" s="23" t="inlineStr">
        <is>
          <t>Extrait de Parfum</t>
        </is>
      </c>
      <c r="D4" s="15" t="inlineStr">
        <is>
          <t>choose one of the six product formats</t>
        </is>
      </c>
    </row>
    <row r="5">
      <c r="A5" s="22" t="inlineStr">
        <is>
          <t>Batch size</t>
        </is>
      </c>
      <c r="C5" s="51" t="n">
        <v>50</v>
      </c>
      <c r="D5" s="15" t="inlineStr">
        <is>
          <t>in the unit chosen below</t>
        </is>
      </c>
    </row>
    <row r="6">
      <c r="A6" s="22" t="inlineStr">
        <is>
          <t>Size unit (ml / g)</t>
        </is>
      </c>
      <c r="C6" s="23" t="inlineStr">
        <is>
          <t>ml</t>
        </is>
      </c>
      <c r="D6" s="15" t="inlineStr">
        <is>
          <t>ml is converted to grams with the density cell below</t>
        </is>
      </c>
    </row>
    <row r="7">
      <c r="A7" s="22" t="inlineStr">
        <is>
          <t>Concentrate %</t>
        </is>
      </c>
      <c r="C7" s="27" t="n">
        <v>0.28</v>
      </c>
      <c r="D7" s="15">
        <f>"Suggested for this format: "&amp;TEXT(VLOOKUP(BatchFormat,FormatDefaults,2,FALSE),"0.0%")&amp;"   (range "&amp;TEXT(VLOOKUP(BatchFormat,FormatDefaults,3,FALSE),"0.0%")&amp;" – "&amp;TEXT(VLOOKUP(BatchFormat,FormatDefaults,4,FALSE),"0.0%")&amp;")"</f>
        <v/>
      </c>
    </row>
    <row r="8">
      <c r="A8" s="22" t="inlineStr">
        <is>
          <t>Finished density (g/ml)</t>
        </is>
      </c>
      <c r="C8" s="52" t="n">
        <v>0.85</v>
      </c>
      <c r="D8" s="15">
        <f>"Typical for this format: "&amp;TEXT(VLOOKUP(BatchFormat,FormatDefaults,5,FALSE),"0.00")&amp;" g/ml"</f>
        <v/>
      </c>
    </row>
    <row r="9">
      <c r="A9" s="22" t="inlineStr">
        <is>
          <t>Optionals included?</t>
        </is>
      </c>
      <c r="C9" s="53">
        <f>IncludeOptionals</f>
        <v/>
      </c>
      <c r="D9" s="15" t="inlineStr">
        <is>
          <t>optionals: Irone Alpha, Javanol — set on Formula Master</t>
        </is>
      </c>
    </row>
    <row r="11" ht="18" customHeight="1">
      <c r="A11" s="7" t="inlineStr">
        <is>
          <t>2 · FORMAT PARAMETERS  (each is used only by the format named)</t>
        </is>
      </c>
      <c r="B11" s="8" t="n"/>
      <c r="C11" s="8" t="n"/>
      <c r="D11" s="8" t="n"/>
      <c r="E11" s="8" t="n"/>
      <c r="F11" s="8" t="n"/>
      <c r="G11" s="8" t="n"/>
      <c r="H11" s="8" t="n"/>
    </row>
    <row r="12">
      <c r="A12" s="9" t="inlineStr">
        <is>
          <t>Distilled water % (EDP)</t>
        </is>
      </c>
      <c r="C12" s="27" t="n">
        <v>0</v>
      </c>
      <c r="D12" s="15" t="inlineStr">
        <is>
          <t>EDP / Extrait — optional, max 3%</t>
        </is>
      </c>
      <c r="E12" s="54" t="inlineStr">
        <is>
          <t>CREAM ROUTE 2 — PHASE %</t>
        </is>
      </c>
    </row>
    <row r="13">
      <c r="A13" s="9" t="inlineStr">
        <is>
          <t>Glycerin % (alc. mist)</t>
        </is>
      </c>
      <c r="C13" s="27" t="n">
        <v>0.02</v>
      </c>
      <c r="D13" s="15" t="inlineStr">
        <is>
          <t>Alcohol Body Mist — optional 2–3%</t>
        </is>
      </c>
      <c r="E13" s="9" t="inlineStr">
        <is>
          <t>Glycerin (water phase)</t>
        </is>
      </c>
      <c r="G13" s="27" t="n">
        <v>0.03</v>
      </c>
    </row>
    <row r="14">
      <c r="A14" s="9" t="inlineStr">
        <is>
          <t>Water % (alc. mist)</t>
        </is>
      </c>
      <c r="C14" s="27" t="n">
        <v>0.05</v>
      </c>
      <c r="D14" s="15" t="inlineStr">
        <is>
          <t>Alcohol Body Mist — optional 5–10%</t>
        </is>
      </c>
      <c r="E14" s="9" t="inlineStr">
        <is>
          <t>Emulsifying Wax NF</t>
        </is>
      </c>
      <c r="G14" s="27" t="n">
        <v>0.05</v>
      </c>
    </row>
    <row r="15">
      <c r="A15" s="9" t="inlineStr">
        <is>
          <t>Solubilizer × fragrance</t>
        </is>
      </c>
      <c r="C15" s="55" t="n">
        <v>4</v>
      </c>
      <c r="D15" s="15" t="inlineStr">
        <is>
          <t>Water Mist — Polysorbate 20 = 4–6 × fragrance wt</t>
        </is>
      </c>
      <c r="E15" s="9" t="inlineStr">
        <is>
          <t>Cetearyl alcohol</t>
        </is>
      </c>
      <c r="G15" s="27" t="n">
        <v>0.02</v>
      </c>
    </row>
    <row r="16">
      <c r="A16" s="9" t="inlineStr">
        <is>
          <t>Glycerin % (W-mist)</t>
        </is>
      </c>
      <c r="C16" s="27" t="n">
        <v>0.025</v>
      </c>
      <c r="D16" s="15" t="inlineStr">
        <is>
          <t>Water-Based Mist</t>
        </is>
      </c>
      <c r="E16" s="9" t="inlineStr">
        <is>
          <t>Carrier oil (light)</t>
        </is>
      </c>
      <c r="G16" s="27" t="n">
        <v>0.15</v>
      </c>
    </row>
    <row r="17">
      <c r="A17" s="9" t="inlineStr">
        <is>
          <t>Preservative % (W-mist)</t>
        </is>
      </c>
      <c r="C17" s="27" t="n">
        <v>0.008</v>
      </c>
      <c r="D17" s="15" t="inlineStr">
        <is>
          <t>Water-Based Mist — broad-spectrum, REQUIRED</t>
        </is>
      </c>
      <c r="E17" s="9" t="inlineStr">
        <is>
          <t>Shea / mango butter</t>
        </is>
      </c>
      <c r="G17" s="27" t="n">
        <v>0.05</v>
      </c>
    </row>
    <row r="18">
      <c r="A18" s="9" t="inlineStr">
        <is>
          <t>Vitamin E % (cream 2)</t>
        </is>
      </c>
      <c r="C18" s="27" t="n">
        <v>0.005</v>
      </c>
      <c r="D18" s="15" t="inlineStr">
        <is>
          <t>Cream Route 2 — cool-down antioxidant</t>
        </is>
      </c>
      <c r="E18" s="9" t="inlineStr">
        <is>
          <t>Preservative</t>
        </is>
      </c>
      <c r="G18" s="27" t="n">
        <v>0.01</v>
      </c>
    </row>
    <row r="20" ht="18" customHeight="1">
      <c r="A20" s="7" t="inlineStr">
        <is>
          <t>3 · BATCH TOTALS</t>
        </is>
      </c>
      <c r="B20" s="8" t="n"/>
      <c r="C20" s="8" t="n"/>
      <c r="D20" s="8" t="n"/>
      <c r="E20" s="8" t="n"/>
      <c r="F20" s="8" t="n"/>
      <c r="G20" s="8" t="n"/>
      <c r="H20" s="8" t="n"/>
    </row>
    <row r="21">
      <c r="A21" s="22" t="inlineStr">
        <is>
          <t>Total batch mass (g)</t>
        </is>
      </c>
      <c r="C21" s="56">
        <f>IF(BatchUnit="g",BatchSize,BatchSize*FinishedDensity)</f>
        <v/>
      </c>
      <c r="D21" s="15" t="inlineStr">
        <is>
          <t>batch size converted to grams</t>
        </is>
      </c>
    </row>
    <row r="22">
      <c r="A22" s="22" t="inlineStr">
        <is>
          <t>Batch volume (ml, approx.)</t>
        </is>
      </c>
      <c r="C22" s="56">
        <f>IF(BatchUnit="ml",BatchSize,BatchSize/FinishedDensity)</f>
        <v/>
      </c>
      <c r="D22" s="15" t="inlineStr">
        <is>
          <t>for cost-per-ml</t>
        </is>
      </c>
    </row>
    <row r="23">
      <c r="A23" s="22" t="inlineStr">
        <is>
          <t>Fragrance concentrate (g)</t>
        </is>
      </c>
      <c r="C23" s="56">
        <f>TotalMassG*ConcPct</f>
        <v/>
      </c>
      <c r="D23" s="15" t="inlineStr">
        <is>
          <t>total to weigh from the table below</t>
        </is>
      </c>
    </row>
    <row r="24">
      <c r="A24" s="22" t="inlineStr">
        <is>
          <t>Estimated batch cost (SAR)</t>
        </is>
      </c>
      <c r="C24" s="56">
        <f>ConcG*ConcCostPerGLoaded+SUMPRODUCT(AuxGrams,AuxCostPerG)</f>
        <v/>
      </c>
      <c r="D24" s="15" t="inlineStr">
        <is>
          <t>materials incl. shipping allocation — see Cost Analysis</t>
        </is>
      </c>
    </row>
    <row r="25">
      <c r="A25" s="22" t="inlineStr">
        <is>
          <t>Cost per ml (SAR)</t>
        </is>
      </c>
      <c r="C25" s="56">
        <f>IF(BatchVolMl=0,"",BatchCostSAR/BatchVolMl)</f>
        <v/>
      </c>
      <c r="D25" s="15" t="inlineStr"/>
    </row>
    <row r="27" ht="18" customHeight="1">
      <c r="A27" s="7" t="inlineStr">
        <is>
          <t>4 · CONCENTRATE WEIGHING  (weigh in this order: BASE → HEART → TOP)</t>
        </is>
      </c>
      <c r="B27" s="8" t="n"/>
      <c r="C27" s="8" t="n"/>
      <c r="D27" s="8" t="n"/>
      <c r="E27" s="8" t="n"/>
      <c r="F27" s="8" t="n"/>
      <c r="G27" s="8" t="n"/>
      <c r="H27" s="8" t="n"/>
    </row>
    <row r="28" ht="24" customHeight="1">
      <c r="A28" s="24" t="inlineStr">
        <is>
          <t>Phase</t>
        </is>
      </c>
      <c r="B28" s="24" t="inlineStr">
        <is>
          <t>Material</t>
        </is>
      </c>
      <c r="C28" s="24" t="inlineStr"/>
      <c r="D28" s="24" t="inlineStr">
        <is>
          <t>% of conc.</t>
        </is>
      </c>
      <c r="E28" s="24" t="inlineStr">
        <is>
          <t>Weigh (g)</t>
        </is>
      </c>
      <c r="F28" s="24" t="inlineStr">
        <is>
          <t>Form</t>
        </is>
      </c>
      <c r="G28" s="24" t="inlineStr">
        <is>
          <t>Neat (g)</t>
        </is>
      </c>
      <c r="H28" s="24" t="inlineStr">
        <is>
          <t>✓</t>
        </is>
      </c>
    </row>
    <row r="29">
      <c r="A29" s="25" t="inlineStr">
        <is>
          <t>BASE</t>
        </is>
      </c>
      <c r="B29" s="26" t="inlineStr">
        <is>
          <t>Iso E Super</t>
        </is>
      </c>
      <c r="C29" s="57" t="n"/>
      <c r="D29" s="29">
        <f>INDEX(FM_Active,MATCH($B29,FM_Mat,0))</f>
        <v/>
      </c>
      <c r="E29" s="13">
        <f>ConcG*D29</f>
        <v/>
      </c>
      <c r="F29" s="25">
        <f>IF(INDEX(FM_D10,MATCH($B29,FM_Mat,0))="D10","10% in DPG","neat")</f>
        <v/>
      </c>
      <c r="G29" s="58">
        <f>E29*IF(INDEX(FM_D10,MATCH($B29,FM_Mat,0))="D10",0.1,1)</f>
        <v/>
      </c>
      <c r="H29" s="59" t="inlineStr"/>
    </row>
    <row r="30">
      <c r="A30" s="25" t="inlineStr">
        <is>
          <t>BASE</t>
        </is>
      </c>
      <c r="B30" s="26" t="inlineStr">
        <is>
          <t>Amberxan (Ambroxan)</t>
        </is>
      </c>
      <c r="C30" s="57" t="n"/>
      <c r="D30" s="29">
        <f>INDEX(FM_Active,MATCH($B30,FM_Mat,0))</f>
        <v/>
      </c>
      <c r="E30" s="13">
        <f>ConcG*D30</f>
        <v/>
      </c>
      <c r="F30" s="25">
        <f>IF(INDEX(FM_D10,MATCH($B30,FM_Mat,0))="D10","10% in DPG","neat")</f>
        <v/>
      </c>
      <c r="G30" s="58">
        <f>E30*IF(INDEX(FM_D10,MATCH($B30,FM_Mat,0))="D10",0.1,1)</f>
        <v/>
      </c>
      <c r="H30" s="59" t="inlineStr"/>
    </row>
    <row r="31">
      <c r="A31" s="25" t="inlineStr">
        <is>
          <t>BASE</t>
        </is>
      </c>
      <c r="B31" s="26" t="inlineStr">
        <is>
          <t>Cashmeran IFF</t>
        </is>
      </c>
      <c r="C31" s="57" t="n"/>
      <c r="D31" s="29">
        <f>INDEX(FM_Active,MATCH($B31,FM_Mat,0))</f>
        <v/>
      </c>
      <c r="E31" s="13">
        <f>ConcG*D31</f>
        <v/>
      </c>
      <c r="F31" s="25">
        <f>IF(INDEX(FM_D10,MATCH($B31,FM_Mat,0))="D10","10% in DPG","neat")</f>
        <v/>
      </c>
      <c r="G31" s="58">
        <f>E31*IF(INDEX(FM_D10,MATCH($B31,FM_Mat,0))="D10",0.1,1)</f>
        <v/>
      </c>
      <c r="H31" s="59" t="inlineStr"/>
    </row>
    <row r="32">
      <c r="A32" s="25" t="inlineStr">
        <is>
          <t>BASE</t>
        </is>
      </c>
      <c r="B32" s="26" t="inlineStr">
        <is>
          <t>Sandal Spicatum Australia</t>
        </is>
      </c>
      <c r="C32" s="57" t="n"/>
      <c r="D32" s="29">
        <f>INDEX(FM_Active,MATCH($B32,FM_Mat,0))</f>
        <v/>
      </c>
      <c r="E32" s="13">
        <f>ConcG*D32</f>
        <v/>
      </c>
      <c r="F32" s="25">
        <f>IF(INDEX(FM_D10,MATCH($B32,FM_Mat,0))="D10","10% in DPG","neat")</f>
        <v/>
      </c>
      <c r="G32" s="58">
        <f>E32*IF(INDEX(FM_D10,MATCH($B32,FM_Mat,0))="D10",0.1,1)</f>
        <v/>
      </c>
      <c r="H32" s="59" t="inlineStr"/>
    </row>
    <row r="33">
      <c r="A33" s="25" t="inlineStr">
        <is>
          <t>BASE</t>
        </is>
      </c>
      <c r="B33" s="26" t="inlineStr">
        <is>
          <t>Sandalore (Givaudan)</t>
        </is>
      </c>
      <c r="C33" s="57" t="n"/>
      <c r="D33" s="29">
        <f>INDEX(FM_Active,MATCH($B33,FM_Mat,0))</f>
        <v/>
      </c>
      <c r="E33" s="13">
        <f>ConcG*D33</f>
        <v/>
      </c>
      <c r="F33" s="25">
        <f>IF(INDEX(FM_D10,MATCH($B33,FM_Mat,0))="D10","10% in DPG","neat")</f>
        <v/>
      </c>
      <c r="G33" s="58">
        <f>E33*IF(INDEX(FM_D10,MATCH($B33,FM_Mat,0))="D10",0.1,1)</f>
        <v/>
      </c>
      <c r="H33" s="59" t="inlineStr"/>
    </row>
    <row r="34">
      <c r="A34" s="25" t="inlineStr">
        <is>
          <t>BASE</t>
        </is>
      </c>
      <c r="B34" s="26" t="inlineStr">
        <is>
          <t>Javanol</t>
        </is>
      </c>
      <c r="C34" s="57" t="n"/>
      <c r="D34" s="29">
        <f>INDEX(FM_Active,MATCH($B34,FM_Mat,0))</f>
        <v/>
      </c>
      <c r="E34" s="13">
        <f>ConcG*D34</f>
        <v/>
      </c>
      <c r="F34" s="25">
        <f>IF(INDEX(FM_D10,MATCH($B34,FM_Mat,0))="D10","10% in DPG","neat")</f>
        <v/>
      </c>
      <c r="G34" s="58">
        <f>E34*IF(INDEX(FM_D10,MATCH($B34,FM_Mat,0))="D10",0.1,1)</f>
        <v/>
      </c>
      <c r="H34" s="59" t="inlineStr"/>
    </row>
    <row r="35">
      <c r="A35" s="25" t="inlineStr">
        <is>
          <t>BASE</t>
        </is>
      </c>
      <c r="B35" s="26" t="inlineStr">
        <is>
          <t>Globalide (Habanolide)</t>
        </is>
      </c>
      <c r="C35" s="57" t="n"/>
      <c r="D35" s="29">
        <f>INDEX(FM_Active,MATCH($B35,FM_Mat,0))</f>
        <v/>
      </c>
      <c r="E35" s="13">
        <f>ConcG*D35</f>
        <v/>
      </c>
      <c r="F35" s="25">
        <f>IF(INDEX(FM_D10,MATCH($B35,FM_Mat,0))="D10","10% in DPG","neat")</f>
        <v/>
      </c>
      <c r="G35" s="58">
        <f>E35*IF(INDEX(FM_D10,MATCH($B35,FM_Mat,0))="D10",0.1,1)</f>
        <v/>
      </c>
      <c r="H35" s="59" t="inlineStr"/>
    </row>
    <row r="36">
      <c r="A36" s="25" t="inlineStr">
        <is>
          <t>BASE</t>
        </is>
      </c>
      <c r="B36" s="26" t="inlineStr">
        <is>
          <t>Helvetolide</t>
        </is>
      </c>
      <c r="C36" s="57" t="n"/>
      <c r="D36" s="29">
        <f>INDEX(FM_Active,MATCH($B36,FM_Mat,0))</f>
        <v/>
      </c>
      <c r="E36" s="13">
        <f>ConcG*D36</f>
        <v/>
      </c>
      <c r="F36" s="25">
        <f>IF(INDEX(FM_D10,MATCH($B36,FM_Mat,0))="D10","10% in DPG","neat")</f>
        <v/>
      </c>
      <c r="G36" s="58">
        <f>E36*IF(INDEX(FM_D10,MATCH($B36,FM_Mat,0))="D10",0.1,1)</f>
        <v/>
      </c>
      <c r="H36" s="59" t="inlineStr"/>
    </row>
    <row r="37">
      <c r="A37" s="25" t="inlineStr">
        <is>
          <t>BASE</t>
        </is>
      </c>
      <c r="B37" s="26" t="inlineStr">
        <is>
          <t>Ambrettolide (Givaudan)</t>
        </is>
      </c>
      <c r="C37" s="57" t="n"/>
      <c r="D37" s="29">
        <f>INDEX(FM_Active,MATCH($B37,FM_Mat,0))</f>
        <v/>
      </c>
      <c r="E37" s="13">
        <f>ConcG*D37</f>
        <v/>
      </c>
      <c r="F37" s="25">
        <f>IF(INDEX(FM_D10,MATCH($B37,FM_Mat,0))="D10","10% in DPG","neat")</f>
        <v/>
      </c>
      <c r="G37" s="58">
        <f>E37*IF(INDEX(FM_D10,MATCH($B37,FM_Mat,0))="D10",0.1,1)</f>
        <v/>
      </c>
      <c r="H37" s="59" t="inlineStr"/>
    </row>
    <row r="38">
      <c r="A38" s="25" t="inlineStr">
        <is>
          <t>BASE</t>
        </is>
      </c>
      <c r="B38" s="26" t="inlineStr">
        <is>
          <t>Ethylene Brassylate</t>
        </is>
      </c>
      <c r="C38" s="57" t="n"/>
      <c r="D38" s="29">
        <f>INDEX(FM_Active,MATCH($B38,FM_Mat,0))</f>
        <v/>
      </c>
      <c r="E38" s="13">
        <f>ConcG*D38</f>
        <v/>
      </c>
      <c r="F38" s="25">
        <f>IF(INDEX(FM_D10,MATCH($B38,FM_Mat,0))="D10","10% in DPG","neat")</f>
        <v/>
      </c>
      <c r="G38" s="58">
        <f>E38*IF(INDEX(FM_D10,MATCH($B38,FM_Mat,0))="D10",0.1,1)</f>
        <v/>
      </c>
      <c r="H38" s="59" t="inlineStr"/>
    </row>
    <row r="39">
      <c r="A39" s="25" t="inlineStr">
        <is>
          <t>BASE</t>
        </is>
      </c>
      <c r="B39" s="26" t="inlineStr">
        <is>
          <t>Exaltolide Total (Firmenich)</t>
        </is>
      </c>
      <c r="C39" s="57" t="n"/>
      <c r="D39" s="29">
        <f>INDEX(FM_Active,MATCH($B39,FM_Mat,0))</f>
        <v/>
      </c>
      <c r="E39" s="13">
        <f>ConcG*D39</f>
        <v/>
      </c>
      <c r="F39" s="25">
        <f>IF(INDEX(FM_D10,MATCH($B39,FM_Mat,0))="D10","10% in DPG","neat")</f>
        <v/>
      </c>
      <c r="G39" s="58">
        <f>E39*IF(INDEX(FM_D10,MATCH($B39,FM_Mat,0))="D10",0.1,1)</f>
        <v/>
      </c>
      <c r="H39" s="59" t="inlineStr"/>
    </row>
    <row r="40">
      <c r="A40" s="25" t="inlineStr">
        <is>
          <t>BASE</t>
        </is>
      </c>
      <c r="B40" s="26" t="inlineStr">
        <is>
          <t>Cedarwood Virginia</t>
        </is>
      </c>
      <c r="C40" s="57" t="n"/>
      <c r="D40" s="29">
        <f>INDEX(FM_Active,MATCH($B40,FM_Mat,0))</f>
        <v/>
      </c>
      <c r="E40" s="13">
        <f>ConcG*D40</f>
        <v/>
      </c>
      <c r="F40" s="25">
        <f>IF(INDEX(FM_D10,MATCH($B40,FM_Mat,0))="D10","10% in DPG","neat")</f>
        <v/>
      </c>
      <c r="G40" s="58">
        <f>E40*IF(INDEX(FM_D10,MATCH($B40,FM_Mat,0))="D10",0.1,1)</f>
        <v/>
      </c>
      <c r="H40" s="59" t="inlineStr"/>
    </row>
    <row r="41">
      <c r="A41" s="25" t="inlineStr">
        <is>
          <t>BASE</t>
        </is>
      </c>
      <c r="B41" s="26" t="inlineStr">
        <is>
          <t>Vetyveryle Acetate</t>
        </is>
      </c>
      <c r="C41" s="57" t="n"/>
      <c r="D41" s="29">
        <f>INDEX(FM_Active,MATCH($B41,FM_Mat,0))</f>
        <v/>
      </c>
      <c r="E41" s="13">
        <f>ConcG*D41</f>
        <v/>
      </c>
      <c r="F41" s="25">
        <f>IF(INDEX(FM_D10,MATCH($B41,FM_Mat,0))="D10","10% in DPG","neat")</f>
        <v/>
      </c>
      <c r="G41" s="58">
        <f>E41*IF(INDEX(FM_D10,MATCH($B41,FM_Mat,0))="D10",0.1,1)</f>
        <v/>
      </c>
      <c r="H41" s="59" t="inlineStr"/>
    </row>
    <row r="42">
      <c r="A42" s="25" t="inlineStr">
        <is>
          <t>BASE</t>
        </is>
      </c>
      <c r="B42" s="26" t="inlineStr">
        <is>
          <t>Safraleine</t>
        </is>
      </c>
      <c r="C42" s="57" t="n"/>
      <c r="D42" s="29">
        <f>INDEX(FM_Active,MATCH($B42,FM_Mat,0))</f>
        <v/>
      </c>
      <c r="E42" s="13">
        <f>ConcG*D42</f>
        <v/>
      </c>
      <c r="F42" s="25">
        <f>IF(INDEX(FM_D10,MATCH($B42,FM_Mat,0))="D10","10% in DPG","neat")</f>
        <v/>
      </c>
      <c r="G42" s="58">
        <f>E42*IF(INDEX(FM_D10,MATCH($B42,FM_Mat,0))="D10",0.1,1)</f>
        <v/>
      </c>
      <c r="H42" s="59" t="inlineStr"/>
    </row>
    <row r="43">
      <c r="A43" s="32" t="inlineStr">
        <is>
          <t>HEART</t>
        </is>
      </c>
      <c r="B43" s="33" t="inlineStr">
        <is>
          <t>Hedione (Firmenich)</t>
        </is>
      </c>
      <c r="C43" s="57" t="n"/>
      <c r="D43" s="35">
        <f>INDEX(FM_Active,MATCH($B43,FM_Mat,0))</f>
        <v/>
      </c>
      <c r="E43" s="60">
        <f>ConcG*D43</f>
        <v/>
      </c>
      <c r="F43" s="32">
        <f>IF(INDEX(FM_D10,MATCH($B43,FM_Mat,0))="D10","10% in DPG","neat")</f>
        <v/>
      </c>
      <c r="G43" s="61">
        <f>E43*IF(INDEX(FM_D10,MATCH($B43,FM_Mat,0))="D10",0.1,1)</f>
        <v/>
      </c>
      <c r="H43" s="62" t="inlineStr"/>
    </row>
    <row r="44">
      <c r="A44" s="32" t="inlineStr">
        <is>
          <t>HEART</t>
        </is>
      </c>
      <c r="B44" s="33" t="inlineStr">
        <is>
          <t>Orange Blossom Tunisia Absolute</t>
        </is>
      </c>
      <c r="C44" s="57" t="n"/>
      <c r="D44" s="35">
        <f>INDEX(FM_Active,MATCH($B44,FM_Mat,0))</f>
        <v/>
      </c>
      <c r="E44" s="60">
        <f>ConcG*D44</f>
        <v/>
      </c>
      <c r="F44" s="32">
        <f>IF(INDEX(FM_D10,MATCH($B44,FM_Mat,0))="D10","10% in DPG","neat")</f>
        <v/>
      </c>
      <c r="G44" s="61">
        <f>E44*IF(INDEX(FM_D10,MATCH($B44,FM_Mat,0))="D10",0.1,1)</f>
        <v/>
      </c>
      <c r="H44" s="62" t="inlineStr"/>
    </row>
    <row r="45">
      <c r="A45" s="32" t="inlineStr">
        <is>
          <t>HEART</t>
        </is>
      </c>
      <c r="B45" s="33" t="inlineStr">
        <is>
          <t>Methyl Alpha Ionone Iso</t>
        </is>
      </c>
      <c r="C45" s="57" t="n"/>
      <c r="D45" s="35">
        <f>INDEX(FM_Active,MATCH($B45,FM_Mat,0))</f>
        <v/>
      </c>
      <c r="E45" s="60">
        <f>ConcG*D45</f>
        <v/>
      </c>
      <c r="F45" s="32">
        <f>IF(INDEX(FM_D10,MATCH($B45,FM_Mat,0))="D10","10% in DPG","neat")</f>
        <v/>
      </c>
      <c r="G45" s="61">
        <f>E45*IF(INDEX(FM_D10,MATCH($B45,FM_Mat,0))="D10",0.1,1)</f>
        <v/>
      </c>
      <c r="H45" s="62" t="inlineStr"/>
    </row>
    <row r="46">
      <c r="A46" s="32" t="inlineStr">
        <is>
          <t>HEART</t>
        </is>
      </c>
      <c r="B46" s="33" t="inlineStr">
        <is>
          <t>Irone Alpha</t>
        </is>
      </c>
      <c r="C46" s="57" t="n"/>
      <c r="D46" s="35">
        <f>INDEX(FM_Active,MATCH($B46,FM_Mat,0))</f>
        <v/>
      </c>
      <c r="E46" s="60">
        <f>ConcG*D46</f>
        <v/>
      </c>
      <c r="F46" s="32">
        <f>IF(INDEX(FM_D10,MATCH($B46,FM_Mat,0))="D10","10% in DPG","neat")</f>
        <v/>
      </c>
      <c r="G46" s="61">
        <f>E46*IF(INDEX(FM_D10,MATCH($B46,FM_Mat,0))="D10",0.1,1)</f>
        <v/>
      </c>
      <c r="H46" s="62" t="inlineStr"/>
    </row>
    <row r="47">
      <c r="A47" s="32" t="inlineStr">
        <is>
          <t>HEART</t>
        </is>
      </c>
      <c r="B47" s="33" t="inlineStr">
        <is>
          <t>Benzyl Salicylate</t>
        </is>
      </c>
      <c r="C47" s="57" t="n"/>
      <c r="D47" s="35">
        <f>INDEX(FM_Active,MATCH($B47,FM_Mat,0))</f>
        <v/>
      </c>
      <c r="E47" s="60">
        <f>ConcG*D47</f>
        <v/>
      </c>
      <c r="F47" s="32">
        <f>IF(INDEX(FM_D10,MATCH($B47,FM_Mat,0))="D10","10% in DPG","neat")</f>
        <v/>
      </c>
      <c r="G47" s="61">
        <f>E47*IF(INDEX(FM_D10,MATCH($B47,FM_Mat,0))="D10",0.1,1)</f>
        <v/>
      </c>
      <c r="H47" s="62" t="inlineStr"/>
    </row>
    <row r="48">
      <c r="A48" s="32" t="inlineStr">
        <is>
          <t>HEART</t>
        </is>
      </c>
      <c r="B48" s="33" t="inlineStr">
        <is>
          <t>Linalool</t>
        </is>
      </c>
      <c r="C48" s="57" t="n"/>
      <c r="D48" s="35">
        <f>INDEX(FM_Active,MATCH($B48,FM_Mat,0))</f>
        <v/>
      </c>
      <c r="E48" s="60">
        <f>ConcG*D48</f>
        <v/>
      </c>
      <c r="F48" s="32">
        <f>IF(INDEX(FM_D10,MATCH($B48,FM_Mat,0))="D10","10% in DPG","neat")</f>
        <v/>
      </c>
      <c r="G48" s="61">
        <f>E48*IF(INDEX(FM_D10,MATCH($B48,FM_Mat,0))="D10",0.1,1)</f>
        <v/>
      </c>
      <c r="H48" s="62" t="inlineStr"/>
    </row>
    <row r="49">
      <c r="A49" s="25" t="inlineStr">
        <is>
          <t>TOP</t>
        </is>
      </c>
      <c r="B49" s="26" t="inlineStr">
        <is>
          <t>Bergamot Accord</t>
        </is>
      </c>
      <c r="C49" s="57" t="n"/>
      <c r="D49" s="29">
        <f>INDEX(FM_Active,MATCH($B49,FM_Mat,0))</f>
        <v/>
      </c>
      <c r="E49" s="13">
        <f>ConcG*D49</f>
        <v/>
      </c>
      <c r="F49" s="25">
        <f>IF(INDEX(FM_D10,MATCH($B49,FM_Mat,0))="D10","10% in DPG","neat")</f>
        <v/>
      </c>
      <c r="G49" s="58">
        <f>E49*IF(INDEX(FM_D10,MATCH($B49,FM_Mat,0))="D10",0.1,1)</f>
        <v/>
      </c>
      <c r="H49" s="59" t="inlineStr"/>
    </row>
    <row r="50">
      <c r="A50" s="25" t="inlineStr">
        <is>
          <t>TOP</t>
        </is>
      </c>
      <c r="B50" s="26" t="inlineStr">
        <is>
          <t>Petitgrain Paraguay</t>
        </is>
      </c>
      <c r="C50" s="57" t="n"/>
      <c r="D50" s="29">
        <f>INDEX(FM_Active,MATCH($B50,FM_Mat,0))</f>
        <v/>
      </c>
      <c r="E50" s="13">
        <f>ConcG*D50</f>
        <v/>
      </c>
      <c r="F50" s="25">
        <f>IF(INDEX(FM_D10,MATCH($B50,FM_Mat,0))="D10","10% in DPG","neat")</f>
        <v/>
      </c>
      <c r="G50" s="58">
        <f>E50*IF(INDEX(FM_D10,MATCH($B50,FM_Mat,0))="D10",0.1,1)</f>
        <v/>
      </c>
      <c r="H50" s="59" t="inlineStr"/>
    </row>
    <row r="51">
      <c r="A51" s="25" t="inlineStr">
        <is>
          <t>TOP</t>
        </is>
      </c>
      <c r="B51" s="26" t="inlineStr">
        <is>
          <t>Neroli Accord</t>
        </is>
      </c>
      <c r="C51" s="57" t="n"/>
      <c r="D51" s="29">
        <f>INDEX(FM_Active,MATCH($B51,FM_Mat,0))</f>
        <v/>
      </c>
      <c r="E51" s="13">
        <f>ConcG*D51</f>
        <v/>
      </c>
      <c r="F51" s="25">
        <f>IF(INDEX(FM_D10,MATCH($B51,FM_Mat,0))="D10","10% in DPG","neat")</f>
        <v/>
      </c>
      <c r="G51" s="58">
        <f>E51*IF(INDEX(FM_D10,MATCH($B51,FM_Mat,0))="D10",0.1,1)</f>
        <v/>
      </c>
      <c r="H51" s="59" t="inlineStr"/>
    </row>
    <row r="52">
      <c r="A52" s="25" t="inlineStr">
        <is>
          <t>TOP</t>
        </is>
      </c>
      <c r="B52" s="26" t="inlineStr">
        <is>
          <t>Pink Peppercorn</t>
        </is>
      </c>
      <c r="C52" s="57" t="n"/>
      <c r="D52" s="29">
        <f>INDEX(FM_Active,MATCH($B52,FM_Mat,0))</f>
        <v/>
      </c>
      <c r="E52" s="13">
        <f>ConcG*D52</f>
        <v/>
      </c>
      <c r="F52" s="25">
        <f>IF(INDEX(FM_D10,MATCH($B52,FM_Mat,0))="D10","10% in DPG","neat")</f>
        <v/>
      </c>
      <c r="G52" s="58">
        <f>E52*IF(INDEX(FM_D10,MATCH($B52,FM_Mat,0))="D10",0.1,1)</f>
        <v/>
      </c>
      <c r="H52" s="59" t="inlineStr"/>
    </row>
    <row r="53">
      <c r="A53" s="25" t="inlineStr">
        <is>
          <t>TOP</t>
        </is>
      </c>
      <c r="B53" s="26" t="inlineStr">
        <is>
          <t>Floralozone</t>
        </is>
      </c>
      <c r="C53" s="57" t="n"/>
      <c r="D53" s="29">
        <f>INDEX(FM_Active,MATCH($B53,FM_Mat,0))</f>
        <v/>
      </c>
      <c r="E53" s="13">
        <f>ConcG*D53</f>
        <v/>
      </c>
      <c r="F53" s="25">
        <f>IF(INDEX(FM_D10,MATCH($B53,FM_Mat,0))="D10","10% in DPG","neat")</f>
        <v/>
      </c>
      <c r="G53" s="58">
        <f>E53*IF(INDEX(FM_D10,MATCH($B53,FM_Mat,0))="D10",0.1,1)</f>
        <v/>
      </c>
      <c r="H53" s="59" t="inlineStr"/>
    </row>
    <row r="54">
      <c r="A54" s="47" t="inlineStr">
        <is>
          <t>CONCENTRATE TOTAL (must equal the concentrate above)</t>
        </is>
      </c>
      <c r="E54" s="63">
        <f>SUM(E29:E53)</f>
        <v/>
      </c>
      <c r="F54" s="64">
        <f>IF(ABS(E54-ConcG)&lt;0.005,"✓","⚠")</f>
        <v/>
      </c>
      <c r="G54" s="65">
        <f>SUM(G29:G53)</f>
        <v/>
      </c>
    </row>
    <row r="56" ht="18" customHeight="1">
      <c r="A56" s="7" t="inlineStr">
        <is>
          <t>5 · SOLVENT &amp; AUXILIARY COMPONENTS</t>
        </is>
      </c>
      <c r="B56" s="8" t="n"/>
      <c r="C56" s="8" t="n"/>
      <c r="D56" s="8" t="n"/>
      <c r="E56" s="8" t="n"/>
      <c r="F56" s="8" t="n"/>
      <c r="G56" s="8" t="n"/>
      <c r="H56" s="8" t="n"/>
    </row>
    <row r="57" ht="24" customHeight="1">
      <c r="A57" s="24" t="inlineStr">
        <is>
          <t>Component</t>
        </is>
      </c>
      <c r="B57" s="66" t="n"/>
      <c r="C57" s="67" t="n"/>
      <c r="D57" s="24" t="inlineStr">
        <is>
          <t>Grams</t>
        </is>
      </c>
      <c r="E57" s="24" t="inlineStr">
        <is>
          <t>Note</t>
        </is>
      </c>
      <c r="F57" s="66" t="n"/>
      <c r="G57" s="66" t="n"/>
      <c r="H57" s="67" t="n"/>
    </row>
    <row r="58">
      <c r="A58" s="68" t="inlineStr">
        <is>
          <t>Alcohol 190 proof SDA 40B</t>
        </is>
      </c>
      <c r="B58" s="57" t="n"/>
      <c r="C58" s="57" t="n"/>
      <c r="D58" s="13">
        <f>IF(OR(BatchFormat="Eau de Parfum",BatchFormat="Extrait de Parfum"),TotalMassG-ConcG-TotalMassG*WaterPct,IF(BatchFormat="Alcohol Body Mist",TotalMassG-ConcG-TotalMassG*MistGlyPct-TotalMassG*MistWaterPct,0))</f>
        <v/>
      </c>
      <c r="E58" s="69" t="inlineStr">
        <is>
          <t>EDP / Extrait / Alcohol Mist only — flammable</t>
        </is>
      </c>
      <c r="F58" s="57" t="n"/>
      <c r="G58" s="57" t="n"/>
      <c r="H58" s="57" t="n"/>
    </row>
    <row r="59">
      <c r="A59" s="68" t="inlineStr">
        <is>
          <t>Distilled water</t>
        </is>
      </c>
      <c r="B59" s="57" t="n"/>
      <c r="C59" s="57" t="n"/>
      <c r="D59" s="13">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
      </c>
      <c r="E59" s="69" t="inlineStr">
        <is>
          <t>remainder in Water Mist &amp; Cream Route 2</t>
        </is>
      </c>
      <c r="F59" s="57" t="n"/>
      <c r="G59" s="57" t="n"/>
      <c r="H59" s="57" t="n"/>
    </row>
    <row r="60">
      <c r="A60" s="68" t="inlineStr">
        <is>
          <t>Glycerin</t>
        </is>
      </c>
      <c r="B60" s="57" t="n"/>
      <c r="C60" s="57" t="n"/>
      <c r="D60" s="13">
        <f>IF(BatchFormat="Alcohol Body Mist",TotalMassG*MistGlyPct,IF(BatchFormat="Water-Based Mist",TotalMassG*WMGlyPct,IF(BatchFormat="Cream Route 2 (from scratch)",TotalMassG*CR2GlyPct,0)))</f>
        <v/>
      </c>
      <c r="E60" s="69" t="inlineStr">
        <is>
          <t>humectant</t>
        </is>
      </c>
      <c r="F60" s="57" t="n"/>
      <c r="G60" s="57" t="n"/>
      <c r="H60" s="57" t="n"/>
    </row>
    <row r="61">
      <c r="A61" s="68" t="inlineStr">
        <is>
          <t>Polysorbate 20 (solubilizer)</t>
        </is>
      </c>
      <c r="B61" s="57" t="n"/>
      <c r="C61" s="57" t="n"/>
      <c r="D61" s="13">
        <f>IF(BatchFormat="Water-Based Mist",ConcG*SolubRatio,0)</f>
        <v/>
      </c>
      <c r="E61" s="69" t="inlineStr">
        <is>
          <t>mix with fragrance FIRST, then add water</t>
        </is>
      </c>
      <c r="F61" s="57" t="n"/>
      <c r="G61" s="57" t="n"/>
      <c r="H61" s="57" t="n"/>
    </row>
    <row r="62">
      <c r="A62" s="68" t="inlineStr">
        <is>
          <t>Preservative (broad-spectrum)</t>
        </is>
      </c>
      <c r="B62" s="57" t="n"/>
      <c r="C62" s="57" t="n"/>
      <c r="D62" s="13">
        <f>IF(BatchFormat="Water-Based Mist",TotalMassG*WMPresPct,IF(BatchFormat="Cream Route 2 (from scratch)",TotalMassG*CR2PresPct,0))</f>
        <v/>
      </c>
      <c r="E62" s="69" t="inlineStr">
        <is>
          <t>REQUIRED in every water-containing product</t>
        </is>
      </c>
      <c r="F62" s="57" t="n"/>
      <c r="G62" s="57" t="n"/>
      <c r="H62" s="57" t="n"/>
    </row>
    <row r="63">
      <c r="A63" s="68" t="inlineStr">
        <is>
          <t>Unscented cream base (preserved)</t>
        </is>
      </c>
      <c r="B63" s="57" t="n"/>
      <c r="C63" s="57" t="n"/>
      <c r="D63" s="13">
        <f>IF(BatchFormat="Cream Route 1 (scented base)",TotalMassG-ConcG,0)</f>
        <v/>
      </c>
      <c r="E63" s="69" t="inlineStr">
        <is>
          <t>Cream Route 1 — stir fragrance in cold</t>
        </is>
      </c>
      <c r="F63" s="57" t="n"/>
      <c r="G63" s="57" t="n"/>
      <c r="H63" s="57" t="n"/>
    </row>
    <row r="64">
      <c r="A64" s="68" t="inlineStr">
        <is>
          <t>Emulsifying Wax NF</t>
        </is>
      </c>
      <c r="B64" s="57" t="n"/>
      <c r="C64" s="57" t="n"/>
      <c r="D64" s="13">
        <f>IF(BatchFormat="Cream Route 2 (from scratch)",TotalMassG*CR2EwaxPct,0)</f>
        <v/>
      </c>
      <c r="E64" s="69" t="inlineStr">
        <is>
          <t>oil phase, 70–75 °C</t>
        </is>
      </c>
      <c r="F64" s="57" t="n"/>
      <c r="G64" s="57" t="n"/>
      <c r="H64" s="57" t="n"/>
    </row>
    <row r="65">
      <c r="A65" s="68" t="inlineStr">
        <is>
          <t>Cetearyl alcohol</t>
        </is>
      </c>
      <c r="B65" s="57" t="n"/>
      <c r="C65" s="57" t="n"/>
      <c r="D65" s="13">
        <f>IF(BatchFormat="Cream Route 2 (from scratch)",TotalMassG*CR2CetPct,0)</f>
        <v/>
      </c>
      <c r="E65" s="69" t="inlineStr">
        <is>
          <t>oil phase</t>
        </is>
      </c>
      <c r="F65" s="57" t="n"/>
      <c r="G65" s="57" t="n"/>
      <c r="H65" s="57" t="n"/>
    </row>
    <row r="66">
      <c r="A66" s="68" t="inlineStr">
        <is>
          <t>Carrier oil (light)</t>
        </is>
      </c>
      <c r="B66" s="57" t="n"/>
      <c r="C66" s="57" t="n"/>
      <c r="D66" s="13">
        <f>IF(BatchFormat="Cream Route 2 (from scratch)",TotalMassG*CR2OilPct,0)</f>
        <v/>
      </c>
      <c r="E66" s="69" t="inlineStr">
        <is>
          <t>oil phase</t>
        </is>
      </c>
      <c r="F66" s="57" t="n"/>
      <c r="G66" s="57" t="n"/>
      <c r="H66" s="57" t="n"/>
    </row>
    <row r="67">
      <c r="A67" s="68" t="inlineStr">
        <is>
          <t>Shea / mango butter</t>
        </is>
      </c>
      <c r="B67" s="57" t="n"/>
      <c r="C67" s="57" t="n"/>
      <c r="D67" s="13">
        <f>IF(BatchFormat="Cream Route 2 (from scratch)",TotalMassG*CR2ButterPct,0)</f>
        <v/>
      </c>
      <c r="E67" s="69" t="inlineStr">
        <is>
          <t>oil phase</t>
        </is>
      </c>
      <c r="F67" s="57" t="n"/>
      <c r="G67" s="57" t="n"/>
      <c r="H67" s="57" t="n"/>
    </row>
    <row r="68">
      <c r="A68" s="68" t="inlineStr">
        <is>
          <t>Vitamin E</t>
        </is>
      </c>
      <c r="B68" s="57" t="n"/>
      <c r="C68" s="57" t="n"/>
      <c r="D68" s="13">
        <f>IF(BatchFormat="Cream Route 2 (from scratch)",TotalMassG*VitEPct,0)</f>
        <v/>
      </c>
      <c r="E68" s="69" t="inlineStr">
        <is>
          <t>cool-down, below 40 °C</t>
        </is>
      </c>
      <c r="F68" s="57" t="n"/>
      <c r="G68" s="57" t="n"/>
      <c r="H68" s="57" t="n"/>
    </row>
    <row r="69">
      <c r="A69" s="47" t="inlineStr">
        <is>
          <t>TOTAL BATCH (g)</t>
        </is>
      </c>
      <c r="D69" s="63">
        <f>ConcG+SUM(D58:D68)</f>
        <v/>
      </c>
      <c r="E69" s="22">
        <f>IF(ABS(D69-TotalMassG)&lt;0.005,"✓ equals batch mass","⚠ mismatch — check inputs")</f>
        <v/>
      </c>
    </row>
    <row r="71">
      <c r="A71" s="70" t="inlineStr">
        <is>
          <t>Batch ID:</t>
        </is>
      </c>
      <c r="B71" s="71" t="inlineStr"/>
      <c r="C71" s="70" t="inlineStr">
        <is>
          <t>Date:</t>
        </is>
      </c>
      <c r="D71" s="71" t="inlineStr"/>
      <c r="E71" s="70" t="inlineStr">
        <is>
          <t>Operator:</t>
        </is>
      </c>
      <c r="F71" s="71" t="inlineStr"/>
      <c r="G71" s="70" t="inlineStr">
        <is>
          <t>Checked:</t>
        </is>
      </c>
      <c r="H71" s="71" t="inlineStr"/>
    </row>
    <row r="73" ht="18" customHeight="1">
      <c r="A73" s="72" t="inlineStr">
        <is>
          <t>WORKED VERIFICATION — 50 ml EXTRAIT @ 28%, density 0.85 (fixed example)</t>
        </is>
      </c>
      <c r="B73" s="73" t="n"/>
      <c r="C73" s="73" t="n"/>
      <c r="D73" s="73" t="n"/>
      <c r="E73" s="73" t="n"/>
      <c r="F73" s="73" t="n"/>
      <c r="G73" s="73" t="n"/>
      <c r="H73" s="73" t="n"/>
    </row>
    <row r="74">
      <c r="A74" s="9" t="inlineStr">
        <is>
          <t>Total mass = 50 ml × 0.85 g/ml</t>
        </is>
      </c>
      <c r="D74" s="74">
        <f>50*0.85</f>
        <v/>
      </c>
      <c r="E74" s="15" t="inlineStr">
        <is>
          <t>expect ≈ 42.5 g</t>
        </is>
      </c>
    </row>
    <row r="75">
      <c r="A75" s="9" t="inlineStr">
        <is>
          <t>Concentrate = 42.5 g × 28%</t>
        </is>
      </c>
      <c r="D75" s="74">
        <f>50*0.85*0.28</f>
        <v/>
      </c>
      <c r="E75" s="15" t="inlineStr">
        <is>
          <t>expect ≈ 11.9 g</t>
        </is>
      </c>
    </row>
    <row r="76">
      <c r="A76" s="9" t="inlineStr">
        <is>
          <t>Alcohol = total − concentrate</t>
        </is>
      </c>
      <c r="D76" s="74">
        <f>50*0.85-50*0.85*0.28</f>
        <v/>
      </c>
      <c r="E76" s="15" t="inlineStr">
        <is>
          <t>expect ≈ 30.6 g</t>
        </is>
      </c>
    </row>
  </sheetData>
  <sheetProtection selectLockedCells="0" selectUnlockedCells="0" sheet="1" objects="0" insertRows="1" insertHyperlinks="1" autoFilter="1" scenarios="0" formatColumns="0" deleteColumns="1" insertColumns="1" pivotTables="1" deleteRows="1" formatCells="0" formatRows="0" sort="1"/>
  <mergeCells count="102">
    <mergeCell ref="A15:B15"/>
    <mergeCell ref="E61:H61"/>
    <mergeCell ref="B31:C31"/>
    <mergeCell ref="A57:C57"/>
    <mergeCell ref="A7:B7"/>
    <mergeCell ref="E62:H62"/>
    <mergeCell ref="A3:H3"/>
    <mergeCell ref="B38:C38"/>
    <mergeCell ref="A63:C63"/>
    <mergeCell ref="E64:H64"/>
    <mergeCell ref="A54:D54"/>
    <mergeCell ref="A17:B17"/>
    <mergeCell ref="B40:C40"/>
    <mergeCell ref="E63:H63"/>
    <mergeCell ref="B49:C49"/>
    <mergeCell ref="A22:B22"/>
    <mergeCell ref="D9:H9"/>
    <mergeCell ref="B33:C33"/>
    <mergeCell ref="E65:H65"/>
    <mergeCell ref="B51:C51"/>
    <mergeCell ref="E74:H74"/>
    <mergeCell ref="D23:H23"/>
    <mergeCell ref="B32:C32"/>
    <mergeCell ref="A69:C69"/>
    <mergeCell ref="B41:C41"/>
    <mergeCell ref="A9:B9"/>
    <mergeCell ref="B35:C35"/>
    <mergeCell ref="A66:C66"/>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E76:H76"/>
    <mergeCell ref="B43:C43"/>
    <mergeCell ref="E66:H66"/>
    <mergeCell ref="B52:C52"/>
    <mergeCell ref="D21:H21"/>
    <mergeCell ref="B42:C42"/>
    <mergeCell ref="A62:C62"/>
    <mergeCell ref="E13:F13"/>
    <mergeCell ref="E68:H68"/>
    <mergeCell ref="A12:B12"/>
    <mergeCell ref="A56:H56"/>
    <mergeCell ref="D7:H7"/>
    <mergeCell ref="A21:B21"/>
    <mergeCell ref="B44:C44"/>
    <mergeCell ref="E15:F15"/>
    <mergeCell ref="B34:C34"/>
    <mergeCell ref="A5:B5"/>
    <mergeCell ref="A14:B14"/>
    <mergeCell ref="E12:G12"/>
    <mergeCell ref="A23:B23"/>
    <mergeCell ref="A59:C59"/>
    <mergeCell ref="A64:C64"/>
    <mergeCell ref="A4:B4"/>
    <mergeCell ref="B30:C30"/>
    <mergeCell ref="D8:H8"/>
    <mergeCell ref="A61:C61"/>
    <mergeCell ref="B45:C45"/>
    <mergeCell ref="A24:B24"/>
    <mergeCell ref="B47:C47"/>
    <mergeCell ref="E57:H57"/>
    <mergeCell ref="A74:C74"/>
    <mergeCell ref="B46:C46"/>
    <mergeCell ref="A11:H11"/>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s>
  <dataValidations count="7">
    <dataValidation sqref="C4" showDropDown="0" showInputMessage="0" showErrorMessage="0" allowBlank="0" type="list">
      <formula1>FormatList</formula1>
    </dataValidation>
    <dataValidation sqref="C6" showDropDown="0" showInputMessage="0" showErrorMessage="0" allowBlank="0" type="list">
      <formula1>UnitList</formula1>
    </dataValidation>
    <dataValidation sqref="C5" showDropDown="0" showInputMessage="0" showErrorMessage="0" allowBlank="0" type="decimal" operator="between">
      <formula1>1</formula1>
      <formula2>100000</formula2>
    </dataValidation>
    <dataValidation sqref="C7" showDropDown="0" showInputMessage="0" showErrorMessage="0" allowBlank="0" error="Enter a fraction between 0.5% and 35%, e.g. 0.20" type="decimal" operator="between">
      <formula1>0.005</formula1>
      <formula2>0.35</formula2>
    </dataValidation>
    <dataValidation sqref="C8" showDropDown="0" showInputMessage="0" showErrorMessage="0" allowBlank="0" type="decimal" operator="between">
      <formula1>0.5</formula1>
      <formula2>1.2</formula2>
    </dataValidation>
    <dataValidation sqref="C12:C14 C16:C18 G13:G18" showDropDown="0" showInputMessage="0" showErrorMessage="0" allowBlank="0" type="decimal" operator="between">
      <formula1>0</formula1>
      <formula2>0.2</formula2>
    </dataValidation>
    <dataValidation sqref="C15" showDropDown="0" showInputMessage="0" showErrorMessage="0" allowBlank="0" type="decimal" operator="between">
      <formula1>3</formula1>
      <formula2>6</formula2>
    </dataValidation>
  </dataValidations>
  <pageMargins left="0.75" right="0.75" top="1" bottom="1" header="0.5" footer="0.5"/>
  <pageSetup orientation="portrait" paperSize="9" fitToHeight="1" fitToWidth="1"/>
  <headerFooter>
    <oddHeader/>
    <oddFooter>&amp;C&amp;8 ASMR — Batch Sheet</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3B3531"/>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1" customWidth="1" min="3" max="3"/>
    <col width="10" customWidth="1" min="4" max="4"/>
    <col width="10" customWidth="1" min="5" max="5"/>
    <col width="12" customWidth="1" min="6" max="6"/>
    <col width="12" customWidth="1" min="7" max="7"/>
    <col width="40" customWidth="1" min="8" max="8"/>
  </cols>
  <sheetData>
    <row r="1" ht="28" customHeight="1">
      <c r="A1" s="17" t="inlineStr">
        <is>
          <t>D10 DILUTIONS — 10% IN DPG</t>
        </is>
      </c>
    </row>
    <row r="2">
      <c r="A2" s="18" t="inlineStr">
        <is>
          <t>Default batch: 10 g of solution = 1.0 g neat material + 9.0 g DPG. Prepare at least 24 h before blending.</t>
        </is>
      </c>
      <c r="B2" s="19" t="n"/>
      <c r="C2" s="19" t="n"/>
      <c r="D2" s="19" t="n"/>
      <c r="E2" s="19" t="n"/>
      <c r="F2" s="19" t="n"/>
      <c r="G2" s="19" t="n"/>
      <c r="H2" s="19" t="n"/>
    </row>
    <row r="4" ht="24" customHeight="1">
      <c r="A4" s="24" t="inlineStr">
        <is>
          <t>Material</t>
        </is>
      </c>
      <c r="B4" s="24" t="inlineStr">
        <is>
          <t>Strength</t>
        </is>
      </c>
      <c r="C4" s="24" t="inlineStr">
        <is>
          <t>Batch (g)</t>
        </is>
      </c>
      <c r="D4" s="24" t="inlineStr">
        <is>
          <t>Neat (g)</t>
        </is>
      </c>
      <c r="E4" s="24" t="inlineStr">
        <is>
          <t>DPG (g)</t>
        </is>
      </c>
      <c r="F4" s="24" t="inlineStr">
        <is>
          <t>Date made</t>
        </is>
      </c>
      <c r="G4" s="24" t="inlineStr">
        <is>
          <t>Remaining (g)</t>
        </is>
      </c>
      <c r="H4" s="24" t="inlineStr">
        <is>
          <t>Label / notes</t>
        </is>
      </c>
    </row>
    <row r="5">
      <c r="A5" s="68" t="inlineStr">
        <is>
          <t>Pink Peppercorn</t>
        </is>
      </c>
      <c r="B5" s="27" t="n">
        <v>0.1</v>
      </c>
      <c r="C5" s="51" t="n">
        <v>10</v>
      </c>
      <c r="D5" s="74">
        <f>C5*B5</f>
        <v/>
      </c>
      <c r="E5" s="74">
        <f>C5-D5</f>
        <v/>
      </c>
      <c r="F5" s="75" t="inlineStr"/>
      <c r="G5" s="76" t="inlineStr"/>
      <c r="H5" s="69">
        <f>"ASMR · "&amp;A5&amp;" · 10% in DPG · "&amp;IF(F5="","(date)",TEXT(F5,"yyyy-mm-dd"))</f>
        <v/>
      </c>
    </row>
    <row r="6">
      <c r="A6" s="68" t="inlineStr">
        <is>
          <t>Floralozone</t>
        </is>
      </c>
      <c r="B6" s="27" t="n">
        <v>0.1</v>
      </c>
      <c r="C6" s="51" t="n">
        <v>10</v>
      </c>
      <c r="D6" s="74">
        <f>C6*B6</f>
        <v/>
      </c>
      <c r="E6" s="74">
        <f>C6-D6</f>
        <v/>
      </c>
      <c r="F6" s="75" t="inlineStr"/>
      <c r="G6" s="76" t="inlineStr"/>
      <c r="H6" s="69">
        <f>"ASMR · "&amp;A6&amp;" · 10% in DPG · "&amp;IF(F6="","(date)",TEXT(F6,"yyyy-mm-dd"))</f>
        <v/>
      </c>
    </row>
    <row r="7">
      <c r="A7" s="68" t="inlineStr">
        <is>
          <t>Irone Alpha</t>
        </is>
      </c>
      <c r="B7" s="27" t="n">
        <v>0.1</v>
      </c>
      <c r="C7" s="51" t="n">
        <v>10</v>
      </c>
      <c r="D7" s="74">
        <f>C7*B7</f>
        <v/>
      </c>
      <c r="E7" s="74">
        <f>C7-D7</f>
        <v/>
      </c>
      <c r="F7" s="75" t="inlineStr"/>
      <c r="G7" s="76" t="inlineStr"/>
      <c r="H7" s="69">
        <f>"ASMR · "&amp;A7&amp;" · 10% in DPG · "&amp;IF(F7="","(date)",TEXT(F7,"yyyy-mm-dd"))</f>
        <v/>
      </c>
    </row>
    <row r="8">
      <c r="A8" s="68" t="inlineStr">
        <is>
          <t>Javanol</t>
        </is>
      </c>
      <c r="B8" s="27" t="n">
        <v>0.1</v>
      </c>
      <c r="C8" s="51" t="n">
        <v>10</v>
      </c>
      <c r="D8" s="74">
        <f>C8*B8</f>
        <v/>
      </c>
      <c r="E8" s="74">
        <f>C8-D8</f>
        <v/>
      </c>
      <c r="F8" s="75" t="inlineStr"/>
      <c r="G8" s="76" t="inlineStr"/>
      <c r="H8" s="69">
        <f>"ASMR · "&amp;A8&amp;" · 10% in DPG · "&amp;IF(F8="","(date)",TEXT(F8,"yyyy-mm-dd"))</f>
        <v/>
      </c>
    </row>
    <row r="9">
      <c r="A9" s="68" t="inlineStr">
        <is>
          <t>Safraleine</t>
        </is>
      </c>
      <c r="B9" s="27" t="n">
        <v>0.1</v>
      </c>
      <c r="C9" s="51" t="n">
        <v>10</v>
      </c>
      <c r="D9" s="74">
        <f>C9*B9</f>
        <v/>
      </c>
      <c r="E9" s="74">
        <f>C9-D9</f>
        <v/>
      </c>
      <c r="F9" s="75" t="inlineStr"/>
      <c r="G9" s="76" t="inlineStr"/>
      <c r="H9" s="69">
        <f>"ASMR · "&amp;A9&amp;" · 10% in DPG · "&amp;IF(F9="","(date)",TEXT(F9,"yyyy-mm-dd"))</f>
        <v/>
      </c>
    </row>
    <row r="11">
      <c r="A11" s="15" t="inlineStr">
        <is>
          <t>1 · Tare a clean 12–15 ml glass bottle on the scale (0.01 g resolution or better).</t>
        </is>
      </c>
    </row>
    <row r="12">
      <c r="A12" s="15" t="inlineStr">
        <is>
          <t>2 · Weigh the NEAT material first, then add DPG up to the total. Cap tightly and shake 1 minute.</t>
        </is>
      </c>
    </row>
    <row r="13">
      <c r="A13" s="15" t="inlineStr">
        <is>
          <t>3 · Label with the text in the last column. Store dark and cool. Dilutions keep 12+ months.</t>
        </is>
      </c>
    </row>
    <row r="14">
      <c r="A14" s="15" t="inlineStr">
        <is>
          <t>4 · When a dilution runs low, make a fresh 10 g batch and update 'Date made' and 'Remaining'.</t>
        </is>
      </c>
    </row>
  </sheetData>
  <sheetProtection selectLockedCells="0" selectUnlockedCells="0" sheet="1" objects="0" insertRows="1" insertHyperlinks="1" autoFilter="1" scenarios="0" formatColumns="0" deleteColumns="1" insertColumns="1" pivotTables="1" deleteRows="1" formatCells="0" formatRows="0" sort="1"/>
  <mergeCells count="6">
    <mergeCell ref="A12:H12"/>
    <mergeCell ref="A2:H2"/>
    <mergeCell ref="A13:H13"/>
    <mergeCell ref="A11:H11"/>
    <mergeCell ref="A14:H14"/>
    <mergeCell ref="A1:H1"/>
  </mergeCells>
  <dataValidations count="2">
    <dataValidation sqref="B5:B9" showDropDown="0" showInputMessage="0" showErrorMessage="0" allowBlank="0" type="decimal" operator="between">
      <formula1>0.05</formula1>
      <formula2>0.2</formula2>
    </dataValidation>
    <dataValidation sqref="C5:C9" showDropDown="0" showInputMessage="0" showErrorMessage="0" allowBlank="0" type="decimal" operator="between">
      <formula1>1</formula1>
      <formula2>100</formula2>
    </dataValidation>
  </dataValidations>
  <pageMargins left="0.75" right="0.75" top="1" bottom="1" header="0.5" footer="0.5"/>
</worksheet>
</file>

<file path=xl/worksheets/sheet5.xml><?xml version="1.0" encoding="utf-8"?>
<worksheet xmlns="http://schemas.openxmlformats.org/spreadsheetml/2006/main">
  <sheetPr>
    <tabColor rgb="003B3531"/>
    <outlinePr summaryBelow="1" summaryRight="1"/>
    <pageSetUpPr/>
  </sheetPr>
  <dimension ref="A1:O3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 customWidth="1" min="3" max="3"/>
    <col width="7" customWidth="1" min="4" max="4"/>
    <col width="9" customWidth="1" min="5" max="5"/>
    <col width="11" customWidth="1" min="6" max="6"/>
    <col width="11" customWidth="1" min="7" max="7"/>
    <col width="11" customWidth="1" min="8" max="8"/>
    <col width="9" customWidth="1" min="9" max="9"/>
    <col width="10" customWidth="1" min="10" max="10"/>
    <col width="11" customWidth="1" min="11" max="11"/>
    <col width="10" customWidth="1" min="12" max="12"/>
    <col width="8" customWidth="1" min="13" max="13"/>
    <col hidden="1" width="4" customWidth="1" min="14" max="14"/>
    <col hidden="1" width="4" customWidth="1" min="15" max="15"/>
  </cols>
  <sheetData>
    <row r="1" ht="28" customHeight="1">
      <c r="A1" s="17" t="inlineStr">
        <is>
          <t>INVENTORY</t>
        </is>
      </c>
    </row>
    <row r="2">
      <c r="A2" s="18" t="inlineStr">
        <is>
          <t>On hand = purchases − usage from the Production Log.</t>
        </is>
      </c>
      <c r="B2" s="19" t="n"/>
      <c r="C2" s="19" t="n"/>
      <c r="D2" s="19" t="n"/>
      <c r="E2" s="19" t="n"/>
      <c r="F2" s="77" t="inlineStr">
        <is>
          <t>Conc / batch (g):</t>
        </is>
      </c>
      <c r="G2" s="78" t="n"/>
      <c r="H2" s="79">
        <f>50*0.85*0.28</f>
        <v/>
      </c>
      <c r="I2" s="77" t="inlineStr">
        <is>
          <t>Alcohol / batch (g):</t>
        </is>
      </c>
      <c r="J2" s="78" t="n"/>
      <c r="K2" s="79">
        <f>50*0.85*0.72</f>
        <v/>
      </c>
      <c r="L2" s="19" t="n"/>
      <c r="M2" s="19" t="n"/>
    </row>
    <row r="3" ht="24" customHeight="1">
      <c r="A3" s="24" t="inlineStr">
        <is>
          <t>Material</t>
        </is>
      </c>
      <c r="B3" s="24" t="inlineStr">
        <is>
          <t>Pack</t>
        </is>
      </c>
      <c r="C3" s="24" t="inlineStr">
        <is>
          <t>Unit</t>
        </is>
      </c>
      <c r="D3" s="24" t="inlineStr">
        <is>
          <t>Packs</t>
        </is>
      </c>
      <c r="E3" s="24" t="inlineStr">
        <is>
          <t>Density g/ml</t>
        </is>
      </c>
      <c r="F3" s="24" t="inlineStr">
        <is>
          <t>Grams bought</t>
        </is>
      </c>
      <c r="G3" s="24" t="inlineStr">
        <is>
          <t>Price/pack SAR</t>
        </is>
      </c>
      <c r="H3" s="24" t="inlineStr">
        <is>
          <t>Paid SAR</t>
        </is>
      </c>
      <c r="I3" s="24" t="inlineStr">
        <is>
          <t>SAR/g</t>
        </is>
      </c>
      <c r="J3" s="24" t="inlineStr">
        <is>
          <t>Used (g)</t>
        </is>
      </c>
      <c r="K3" s="24" t="inlineStr">
        <is>
          <t>On hand (g)</t>
        </is>
      </c>
      <c r="L3" s="24" t="inlineStr">
        <is>
          <t>Alert &lt; (g)</t>
        </is>
      </c>
      <c r="M3" s="24" t="inlineStr">
        <is>
          <t>Status</t>
        </is>
      </c>
      <c r="N3" s="24" t="inlineStr"/>
    </row>
    <row r="4">
      <c r="A4" s="68" t="inlineStr">
        <is>
          <t>Hedione (Firmenich)</t>
        </is>
      </c>
      <c r="B4" s="80" t="n">
        <v>30</v>
      </c>
      <c r="C4" s="81" t="inlineStr">
        <is>
          <t>ml</t>
        </is>
      </c>
      <c r="D4" s="80" t="n">
        <v>1</v>
      </c>
      <c r="E4" s="52" t="n">
        <v>0.9</v>
      </c>
      <c r="F4" s="31">
        <f>IF(C4="ml",B4*D4*E4,B4*D4)</f>
        <v/>
      </c>
      <c r="G4" s="51" t="n">
        <v>23.9</v>
      </c>
      <c r="H4" s="31">
        <f>G4*D4</f>
        <v/>
      </c>
      <c r="I4" s="31">
        <f>IF(F4=0,0,H4/F4)</f>
        <v/>
      </c>
      <c r="J4" s="31">
        <f>TotalConcUsedG*INDEX(FM_Active,MATCH($A4,FM_Mat,0))*IF(INDEX(FM_D10,MATCH($A4,FM_Mat,0))="D10",0.1,1)</f>
        <v/>
      </c>
      <c r="K4" s="74">
        <f>F4-J4</f>
        <v/>
      </c>
      <c r="L4" s="31">
        <f>2*DefaultBatchConcG*INDEX(FM_Active,MATCH($A4,FM_Mat,0))*IF(INDEX(FM_D10,MATCH($A4,FM_Mat,0))="D10",0.1,1)</f>
        <v/>
      </c>
      <c r="M4" s="81">
        <f>IF(K4&lt;L4,"LOW","OK")</f>
        <v/>
      </c>
      <c r="N4" s="15">
        <f>IF(K4&lt;L4,A4,"")</f>
        <v/>
      </c>
      <c r="O4" s="15">
        <f>N4</f>
        <v/>
      </c>
    </row>
    <row r="5">
      <c r="A5" s="68" t="inlineStr">
        <is>
          <t>Iso E Super</t>
        </is>
      </c>
      <c r="B5" s="80" t="n">
        <v>10</v>
      </c>
      <c r="C5" s="81" t="inlineStr">
        <is>
          <t>ml</t>
        </is>
      </c>
      <c r="D5" s="80" t="n">
        <v>1</v>
      </c>
      <c r="E5" s="52" t="n">
        <v>0.9</v>
      </c>
      <c r="F5" s="31">
        <f>IF(C5="ml",B5*D5*E5,B5*D5)</f>
        <v/>
      </c>
      <c r="G5" s="51" t="n">
        <v>13.6</v>
      </c>
      <c r="H5" s="31">
        <f>G5*D5</f>
        <v/>
      </c>
      <c r="I5" s="31">
        <f>IF(F5=0,0,H5/F5)</f>
        <v/>
      </c>
      <c r="J5" s="31">
        <f>TotalConcUsedG*INDEX(FM_Active,MATCH($A5,FM_Mat,0))*IF(INDEX(FM_D10,MATCH($A5,FM_Mat,0))="D10",0.1,1)</f>
        <v/>
      </c>
      <c r="K5" s="74">
        <f>F5-J5</f>
        <v/>
      </c>
      <c r="L5" s="31">
        <f>2*DefaultBatchConcG*INDEX(FM_Active,MATCH($A5,FM_Mat,0))*IF(INDEX(FM_D10,MATCH($A5,FM_Mat,0))="D10",0.1,1)</f>
        <v/>
      </c>
      <c r="M5" s="81">
        <f>IF(K5&lt;L5,"LOW","OK")</f>
        <v/>
      </c>
      <c r="N5" s="15">
        <f>IF(K5&lt;L5,A5,"")</f>
        <v/>
      </c>
      <c r="O5" s="15">
        <f>IF(N5="",O4,IF(O4="",N5,O4&amp;",  "&amp;N5))</f>
        <v/>
      </c>
    </row>
    <row r="6">
      <c r="A6" s="68" t="inlineStr">
        <is>
          <t>Amberxan (Ambroxan)</t>
        </is>
      </c>
      <c r="B6" s="80" t="n">
        <v>10</v>
      </c>
      <c r="C6" s="81" t="inlineStr">
        <is>
          <t>g</t>
        </is>
      </c>
      <c r="D6" s="80" t="n">
        <v>1</v>
      </c>
      <c r="E6" s="81" t="inlineStr"/>
      <c r="F6" s="31">
        <f>IF(C6="ml",B6*D6*E6,B6*D6)</f>
        <v/>
      </c>
      <c r="G6" s="51" t="n">
        <v>81</v>
      </c>
      <c r="H6" s="31">
        <f>G6*D6</f>
        <v/>
      </c>
      <c r="I6" s="31">
        <f>IF(F6=0,0,H6/F6)</f>
        <v/>
      </c>
      <c r="J6" s="31">
        <f>TotalConcUsedG*INDEX(FM_Active,MATCH($A6,FM_Mat,0))*IF(INDEX(FM_D10,MATCH($A6,FM_Mat,0))="D10",0.1,1)</f>
        <v/>
      </c>
      <c r="K6" s="74">
        <f>F6-J6</f>
        <v/>
      </c>
      <c r="L6" s="31">
        <f>2*DefaultBatchConcG*INDEX(FM_Active,MATCH($A6,FM_Mat,0))*IF(INDEX(FM_D10,MATCH($A6,FM_Mat,0))="D10",0.1,1)</f>
        <v/>
      </c>
      <c r="M6" s="81">
        <f>IF(K6&lt;L6,"LOW","OK")</f>
        <v/>
      </c>
      <c r="N6" s="15">
        <f>IF(K6&lt;L6,A6,"")</f>
        <v/>
      </c>
      <c r="O6" s="15">
        <f>IF(N6="",O5,IF(O5="",N6,O5&amp;",  "&amp;N6))</f>
        <v/>
      </c>
    </row>
    <row r="7">
      <c r="A7" s="68" t="inlineStr">
        <is>
          <t>Globalide (Habanolide)</t>
        </is>
      </c>
      <c r="B7" s="80" t="n">
        <v>10</v>
      </c>
      <c r="C7" s="81" t="inlineStr">
        <is>
          <t>g</t>
        </is>
      </c>
      <c r="D7" s="80" t="n">
        <v>1</v>
      </c>
      <c r="E7" s="81" t="inlineStr"/>
      <c r="F7" s="31">
        <f>IF(C7="ml",B7*D7*E7,B7*D7)</f>
        <v/>
      </c>
      <c r="G7" s="51" t="n">
        <v>30</v>
      </c>
      <c r="H7" s="31">
        <f>G7*D7</f>
        <v/>
      </c>
      <c r="I7" s="31">
        <f>IF(F7=0,0,H7/F7)</f>
        <v/>
      </c>
      <c r="J7" s="31">
        <f>TotalConcUsedG*INDEX(FM_Active,MATCH($A7,FM_Mat,0))*IF(INDEX(FM_D10,MATCH($A7,FM_Mat,0))="D10",0.1,1)</f>
        <v/>
      </c>
      <c r="K7" s="74">
        <f>F7-J7</f>
        <v/>
      </c>
      <c r="L7" s="31">
        <f>2*DefaultBatchConcG*INDEX(FM_Active,MATCH($A7,FM_Mat,0))*IF(INDEX(FM_D10,MATCH($A7,FM_Mat,0))="D10",0.1,1)</f>
        <v/>
      </c>
      <c r="M7" s="81">
        <f>IF(K7&lt;L7,"LOW","OK")</f>
        <v/>
      </c>
      <c r="N7" s="15">
        <f>IF(K7&lt;L7,A7,"")</f>
        <v/>
      </c>
      <c r="O7" s="15">
        <f>IF(N7="",O6,IF(O6="",N7,O6&amp;",  "&amp;N7))</f>
        <v/>
      </c>
    </row>
    <row r="8">
      <c r="A8" s="68" t="inlineStr">
        <is>
          <t>Helvetolide</t>
        </is>
      </c>
      <c r="B8" s="80" t="n">
        <v>10</v>
      </c>
      <c r="C8" s="81" t="inlineStr">
        <is>
          <t>g</t>
        </is>
      </c>
      <c r="D8" s="80" t="n">
        <v>1</v>
      </c>
      <c r="E8" s="81" t="inlineStr"/>
      <c r="F8" s="31">
        <f>IF(C8="ml",B8*D8*E8,B8*D8)</f>
        <v/>
      </c>
      <c r="G8" s="51" t="n">
        <v>55</v>
      </c>
      <c r="H8" s="31">
        <f>G8*D8</f>
        <v/>
      </c>
      <c r="I8" s="31">
        <f>IF(F8=0,0,H8/F8)</f>
        <v/>
      </c>
      <c r="J8" s="31">
        <f>TotalConcUsedG*INDEX(FM_Active,MATCH($A8,FM_Mat,0))*IF(INDEX(FM_D10,MATCH($A8,FM_Mat,0))="D10",0.1,1)</f>
        <v/>
      </c>
      <c r="K8" s="74">
        <f>F8-J8</f>
        <v/>
      </c>
      <c r="L8" s="31">
        <f>2*DefaultBatchConcG*INDEX(FM_Active,MATCH($A8,FM_Mat,0))*IF(INDEX(FM_D10,MATCH($A8,FM_Mat,0))="D10",0.1,1)</f>
        <v/>
      </c>
      <c r="M8" s="81">
        <f>IF(K8&lt;L8,"LOW","OK")</f>
        <v/>
      </c>
      <c r="N8" s="15">
        <f>IF(K8&lt;L8,A8,"")</f>
        <v/>
      </c>
      <c r="O8" s="15">
        <f>IF(N8="",O7,IF(O7="",N8,O7&amp;",  "&amp;N8))</f>
        <v/>
      </c>
    </row>
    <row r="9">
      <c r="A9" s="68" t="inlineStr">
        <is>
          <t>Ambrettolide (Givaudan)</t>
        </is>
      </c>
      <c r="B9" s="80" t="n">
        <v>10</v>
      </c>
      <c r="C9" s="81" t="inlineStr">
        <is>
          <t>ml</t>
        </is>
      </c>
      <c r="D9" s="80" t="n">
        <v>1</v>
      </c>
      <c r="E9" s="52" t="n">
        <v>0.9</v>
      </c>
      <c r="F9" s="31">
        <f>IF(C9="ml",B9*D9*E9,B9*D9)</f>
        <v/>
      </c>
      <c r="G9" s="51" t="n">
        <v>92.06999999999999</v>
      </c>
      <c r="H9" s="31">
        <f>G9*D9</f>
        <v/>
      </c>
      <c r="I9" s="31">
        <f>IF(F9=0,0,H9/F9)</f>
        <v/>
      </c>
      <c r="J9" s="31">
        <f>TotalConcUsedG*INDEX(FM_Active,MATCH($A9,FM_Mat,0))*IF(INDEX(FM_D10,MATCH($A9,FM_Mat,0))="D10",0.1,1)</f>
        <v/>
      </c>
      <c r="K9" s="74">
        <f>F9-J9</f>
        <v/>
      </c>
      <c r="L9" s="31">
        <f>2*DefaultBatchConcG*INDEX(FM_Active,MATCH($A9,FM_Mat,0))*IF(INDEX(FM_D10,MATCH($A9,FM_Mat,0))="D10",0.1,1)</f>
        <v/>
      </c>
      <c r="M9" s="81">
        <f>IF(K9&lt;L9,"LOW","OK")</f>
        <v/>
      </c>
      <c r="N9" s="15">
        <f>IF(K9&lt;L9,A9,"")</f>
        <v/>
      </c>
      <c r="O9" s="15">
        <f>IF(N9="",O8,IF(O8="",N9,O8&amp;",  "&amp;N9))</f>
        <v/>
      </c>
    </row>
    <row r="10">
      <c r="A10" s="68" t="inlineStr">
        <is>
          <t>Ethylene Brassylate</t>
        </is>
      </c>
      <c r="B10" s="80" t="n">
        <v>10</v>
      </c>
      <c r="C10" s="81" t="inlineStr">
        <is>
          <t>ml</t>
        </is>
      </c>
      <c r="D10" s="80" t="n">
        <v>1</v>
      </c>
      <c r="E10" s="52" t="n">
        <v>0.9</v>
      </c>
      <c r="F10" s="31">
        <f>IF(C10="ml",B10*D10*E10,B10*D10)</f>
        <v/>
      </c>
      <c r="G10" s="51" t="n">
        <v>10.11</v>
      </c>
      <c r="H10" s="31">
        <f>G10*D10</f>
        <v/>
      </c>
      <c r="I10" s="31">
        <f>IF(F10=0,0,H10/F10)</f>
        <v/>
      </c>
      <c r="J10" s="31">
        <f>TotalConcUsedG*INDEX(FM_Active,MATCH($A10,FM_Mat,0))*IF(INDEX(FM_D10,MATCH($A10,FM_Mat,0))="D10",0.1,1)</f>
        <v/>
      </c>
      <c r="K10" s="74">
        <f>F10-J10</f>
        <v/>
      </c>
      <c r="L10" s="31">
        <f>2*DefaultBatchConcG*INDEX(FM_Active,MATCH($A10,FM_Mat,0))*IF(INDEX(FM_D10,MATCH($A10,FM_Mat,0))="D10",0.1,1)</f>
        <v/>
      </c>
      <c r="M10" s="81">
        <f>IF(K10&lt;L10,"LOW","OK")</f>
        <v/>
      </c>
      <c r="N10" s="15">
        <f>IF(K10&lt;L10,A10,"")</f>
        <v/>
      </c>
      <c r="O10" s="15">
        <f>IF(N10="",O9,IF(O9="",N10,O9&amp;",  "&amp;N10))</f>
        <v/>
      </c>
    </row>
    <row r="11">
      <c r="A11" s="68" t="inlineStr">
        <is>
          <t>Exaltolide Total (Firmenich)</t>
        </is>
      </c>
      <c r="B11" s="80" t="n">
        <v>10</v>
      </c>
      <c r="C11" s="81" t="inlineStr">
        <is>
          <t>ml</t>
        </is>
      </c>
      <c r="D11" s="80" t="n">
        <v>1</v>
      </c>
      <c r="E11" s="52" t="n">
        <v>0.9</v>
      </c>
      <c r="F11" s="31">
        <f>IF(C11="ml",B11*D11*E11,B11*D11)</f>
        <v/>
      </c>
      <c r="G11" s="51" t="n">
        <v>27.53</v>
      </c>
      <c r="H11" s="31">
        <f>G11*D11</f>
        <v/>
      </c>
      <c r="I11" s="31">
        <f>IF(F11=0,0,H11/F11)</f>
        <v/>
      </c>
      <c r="J11" s="31">
        <f>TotalConcUsedG*INDEX(FM_Active,MATCH($A11,FM_Mat,0))*IF(INDEX(FM_D10,MATCH($A11,FM_Mat,0))="D10",0.1,1)</f>
        <v/>
      </c>
      <c r="K11" s="74">
        <f>F11-J11</f>
        <v/>
      </c>
      <c r="L11" s="31">
        <f>2*DefaultBatchConcG*INDEX(FM_Active,MATCH($A11,FM_Mat,0))*IF(INDEX(FM_D10,MATCH($A11,FM_Mat,0))="D10",0.1,1)</f>
        <v/>
      </c>
      <c r="M11" s="81">
        <f>IF(K11&lt;L11,"LOW","OK")</f>
        <v/>
      </c>
      <c r="N11" s="15">
        <f>IF(K11&lt;L11,A11,"")</f>
        <v/>
      </c>
      <c r="O11" s="15">
        <f>IF(N11="",O10,IF(O10="",N11,O10&amp;",  "&amp;N11))</f>
        <v/>
      </c>
    </row>
    <row r="12">
      <c r="A12" s="68" t="inlineStr">
        <is>
          <t>Cashmeran IFF</t>
        </is>
      </c>
      <c r="B12" s="80" t="n">
        <v>10</v>
      </c>
      <c r="C12" s="81" t="inlineStr">
        <is>
          <t>ml</t>
        </is>
      </c>
      <c r="D12" s="80" t="n">
        <v>1</v>
      </c>
      <c r="E12" s="52" t="n">
        <v>0.9</v>
      </c>
      <c r="F12" s="31">
        <f>IF(C12="ml",B12*D12*E12,B12*D12)</f>
        <v/>
      </c>
      <c r="G12" s="51" t="n">
        <v>55.86</v>
      </c>
      <c r="H12" s="31">
        <f>G12*D12</f>
        <v/>
      </c>
      <c r="I12" s="31">
        <f>IF(F12=0,0,H12/F12)</f>
        <v/>
      </c>
      <c r="J12" s="31">
        <f>TotalConcUsedG*INDEX(FM_Active,MATCH($A12,FM_Mat,0))*IF(INDEX(FM_D10,MATCH($A12,FM_Mat,0))="D10",0.1,1)</f>
        <v/>
      </c>
      <c r="K12" s="74">
        <f>F12-J12</f>
        <v/>
      </c>
      <c r="L12" s="31">
        <f>2*DefaultBatchConcG*INDEX(FM_Active,MATCH($A12,FM_Mat,0))*IF(INDEX(FM_D10,MATCH($A12,FM_Mat,0))="D10",0.1,1)</f>
        <v/>
      </c>
      <c r="M12" s="81">
        <f>IF(K12&lt;L12,"LOW","OK")</f>
        <v/>
      </c>
      <c r="N12" s="15">
        <f>IF(K12&lt;L12,A12,"")</f>
        <v/>
      </c>
      <c r="O12" s="15">
        <f>IF(N12="",O11,IF(O11="",N12,O11&amp;",  "&amp;N12))</f>
        <v/>
      </c>
    </row>
    <row r="13">
      <c r="A13" s="68" t="inlineStr">
        <is>
          <t>Sandal Spicatum Australia</t>
        </is>
      </c>
      <c r="B13" s="80" t="n">
        <v>10</v>
      </c>
      <c r="C13" s="81" t="inlineStr">
        <is>
          <t>g</t>
        </is>
      </c>
      <c r="D13" s="80" t="n">
        <v>1</v>
      </c>
      <c r="E13" s="81" t="inlineStr"/>
      <c r="F13" s="31">
        <f>IF(C13="ml",B13*D13*E13,B13*D13)</f>
        <v/>
      </c>
      <c r="G13" s="51" t="n">
        <v>179</v>
      </c>
      <c r="H13" s="31">
        <f>G13*D13</f>
        <v/>
      </c>
      <c r="I13" s="31">
        <f>IF(F13=0,0,H13/F13)</f>
        <v/>
      </c>
      <c r="J13" s="31">
        <f>TotalConcUsedG*INDEX(FM_Active,MATCH($A13,FM_Mat,0))*IF(INDEX(FM_D10,MATCH($A13,FM_Mat,0))="D10",0.1,1)</f>
        <v/>
      </c>
      <c r="K13" s="74">
        <f>F13-J13</f>
        <v/>
      </c>
      <c r="L13" s="31">
        <f>2*DefaultBatchConcG*INDEX(FM_Active,MATCH($A13,FM_Mat,0))*IF(INDEX(FM_D10,MATCH($A13,FM_Mat,0))="D10",0.1,1)</f>
        <v/>
      </c>
      <c r="M13" s="81">
        <f>IF(K13&lt;L13,"LOW","OK")</f>
        <v/>
      </c>
      <c r="N13" s="15">
        <f>IF(K13&lt;L13,A13,"")</f>
        <v/>
      </c>
      <c r="O13" s="15">
        <f>IF(N13="",O12,IF(O12="",N13,O12&amp;",  "&amp;N13))</f>
        <v/>
      </c>
    </row>
    <row r="14">
      <c r="A14" s="68" t="inlineStr">
        <is>
          <t>Sandalore (Givaudan)</t>
        </is>
      </c>
      <c r="B14" s="80" t="n">
        <v>10</v>
      </c>
      <c r="C14" s="81" t="inlineStr">
        <is>
          <t>ml</t>
        </is>
      </c>
      <c r="D14" s="80" t="n">
        <v>1</v>
      </c>
      <c r="E14" s="52" t="n">
        <v>0.9</v>
      </c>
      <c r="F14" s="31">
        <f>IF(C14="ml",B14*D14*E14,B14*D14)</f>
        <v/>
      </c>
      <c r="G14" s="51" t="n">
        <v>23.54</v>
      </c>
      <c r="H14" s="31">
        <f>G14*D14</f>
        <v/>
      </c>
      <c r="I14" s="31">
        <f>IF(F14=0,0,H14/F14)</f>
        <v/>
      </c>
      <c r="J14" s="31">
        <f>TotalConcUsedG*INDEX(FM_Active,MATCH($A14,FM_Mat,0))*IF(INDEX(FM_D10,MATCH($A14,FM_Mat,0))="D10",0.1,1)</f>
        <v/>
      </c>
      <c r="K14" s="74">
        <f>F14-J14</f>
        <v/>
      </c>
      <c r="L14" s="31">
        <f>2*DefaultBatchConcG*INDEX(FM_Active,MATCH($A14,FM_Mat,0))*IF(INDEX(FM_D10,MATCH($A14,FM_Mat,0))="D10",0.1,1)</f>
        <v/>
      </c>
      <c r="M14" s="81">
        <f>IF(K14&lt;L14,"LOW","OK")</f>
        <v/>
      </c>
      <c r="N14" s="15">
        <f>IF(K14&lt;L14,A14,"")</f>
        <v/>
      </c>
      <c r="O14" s="15">
        <f>IF(N14="",O13,IF(O13="",N14,O13&amp;",  "&amp;N14))</f>
        <v/>
      </c>
    </row>
    <row r="15">
      <c r="A15" s="68" t="inlineStr">
        <is>
          <t>Javanol</t>
        </is>
      </c>
      <c r="B15" s="80" t="n">
        <v>10</v>
      </c>
      <c r="C15" s="81" t="inlineStr">
        <is>
          <t>g</t>
        </is>
      </c>
      <c r="D15" s="80" t="n">
        <v>1</v>
      </c>
      <c r="E15" s="81" t="inlineStr"/>
      <c r="F15" s="31">
        <f>IF(C15="ml",B15*D15*E15,B15*D15)</f>
        <v/>
      </c>
      <c r="G15" s="51" t="n">
        <v>81</v>
      </c>
      <c r="H15" s="31">
        <f>G15*D15</f>
        <v/>
      </c>
      <c r="I15" s="31">
        <f>IF(F15=0,0,H15/F15)</f>
        <v/>
      </c>
      <c r="J15" s="31">
        <f>TotalConcUsedG*INDEX(FM_Active,MATCH($A15,FM_Mat,0))*IF(INDEX(FM_D10,MATCH($A15,FM_Mat,0))="D10",0.1,1)</f>
        <v/>
      </c>
      <c r="K15" s="74">
        <f>F15-J15</f>
        <v/>
      </c>
      <c r="L15" s="31">
        <f>2*DefaultBatchConcG*INDEX(FM_Active,MATCH($A15,FM_Mat,0))*IF(INDEX(FM_D10,MATCH($A15,FM_Mat,0))="D10",0.1,1)</f>
        <v/>
      </c>
      <c r="M15" s="81">
        <f>IF(K15&lt;L15,"LOW","OK")</f>
        <v/>
      </c>
      <c r="N15" s="15">
        <f>IF(K15&lt;L15,A15,"")</f>
        <v/>
      </c>
      <c r="O15" s="15">
        <f>IF(N15="",O14,IF(O14="",N15,O14&amp;",  "&amp;N15))</f>
        <v/>
      </c>
    </row>
    <row r="16">
      <c r="A16" s="68" t="inlineStr">
        <is>
          <t>Cedarwood Virginia</t>
        </is>
      </c>
      <c r="B16" s="80" t="n">
        <v>10</v>
      </c>
      <c r="C16" s="81" t="inlineStr">
        <is>
          <t>g</t>
        </is>
      </c>
      <c r="D16" s="80" t="n">
        <v>1</v>
      </c>
      <c r="E16" s="81" t="inlineStr"/>
      <c r="F16" s="31">
        <f>IF(C16="ml",B16*D16*E16,B16*D16)</f>
        <v/>
      </c>
      <c r="G16" s="51" t="n">
        <v>31</v>
      </c>
      <c r="H16" s="31">
        <f>G16*D16</f>
        <v/>
      </c>
      <c r="I16" s="31">
        <f>IF(F16=0,0,H16/F16)</f>
        <v/>
      </c>
      <c r="J16" s="31">
        <f>TotalConcUsedG*INDEX(FM_Active,MATCH($A16,FM_Mat,0))*IF(INDEX(FM_D10,MATCH($A16,FM_Mat,0))="D10",0.1,1)</f>
        <v/>
      </c>
      <c r="K16" s="74">
        <f>F16-J16</f>
        <v/>
      </c>
      <c r="L16" s="31">
        <f>2*DefaultBatchConcG*INDEX(FM_Active,MATCH($A16,FM_Mat,0))*IF(INDEX(FM_D10,MATCH($A16,FM_Mat,0))="D10",0.1,1)</f>
        <v/>
      </c>
      <c r="M16" s="81">
        <f>IF(K16&lt;L16,"LOW","OK")</f>
        <v/>
      </c>
      <c r="N16" s="15">
        <f>IF(K16&lt;L16,A16,"")</f>
        <v/>
      </c>
      <c r="O16" s="15">
        <f>IF(N16="",O15,IF(O15="",N16,O15&amp;",  "&amp;N16))</f>
        <v/>
      </c>
    </row>
    <row r="17">
      <c r="A17" s="68" t="inlineStr">
        <is>
          <t>Vetyveryle Acetate</t>
        </is>
      </c>
      <c r="B17" s="80" t="n">
        <v>10</v>
      </c>
      <c r="C17" s="81" t="inlineStr">
        <is>
          <t>g</t>
        </is>
      </c>
      <c r="D17" s="80" t="n">
        <v>1</v>
      </c>
      <c r="E17" s="81" t="inlineStr"/>
      <c r="F17" s="31">
        <f>IF(C17="ml",B17*D17*E17,B17*D17)</f>
        <v/>
      </c>
      <c r="G17" s="51" t="n">
        <v>124</v>
      </c>
      <c r="H17" s="31">
        <f>G17*D17</f>
        <v/>
      </c>
      <c r="I17" s="31">
        <f>IF(F17=0,0,H17/F17)</f>
        <v/>
      </c>
      <c r="J17" s="31">
        <f>TotalConcUsedG*INDEX(FM_Active,MATCH($A17,FM_Mat,0))*IF(INDEX(FM_D10,MATCH($A17,FM_Mat,0))="D10",0.1,1)</f>
        <v/>
      </c>
      <c r="K17" s="74">
        <f>F17-J17</f>
        <v/>
      </c>
      <c r="L17" s="31">
        <f>2*DefaultBatchConcG*INDEX(FM_Active,MATCH($A17,FM_Mat,0))*IF(INDEX(FM_D10,MATCH($A17,FM_Mat,0))="D10",0.1,1)</f>
        <v/>
      </c>
      <c r="M17" s="81">
        <f>IF(K17&lt;L17,"LOW","OK")</f>
        <v/>
      </c>
      <c r="N17" s="15">
        <f>IF(K17&lt;L17,A17,"")</f>
        <v/>
      </c>
      <c r="O17" s="15">
        <f>IF(N17="",O16,IF(O16="",N17,O16&amp;",  "&amp;N17))</f>
        <v/>
      </c>
    </row>
    <row r="18">
      <c r="A18" s="68" t="inlineStr">
        <is>
          <t>Methyl Alpha Ionone Iso</t>
        </is>
      </c>
      <c r="B18" s="80" t="n">
        <v>10</v>
      </c>
      <c r="C18" s="81" t="inlineStr">
        <is>
          <t>ml</t>
        </is>
      </c>
      <c r="D18" s="80" t="n">
        <v>1</v>
      </c>
      <c r="E18" s="52" t="n">
        <v>0.9</v>
      </c>
      <c r="F18" s="31">
        <f>IF(C18="ml",B18*D18*E18,B18*D18)</f>
        <v/>
      </c>
      <c r="G18" s="51" t="n">
        <v>17.46</v>
      </c>
      <c r="H18" s="31">
        <f>G18*D18</f>
        <v/>
      </c>
      <c r="I18" s="31">
        <f>IF(F18=0,0,H18/F18)</f>
        <v/>
      </c>
      <c r="J18" s="31">
        <f>TotalConcUsedG*INDEX(FM_Active,MATCH($A18,FM_Mat,0))*IF(INDEX(FM_D10,MATCH($A18,FM_Mat,0))="D10",0.1,1)</f>
        <v/>
      </c>
      <c r="K18" s="74">
        <f>F18-J18</f>
        <v/>
      </c>
      <c r="L18" s="31">
        <f>2*DefaultBatchConcG*INDEX(FM_Active,MATCH($A18,FM_Mat,0))*IF(INDEX(FM_D10,MATCH($A18,FM_Mat,0))="D10",0.1,1)</f>
        <v/>
      </c>
      <c r="M18" s="81">
        <f>IF(K18&lt;L18,"LOW","OK")</f>
        <v/>
      </c>
      <c r="N18" s="15">
        <f>IF(K18&lt;L18,A18,"")</f>
        <v/>
      </c>
      <c r="O18" s="15">
        <f>IF(N18="",O17,IF(O17="",N18,O17&amp;",  "&amp;N18))</f>
        <v/>
      </c>
    </row>
    <row r="19">
      <c r="A19" s="68" t="inlineStr">
        <is>
          <t>Irone Alpha</t>
        </is>
      </c>
      <c r="B19" s="80" t="n">
        <v>10</v>
      </c>
      <c r="C19" s="81" t="inlineStr">
        <is>
          <t>g</t>
        </is>
      </c>
      <c r="D19" s="80" t="n">
        <v>1</v>
      </c>
      <c r="E19" s="81" t="inlineStr"/>
      <c r="F19" s="31">
        <f>IF(C19="ml",B19*D19*E19,B19*D19)</f>
        <v/>
      </c>
      <c r="G19" s="51" t="n">
        <v>216</v>
      </c>
      <c r="H19" s="31">
        <f>G19*D19</f>
        <v/>
      </c>
      <c r="I19" s="31">
        <f>IF(F19=0,0,H19/F19)</f>
        <v/>
      </c>
      <c r="J19" s="31">
        <f>TotalConcUsedG*INDEX(FM_Active,MATCH($A19,FM_Mat,0))*IF(INDEX(FM_D10,MATCH($A19,FM_Mat,0))="D10",0.1,1)</f>
        <v/>
      </c>
      <c r="K19" s="74">
        <f>F19-J19</f>
        <v/>
      </c>
      <c r="L19" s="31">
        <f>2*DefaultBatchConcG*INDEX(FM_Active,MATCH($A19,FM_Mat,0))*IF(INDEX(FM_D10,MATCH($A19,FM_Mat,0))="D10",0.1,1)</f>
        <v/>
      </c>
      <c r="M19" s="81">
        <f>IF(K19&lt;L19,"LOW","OK")</f>
        <v/>
      </c>
      <c r="N19" s="15">
        <f>IF(K19&lt;L19,A19,"")</f>
        <v/>
      </c>
      <c r="O19" s="15">
        <f>IF(N19="",O18,IF(O18="",N19,O18&amp;",  "&amp;N19))</f>
        <v/>
      </c>
    </row>
    <row r="20">
      <c r="A20" s="68" t="inlineStr">
        <is>
          <t>Benzyl Salicylate</t>
        </is>
      </c>
      <c r="B20" s="80" t="n">
        <v>10</v>
      </c>
      <c r="C20" s="81" t="inlineStr">
        <is>
          <t>ml</t>
        </is>
      </c>
      <c r="D20" s="80" t="n">
        <v>1</v>
      </c>
      <c r="E20" s="52" t="n">
        <v>0.9</v>
      </c>
      <c r="F20" s="31">
        <f>IF(C20="ml",B20*D20*E20,B20*D20)</f>
        <v/>
      </c>
      <c r="G20" s="51" t="n">
        <v>11.16</v>
      </c>
      <c r="H20" s="31">
        <f>G20*D20</f>
        <v/>
      </c>
      <c r="I20" s="31">
        <f>IF(F20=0,0,H20/F20)</f>
        <v/>
      </c>
      <c r="J20" s="31">
        <f>TotalConcUsedG*INDEX(FM_Active,MATCH($A20,FM_Mat,0))*IF(INDEX(FM_D10,MATCH($A20,FM_Mat,0))="D10",0.1,1)</f>
        <v/>
      </c>
      <c r="K20" s="74">
        <f>F20-J20</f>
        <v/>
      </c>
      <c r="L20" s="31">
        <f>2*DefaultBatchConcG*INDEX(FM_Active,MATCH($A20,FM_Mat,0))*IF(INDEX(FM_D10,MATCH($A20,FM_Mat,0))="D10",0.1,1)</f>
        <v/>
      </c>
      <c r="M20" s="81">
        <f>IF(K20&lt;L20,"LOW","OK")</f>
        <v/>
      </c>
      <c r="N20" s="15">
        <f>IF(K20&lt;L20,A20,"")</f>
        <v/>
      </c>
      <c r="O20" s="15">
        <f>IF(N20="",O19,IF(O19="",N20,O19&amp;",  "&amp;N20))</f>
        <v/>
      </c>
    </row>
    <row r="21">
      <c r="A21" s="68" t="inlineStr">
        <is>
          <t>Linalool</t>
        </is>
      </c>
      <c r="B21" s="80" t="n">
        <v>10</v>
      </c>
      <c r="C21" s="81" t="inlineStr">
        <is>
          <t>ml</t>
        </is>
      </c>
      <c r="D21" s="80" t="n">
        <v>1</v>
      </c>
      <c r="E21" s="52" t="n">
        <v>0.9</v>
      </c>
      <c r="F21" s="31">
        <f>IF(C21="ml",B21*D21*E21,B21*D21)</f>
        <v/>
      </c>
      <c r="G21" s="51" t="n">
        <v>16.74</v>
      </c>
      <c r="H21" s="31">
        <f>G21*D21</f>
        <v/>
      </c>
      <c r="I21" s="31">
        <f>IF(F21=0,0,H21/F21)</f>
        <v/>
      </c>
      <c r="J21" s="31">
        <f>TotalConcUsedG*INDEX(FM_Active,MATCH($A21,FM_Mat,0))*IF(INDEX(FM_D10,MATCH($A21,FM_Mat,0))="D10",0.1,1)</f>
        <v/>
      </c>
      <c r="K21" s="74">
        <f>F21-J21</f>
        <v/>
      </c>
      <c r="L21" s="31">
        <f>2*DefaultBatchConcG*INDEX(FM_Active,MATCH($A21,FM_Mat,0))*IF(INDEX(FM_D10,MATCH($A21,FM_Mat,0))="D10",0.1,1)</f>
        <v/>
      </c>
      <c r="M21" s="81">
        <f>IF(K21&lt;L21,"LOW","OK")</f>
        <v/>
      </c>
      <c r="N21" s="15">
        <f>IF(K21&lt;L21,A21,"")</f>
        <v/>
      </c>
      <c r="O21" s="15">
        <f>IF(N21="",O20,IF(O20="",N21,O20&amp;",  "&amp;N21))</f>
        <v/>
      </c>
    </row>
    <row r="22">
      <c r="A22" s="68" t="inlineStr">
        <is>
          <t>Neroli Accord</t>
        </is>
      </c>
      <c r="B22" s="80" t="n">
        <v>10</v>
      </c>
      <c r="C22" s="81" t="inlineStr">
        <is>
          <t>ml</t>
        </is>
      </c>
      <c r="D22" s="80" t="n">
        <v>1</v>
      </c>
      <c r="E22" s="52" t="n">
        <v>0.9</v>
      </c>
      <c r="F22" s="31">
        <f>IF(C22="ml",B22*D22*E22,B22*D22)</f>
        <v/>
      </c>
      <c r="G22" s="51" t="n">
        <v>54.38</v>
      </c>
      <c r="H22" s="31">
        <f>G22*D22</f>
        <v/>
      </c>
      <c r="I22" s="31">
        <f>IF(F22=0,0,H22/F22)</f>
        <v/>
      </c>
      <c r="J22" s="31">
        <f>TotalConcUsedG*INDEX(FM_Active,MATCH($A22,FM_Mat,0))*IF(INDEX(FM_D10,MATCH($A22,FM_Mat,0))="D10",0.1,1)</f>
        <v/>
      </c>
      <c r="K22" s="74">
        <f>F22-J22</f>
        <v/>
      </c>
      <c r="L22" s="31">
        <f>2*DefaultBatchConcG*INDEX(FM_Active,MATCH($A22,FM_Mat,0))*IF(INDEX(FM_D10,MATCH($A22,FM_Mat,0))="D10",0.1,1)</f>
        <v/>
      </c>
      <c r="M22" s="81">
        <f>IF(K22&lt;L22,"LOW","OK")</f>
        <v/>
      </c>
      <c r="N22" s="15">
        <f>IF(K22&lt;L22,A22,"")</f>
        <v/>
      </c>
      <c r="O22" s="15">
        <f>IF(N22="",O21,IF(O21="",N22,O21&amp;",  "&amp;N22))</f>
        <v/>
      </c>
    </row>
    <row r="23">
      <c r="A23" s="68" t="inlineStr">
        <is>
          <t>Orange Blossom Tunisia Absolute</t>
        </is>
      </c>
      <c r="B23" s="80" t="n">
        <v>10</v>
      </c>
      <c r="C23" s="81" t="inlineStr">
        <is>
          <t>g</t>
        </is>
      </c>
      <c r="D23" s="80" t="n">
        <v>1</v>
      </c>
      <c r="E23" s="81" t="inlineStr"/>
      <c r="F23" s="31">
        <f>IF(C23="ml",B23*D23*E23,B23*D23)</f>
        <v/>
      </c>
      <c r="G23" s="51" t="n">
        <v>435</v>
      </c>
      <c r="H23" s="31">
        <f>G23*D23</f>
        <v/>
      </c>
      <c r="I23" s="31">
        <f>IF(F23=0,0,H23/F23)</f>
        <v/>
      </c>
      <c r="J23" s="31">
        <f>TotalConcUsedG*INDEX(FM_Active,MATCH($A23,FM_Mat,0))*IF(INDEX(FM_D10,MATCH($A23,FM_Mat,0))="D10",0.1,1)</f>
        <v/>
      </c>
      <c r="K23" s="74">
        <f>F23-J23</f>
        <v/>
      </c>
      <c r="L23" s="31">
        <f>2*DefaultBatchConcG*INDEX(FM_Active,MATCH($A23,FM_Mat,0))*IF(INDEX(FM_D10,MATCH($A23,FM_Mat,0))="D10",0.1,1)</f>
        <v/>
      </c>
      <c r="M23" s="81">
        <f>IF(K23&lt;L23,"LOW","OK")</f>
        <v/>
      </c>
      <c r="N23" s="15">
        <f>IF(K23&lt;L23,A23,"")</f>
        <v/>
      </c>
      <c r="O23" s="15">
        <f>IF(N23="",O22,IF(O22="",N23,O22&amp;",  "&amp;N23))</f>
        <v/>
      </c>
    </row>
    <row r="24">
      <c r="A24" s="68" t="inlineStr">
        <is>
          <t>Petitgrain Paraguay</t>
        </is>
      </c>
      <c r="B24" s="80" t="n">
        <v>10</v>
      </c>
      <c r="C24" s="81" t="inlineStr">
        <is>
          <t>ml</t>
        </is>
      </c>
      <c r="D24" s="80" t="n">
        <v>1</v>
      </c>
      <c r="E24" s="52" t="n">
        <v>0.9</v>
      </c>
      <c r="F24" s="31">
        <f>IF(C24="ml",B24*D24*E24,B24*D24)</f>
        <v/>
      </c>
      <c r="G24" s="51" t="n">
        <v>43.75</v>
      </c>
      <c r="H24" s="31">
        <f>G24*D24</f>
        <v/>
      </c>
      <c r="I24" s="31">
        <f>IF(F24=0,0,H24/F24)</f>
        <v/>
      </c>
      <c r="J24" s="31">
        <f>TotalConcUsedG*INDEX(FM_Active,MATCH($A24,FM_Mat,0))*IF(INDEX(FM_D10,MATCH($A24,FM_Mat,0))="D10",0.1,1)</f>
        <v/>
      </c>
      <c r="K24" s="74">
        <f>F24-J24</f>
        <v/>
      </c>
      <c r="L24" s="31">
        <f>2*DefaultBatchConcG*INDEX(FM_Active,MATCH($A24,FM_Mat,0))*IF(INDEX(FM_D10,MATCH($A24,FM_Mat,0))="D10",0.1,1)</f>
        <v/>
      </c>
      <c r="M24" s="81">
        <f>IF(K24&lt;L24,"LOW","OK")</f>
        <v/>
      </c>
      <c r="N24" s="15">
        <f>IF(K24&lt;L24,A24,"")</f>
        <v/>
      </c>
      <c r="O24" s="15">
        <f>IF(N24="",O23,IF(O23="",N24,O23&amp;",  "&amp;N24))</f>
        <v/>
      </c>
    </row>
    <row r="25">
      <c r="A25" s="68" t="inlineStr">
        <is>
          <t>Pink Peppercorn</t>
        </is>
      </c>
      <c r="B25" s="80" t="n">
        <v>10</v>
      </c>
      <c r="C25" s="81" t="inlineStr">
        <is>
          <t>ml</t>
        </is>
      </c>
      <c r="D25" s="80" t="n">
        <v>1</v>
      </c>
      <c r="E25" s="52" t="n">
        <v>0.9</v>
      </c>
      <c r="F25" s="31">
        <f>IF(C25="ml",B25*D25*E25,B25*D25)</f>
        <v/>
      </c>
      <c r="G25" s="51" t="n">
        <v>141.25</v>
      </c>
      <c r="H25" s="31">
        <f>G25*D25</f>
        <v/>
      </c>
      <c r="I25" s="31">
        <f>IF(F25=0,0,H25/F25)</f>
        <v/>
      </c>
      <c r="J25" s="31">
        <f>TotalConcUsedG*INDEX(FM_Active,MATCH($A25,FM_Mat,0))*IF(INDEX(FM_D10,MATCH($A25,FM_Mat,0))="D10",0.1,1)</f>
        <v/>
      </c>
      <c r="K25" s="74">
        <f>F25-J25</f>
        <v/>
      </c>
      <c r="L25" s="31">
        <f>2*DefaultBatchConcG*INDEX(FM_Active,MATCH($A25,FM_Mat,0))*IF(INDEX(FM_D10,MATCH($A25,FM_Mat,0))="D10",0.1,1)</f>
        <v/>
      </c>
      <c r="M25" s="81">
        <f>IF(K25&lt;L25,"LOW","OK")</f>
        <v/>
      </c>
      <c r="N25" s="15">
        <f>IF(K25&lt;L25,A25,"")</f>
        <v/>
      </c>
      <c r="O25" s="15">
        <f>IF(N25="",O24,IF(O24="",N25,O24&amp;",  "&amp;N25))</f>
        <v/>
      </c>
    </row>
    <row r="26">
      <c r="A26" s="68" t="inlineStr">
        <is>
          <t>Bergamot Accord</t>
        </is>
      </c>
      <c r="B26" s="80" t="n">
        <v>10</v>
      </c>
      <c r="C26" s="81" t="inlineStr">
        <is>
          <t>ml</t>
        </is>
      </c>
      <c r="D26" s="80" t="n">
        <v>1</v>
      </c>
      <c r="E26" s="52" t="n">
        <v>0.9</v>
      </c>
      <c r="F26" s="31">
        <f>IF(C26="ml",B26*D26*E26,B26*D26)</f>
        <v/>
      </c>
      <c r="G26" s="51" t="n">
        <v>18.75</v>
      </c>
      <c r="H26" s="31">
        <f>G26*D26</f>
        <v/>
      </c>
      <c r="I26" s="31">
        <f>IF(F26=0,0,H26/F26)</f>
        <v/>
      </c>
      <c r="J26" s="31">
        <f>TotalConcUsedG*INDEX(FM_Active,MATCH($A26,FM_Mat,0))*IF(INDEX(FM_D10,MATCH($A26,FM_Mat,0))="D10",0.1,1)</f>
        <v/>
      </c>
      <c r="K26" s="74">
        <f>F26-J26</f>
        <v/>
      </c>
      <c r="L26" s="31">
        <f>2*DefaultBatchConcG*INDEX(FM_Active,MATCH($A26,FM_Mat,0))*IF(INDEX(FM_D10,MATCH($A26,FM_Mat,0))="D10",0.1,1)</f>
        <v/>
      </c>
      <c r="M26" s="81">
        <f>IF(K26&lt;L26,"LOW","OK")</f>
        <v/>
      </c>
      <c r="N26" s="15">
        <f>IF(K26&lt;L26,A26,"")</f>
        <v/>
      </c>
      <c r="O26" s="15">
        <f>IF(N26="",O25,IF(O25="",N26,O25&amp;",  "&amp;N26))</f>
        <v/>
      </c>
    </row>
    <row r="27">
      <c r="A27" s="82" t="inlineStr">
        <is>
          <t>Bergamot Essential Oil</t>
        </is>
      </c>
      <c r="B27" s="80" t="n">
        <v>10</v>
      </c>
      <c r="C27" s="81" t="inlineStr">
        <is>
          <t>ml</t>
        </is>
      </c>
      <c r="D27" s="80" t="n">
        <v>1</v>
      </c>
      <c r="E27" s="52" t="n">
        <v>0.9</v>
      </c>
      <c r="F27" s="31">
        <f>IF(C27="ml",B27*D27*E27,B27*D27)</f>
        <v/>
      </c>
      <c r="G27" s="51" t="n">
        <v>25</v>
      </c>
      <c r="H27" s="31">
        <f>G27*D27</f>
        <v/>
      </c>
      <c r="I27" s="31">
        <f>IF(F27=0,0,H27/F27)</f>
        <v/>
      </c>
      <c r="J27" s="51" t="n">
        <v>0</v>
      </c>
      <c r="K27" s="74">
        <f>F27-J27</f>
        <v/>
      </c>
      <c r="L27" s="31" t="n">
        <v>0</v>
      </c>
      <c r="M27" s="81">
        <f>IF(K27&lt;L27,"LOW","OK")</f>
        <v/>
      </c>
      <c r="N27" s="15">
        <f>IF(K27&lt;L27,A27,"")</f>
        <v/>
      </c>
      <c r="O27" s="15">
        <f>IF(N27="",O26,IF(O26="",N27,O26&amp;",  "&amp;N27))</f>
        <v/>
      </c>
    </row>
    <row r="28">
      <c r="A28" s="68" t="inlineStr">
        <is>
          <t>Floralozone</t>
        </is>
      </c>
      <c r="B28" s="80" t="n">
        <v>10</v>
      </c>
      <c r="C28" s="81" t="inlineStr">
        <is>
          <t>g</t>
        </is>
      </c>
      <c r="D28" s="80" t="n">
        <v>1</v>
      </c>
      <c r="E28" s="81" t="inlineStr"/>
      <c r="F28" s="31">
        <f>IF(C28="ml",B28*D28*E28,B28*D28)</f>
        <v/>
      </c>
      <c r="G28" s="51" t="n">
        <v>28</v>
      </c>
      <c r="H28" s="31">
        <f>G28*D28</f>
        <v/>
      </c>
      <c r="I28" s="31">
        <f>IF(F28=0,0,H28/F28)</f>
        <v/>
      </c>
      <c r="J28" s="31">
        <f>TotalConcUsedG*INDEX(FM_Active,MATCH($A28,FM_Mat,0))*IF(INDEX(FM_D10,MATCH($A28,FM_Mat,0))="D10",0.1,1)</f>
        <v/>
      </c>
      <c r="K28" s="74">
        <f>F28-J28</f>
        <v/>
      </c>
      <c r="L28" s="31">
        <f>2*DefaultBatchConcG*INDEX(FM_Active,MATCH($A28,FM_Mat,0))*IF(INDEX(FM_D10,MATCH($A28,FM_Mat,0))="D10",0.1,1)</f>
        <v/>
      </c>
      <c r="M28" s="81">
        <f>IF(K28&lt;L28,"LOW","OK")</f>
        <v/>
      </c>
      <c r="N28" s="15">
        <f>IF(K28&lt;L28,A28,"")</f>
        <v/>
      </c>
      <c r="O28" s="15">
        <f>IF(N28="",O27,IF(O27="",N28,O27&amp;",  "&amp;N28))</f>
        <v/>
      </c>
    </row>
    <row r="29">
      <c r="A29" s="68" t="inlineStr">
        <is>
          <t>Safraleine</t>
        </is>
      </c>
      <c r="B29" s="80" t="n">
        <v>10</v>
      </c>
      <c r="C29" s="81" t="inlineStr">
        <is>
          <t>g</t>
        </is>
      </c>
      <c r="D29" s="80" t="n">
        <v>1</v>
      </c>
      <c r="E29" s="81" t="inlineStr"/>
      <c r="F29" s="31">
        <f>IF(C29="ml",B29*D29*E29,B29*D29)</f>
        <v/>
      </c>
      <c r="G29" s="51" t="n">
        <v>81</v>
      </c>
      <c r="H29" s="31">
        <f>G29*D29</f>
        <v/>
      </c>
      <c r="I29" s="31">
        <f>IF(F29=0,0,H29/F29)</f>
        <v/>
      </c>
      <c r="J29" s="31">
        <f>TotalConcUsedG*INDEX(FM_Active,MATCH($A29,FM_Mat,0))*IF(INDEX(FM_D10,MATCH($A29,FM_Mat,0))="D10",0.1,1)</f>
        <v/>
      </c>
      <c r="K29" s="74">
        <f>F29-J29</f>
        <v/>
      </c>
      <c r="L29" s="31">
        <f>2*DefaultBatchConcG*INDEX(FM_Active,MATCH($A29,FM_Mat,0))*IF(INDEX(FM_D10,MATCH($A29,FM_Mat,0))="D10",0.1,1)</f>
        <v/>
      </c>
      <c r="M29" s="81">
        <f>IF(K29&lt;L29,"LOW","OK")</f>
        <v/>
      </c>
      <c r="N29" s="15">
        <f>IF(K29&lt;L29,A29,"")</f>
        <v/>
      </c>
      <c r="O29" s="15">
        <f>IF(N29="",O28,IF(O28="",N29,O28&amp;",  "&amp;N29))</f>
        <v/>
      </c>
    </row>
    <row r="30">
      <c r="A30" s="68" t="inlineStr">
        <is>
          <t>DPG (Dipropylene Glycol)</t>
        </is>
      </c>
      <c r="B30" s="83" t="n">
        <v>500</v>
      </c>
      <c r="C30" s="81" t="inlineStr">
        <is>
          <t>g</t>
        </is>
      </c>
      <c r="D30" s="80" t="n">
        <v>1</v>
      </c>
      <c r="E30" s="81" t="inlineStr"/>
      <c r="F30" s="31">
        <f>IF(C30="ml",B30*D30*E30,B30*D30)</f>
        <v/>
      </c>
      <c r="G30" s="51" t="n">
        <v>50</v>
      </c>
      <c r="H30" s="31">
        <f>G30*D30</f>
        <v/>
      </c>
      <c r="I30" s="31">
        <f>IF(F30=0,0,H30/F30)</f>
        <v/>
      </c>
      <c r="J30" s="31">
        <f>TotalConcUsedG*D10ActivePct*0.9</f>
        <v/>
      </c>
      <c r="K30" s="74">
        <f>F30-J30</f>
        <v/>
      </c>
      <c r="L30" s="31">
        <f>2*DefaultBatchConcG*D10ActivePct*0.9</f>
        <v/>
      </c>
      <c r="M30" s="81">
        <f>IF(K30&lt;L30,"LOW","OK")</f>
        <v/>
      </c>
      <c r="N30" s="15">
        <f>IF(K30&lt;L30,A30,"")</f>
        <v/>
      </c>
      <c r="O30" s="15">
        <f>IF(N30="",O29,IF(O29="",N30,O29&amp;",  "&amp;N30))</f>
        <v/>
      </c>
    </row>
    <row r="31">
      <c r="A31" s="68" t="inlineStr">
        <is>
          <t>Alcohol 190 proof SDA 40B</t>
        </is>
      </c>
      <c r="B31" s="83" t="n">
        <v>1000</v>
      </c>
      <c r="C31" s="81" t="inlineStr">
        <is>
          <t>ml</t>
        </is>
      </c>
      <c r="D31" s="80" t="n">
        <v>1</v>
      </c>
      <c r="E31" s="52" t="n">
        <v>0.8100000000000001</v>
      </c>
      <c r="F31" s="31">
        <f>IF(C31="ml",B31*D31*E31,B31*D31)</f>
        <v/>
      </c>
      <c r="G31" s="51" t="n">
        <v>150</v>
      </c>
      <c r="H31" s="31">
        <f>G31*D31</f>
        <v/>
      </c>
      <c r="I31" s="31">
        <f>IF(F31=0,0,H31/F31)</f>
        <v/>
      </c>
      <c r="J31" s="31">
        <f>AlcoholUsedG</f>
        <v/>
      </c>
      <c r="K31" s="74">
        <f>F31-J31</f>
        <v/>
      </c>
      <c r="L31" s="31">
        <f>2*DefaultBatchAlcG</f>
        <v/>
      </c>
      <c r="M31" s="81">
        <f>IF(K31&lt;L31,"LOW","OK")</f>
        <v/>
      </c>
      <c r="N31" s="15">
        <f>IF(K31&lt;L31,A31,"")</f>
        <v/>
      </c>
      <c r="O31" s="15">
        <f>IF(N31="",O30,IF(O30="",N31,O30&amp;",  "&amp;N31))</f>
        <v/>
      </c>
    </row>
    <row r="32">
      <c r="A32" s="47" t="inlineStr">
        <is>
          <t>TOTAL PAID (SAR)</t>
        </is>
      </c>
      <c r="H32" s="84">
        <f>SUM(H4:H31)</f>
        <v/>
      </c>
    </row>
  </sheetData>
  <sheetProtection selectLockedCells="0" selectUnlockedCells="0" sheet="1" objects="0" insertRows="1" insertHyperlinks="1" autoFilter="1" scenarios="0" formatColumns="0" deleteColumns="1" insertColumns="1" pivotTables="1" deleteRows="1" formatCells="0" formatRows="0" sort="1"/>
  <mergeCells count="5">
    <mergeCell ref="A32:G32"/>
    <mergeCell ref="F2:G2"/>
    <mergeCell ref="A1:M1"/>
    <mergeCell ref="A2:E2"/>
    <mergeCell ref="I2:J2"/>
  </mergeCells>
  <conditionalFormatting sqref="A4:M31">
    <cfRule type="expression" priority="1" dxfId="3">
      <formula>AND($F4&gt;0,$K4&lt;$L4)</formula>
    </cfRule>
  </conditionalFormatting>
  <dataValidations count="2">
    <dataValidation sqref="E4:E31" showDropDown="0" showInputMessage="0" showErrorMessage="0" allowBlank="0" type="decimal" operator="between">
      <formula1>0.5</formula1>
      <formula2>1.2</formula2>
    </dataValidation>
    <dataValidation sqref="D4:D31" showDropDown="0" showInputMessage="0" showErrorMessage="0" allowBlank="0" type="whole" operator="between">
      <formula1>0</formula1>
      <formula2>99</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B3531"/>
    <outlinePr summaryBelow="1" summaryRight="1"/>
    <pageSetUpPr/>
  </sheetPr>
  <dimension ref="A1:M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6" customWidth="1" min="3" max="3"/>
    <col width="8" customWidth="1" min="4" max="4"/>
    <col width="6" customWidth="1" min="5" max="5"/>
    <col width="8" customWidth="1" min="6" max="6"/>
    <col width="13" customWidth="1" min="7" max="7"/>
    <col width="11" customWidth="1" min="8" max="8"/>
    <col width="12" customWidth="1" min="9" max="9"/>
    <col width="12" customWidth="1" min="10" max="10"/>
    <col width="12" customWidth="1" min="11" max="11"/>
    <col width="32" customWidth="1" min="12" max="12"/>
    <col hidden="1" width="4" customWidth="1" min="13" max="13"/>
  </cols>
  <sheetData>
    <row r="1" ht="28" customHeight="1">
      <c r="A1" s="17" t="inlineStr">
        <is>
          <t>PRODUCTION LOG</t>
        </is>
      </c>
    </row>
    <row r="2">
      <c r="A2" s="18" t="inlineStr">
        <is>
          <t>One row per batch. Copy 'Concentrate (g)' and 'Alcohol (g)' from the Batch Calculator — Inventory and the Maceration Tracker update automatically.</t>
        </is>
      </c>
      <c r="B2" s="19" t="n"/>
      <c r="C2" s="19" t="n"/>
      <c r="D2" s="19" t="n"/>
      <c r="E2" s="19" t="n"/>
      <c r="F2" s="19" t="n"/>
      <c r="G2" s="19" t="n"/>
      <c r="H2" s="19" t="n"/>
      <c r="I2" s="19" t="n"/>
      <c r="J2" s="19" t="n"/>
      <c r="K2" s="19" t="n"/>
      <c r="L2" s="19" t="n"/>
    </row>
    <row r="3">
      <c r="A3" s="20" t="inlineStr">
        <is>
          <t>Maceration default (days):</t>
        </is>
      </c>
      <c r="C3" s="80" t="n">
        <v>42</v>
      </c>
      <c r="D3" s="20" t="inlineStr">
        <is>
          <t>Σ concentrate used (g):</t>
        </is>
      </c>
      <c r="F3" s="85">
        <f>SUM(LogConcG)</f>
        <v/>
      </c>
      <c r="G3" s="20" t="inlineStr">
        <is>
          <t>Σ alcohol used (g):</t>
        </is>
      </c>
      <c r="I3" s="85">
        <f>SUM(LogAlcG)</f>
        <v/>
      </c>
    </row>
    <row r="4" ht="24" customHeight="1">
      <c r="A4" s="24" t="inlineStr">
        <is>
          <t>Date</t>
        </is>
      </c>
      <c r="B4" s="24" t="inlineStr">
        <is>
          <t>Batch ID</t>
        </is>
      </c>
      <c r="C4" s="24" t="inlineStr">
        <is>
          <t>Format</t>
        </is>
      </c>
      <c r="D4" s="24" t="inlineStr">
        <is>
          <t>Size</t>
        </is>
      </c>
      <c r="E4" s="24" t="inlineStr">
        <is>
          <t>Unit</t>
        </is>
      </c>
      <c r="F4" s="24" t="inlineStr">
        <is>
          <t>Conc %</t>
        </is>
      </c>
      <c r="G4" s="24" t="inlineStr">
        <is>
          <t>Concentrate (g)</t>
        </is>
      </c>
      <c r="H4" s="24" t="inlineStr">
        <is>
          <t>Alcohol (g)</t>
        </is>
      </c>
      <c r="I4" s="24" t="inlineStr">
        <is>
          <t>Macer. start</t>
        </is>
      </c>
      <c r="J4" s="24" t="inlineStr">
        <is>
          <t>Target end</t>
        </is>
      </c>
      <c r="K4" s="24" t="inlineStr">
        <is>
          <t>Status</t>
        </is>
      </c>
      <c r="L4" s="24" t="inlineStr">
        <is>
          <t>Notes</t>
        </is>
      </c>
    </row>
    <row r="5">
      <c r="A5" s="75" t="inlineStr"/>
      <c r="B5" s="86" t="inlineStr"/>
      <c r="C5" s="87" t="inlineStr"/>
      <c r="D5" s="76" t="inlineStr"/>
      <c r="E5" s="86" t="inlineStr"/>
      <c r="F5" s="88" t="inlineStr"/>
      <c r="G5" s="76" t="inlineStr"/>
      <c r="H5" s="76" t="inlineStr"/>
      <c r="I5" s="75" t="inlineStr"/>
      <c r="J5" s="75">
        <f>IF($I5="","",$I5+MacDays)</f>
        <v/>
      </c>
      <c r="K5" s="86" t="inlineStr"/>
      <c r="L5" s="87" t="inlineStr"/>
      <c r="M5" s="15">
        <f>IF(AND($K5="Macerating",$I5&lt;&gt;""),$I5,"")</f>
        <v/>
      </c>
    </row>
    <row r="6">
      <c r="A6" s="75" t="inlineStr"/>
      <c r="B6" s="86" t="inlineStr"/>
      <c r="C6" s="87" t="inlineStr"/>
      <c r="D6" s="76" t="inlineStr"/>
      <c r="E6" s="86" t="inlineStr"/>
      <c r="F6" s="88" t="inlineStr"/>
      <c r="G6" s="76" t="inlineStr"/>
      <c r="H6" s="76" t="inlineStr"/>
      <c r="I6" s="75" t="inlineStr"/>
      <c r="J6" s="75">
        <f>IF($I6="","",$I6+MacDays)</f>
        <v/>
      </c>
      <c r="K6" s="86" t="inlineStr"/>
      <c r="L6" s="87" t="inlineStr"/>
      <c r="M6" s="15">
        <f>IF(AND($K6="Macerating",$I6&lt;&gt;""),$I6,"")</f>
        <v/>
      </c>
    </row>
    <row r="7">
      <c r="A7" s="75" t="inlineStr"/>
      <c r="B7" s="86" t="inlineStr"/>
      <c r="C7" s="87" t="inlineStr"/>
      <c r="D7" s="76" t="inlineStr"/>
      <c r="E7" s="86" t="inlineStr"/>
      <c r="F7" s="88" t="inlineStr"/>
      <c r="G7" s="76" t="inlineStr"/>
      <c r="H7" s="76" t="inlineStr"/>
      <c r="I7" s="75" t="inlineStr"/>
      <c r="J7" s="75">
        <f>IF($I7="","",$I7+MacDays)</f>
        <v/>
      </c>
      <c r="K7" s="86" t="inlineStr"/>
      <c r="L7" s="87" t="inlineStr"/>
      <c r="M7" s="15">
        <f>IF(AND($K7="Macerating",$I7&lt;&gt;""),$I7,"")</f>
        <v/>
      </c>
    </row>
    <row r="8">
      <c r="A8" s="75" t="inlineStr"/>
      <c r="B8" s="86" t="inlineStr"/>
      <c r="C8" s="87" t="inlineStr"/>
      <c r="D8" s="76" t="inlineStr"/>
      <c r="E8" s="86" t="inlineStr"/>
      <c r="F8" s="88" t="inlineStr"/>
      <c r="G8" s="76" t="inlineStr"/>
      <c r="H8" s="76" t="inlineStr"/>
      <c r="I8" s="75" t="inlineStr"/>
      <c r="J8" s="75">
        <f>IF($I8="","",$I8+MacDays)</f>
        <v/>
      </c>
      <c r="K8" s="86" t="inlineStr"/>
      <c r="L8" s="87" t="inlineStr"/>
      <c r="M8" s="15">
        <f>IF(AND($K8="Macerating",$I8&lt;&gt;""),$I8,"")</f>
        <v/>
      </c>
    </row>
    <row r="9">
      <c r="A9" s="75" t="inlineStr"/>
      <c r="B9" s="86" t="inlineStr"/>
      <c r="C9" s="87" t="inlineStr"/>
      <c r="D9" s="76" t="inlineStr"/>
      <c r="E9" s="86" t="inlineStr"/>
      <c r="F9" s="88" t="inlineStr"/>
      <c r="G9" s="76" t="inlineStr"/>
      <c r="H9" s="76" t="inlineStr"/>
      <c r="I9" s="75" t="inlineStr"/>
      <c r="J9" s="75">
        <f>IF($I9="","",$I9+MacDays)</f>
        <v/>
      </c>
      <c r="K9" s="86" t="inlineStr"/>
      <c r="L9" s="87" t="inlineStr"/>
      <c r="M9" s="15">
        <f>IF(AND($K9="Macerating",$I9&lt;&gt;""),$I9,"")</f>
        <v/>
      </c>
    </row>
    <row r="10">
      <c r="A10" s="75" t="inlineStr"/>
      <c r="B10" s="86" t="inlineStr"/>
      <c r="C10" s="87" t="inlineStr"/>
      <c r="D10" s="76" t="inlineStr"/>
      <c r="E10" s="86" t="inlineStr"/>
      <c r="F10" s="88" t="inlineStr"/>
      <c r="G10" s="76" t="inlineStr"/>
      <c r="H10" s="76" t="inlineStr"/>
      <c r="I10" s="75" t="inlineStr"/>
      <c r="J10" s="75">
        <f>IF($I10="","",$I10+MacDays)</f>
        <v/>
      </c>
      <c r="K10" s="86" t="inlineStr"/>
      <c r="L10" s="87" t="inlineStr"/>
      <c r="M10" s="15">
        <f>IF(AND($K10="Macerating",$I10&lt;&gt;""),$I10,"")</f>
        <v/>
      </c>
    </row>
    <row r="11">
      <c r="A11" s="75" t="inlineStr"/>
      <c r="B11" s="86" t="inlineStr"/>
      <c r="C11" s="87" t="inlineStr"/>
      <c r="D11" s="76" t="inlineStr"/>
      <c r="E11" s="86" t="inlineStr"/>
      <c r="F11" s="88" t="inlineStr"/>
      <c r="G11" s="76" t="inlineStr"/>
      <c r="H11" s="76" t="inlineStr"/>
      <c r="I11" s="75" t="inlineStr"/>
      <c r="J11" s="75">
        <f>IF($I11="","",$I11+MacDays)</f>
        <v/>
      </c>
      <c r="K11" s="86" t="inlineStr"/>
      <c r="L11" s="87" t="inlineStr"/>
      <c r="M11" s="15">
        <f>IF(AND($K11="Macerating",$I11&lt;&gt;""),$I11,"")</f>
        <v/>
      </c>
    </row>
    <row r="12">
      <c r="A12" s="75" t="inlineStr"/>
      <c r="B12" s="86" t="inlineStr"/>
      <c r="C12" s="87" t="inlineStr"/>
      <c r="D12" s="76" t="inlineStr"/>
      <c r="E12" s="86" t="inlineStr"/>
      <c r="F12" s="88" t="inlineStr"/>
      <c r="G12" s="76" t="inlineStr"/>
      <c r="H12" s="76" t="inlineStr"/>
      <c r="I12" s="75" t="inlineStr"/>
      <c r="J12" s="75">
        <f>IF($I12="","",$I12+MacDays)</f>
        <v/>
      </c>
      <c r="K12" s="86" t="inlineStr"/>
      <c r="L12" s="87" t="inlineStr"/>
      <c r="M12" s="15">
        <f>IF(AND($K12="Macerating",$I12&lt;&gt;""),$I12,"")</f>
        <v/>
      </c>
    </row>
    <row r="13">
      <c r="A13" s="75" t="inlineStr"/>
      <c r="B13" s="86" t="inlineStr"/>
      <c r="C13" s="87" t="inlineStr"/>
      <c r="D13" s="76" t="inlineStr"/>
      <c r="E13" s="86" t="inlineStr"/>
      <c r="F13" s="88" t="inlineStr"/>
      <c r="G13" s="76" t="inlineStr"/>
      <c r="H13" s="76" t="inlineStr"/>
      <c r="I13" s="75" t="inlineStr"/>
      <c r="J13" s="75">
        <f>IF($I13="","",$I13+MacDays)</f>
        <v/>
      </c>
      <c r="K13" s="86" t="inlineStr"/>
      <c r="L13" s="87" t="inlineStr"/>
      <c r="M13" s="15">
        <f>IF(AND($K13="Macerating",$I13&lt;&gt;""),$I13,"")</f>
        <v/>
      </c>
    </row>
    <row r="14">
      <c r="A14" s="75" t="inlineStr"/>
      <c r="B14" s="86" t="inlineStr"/>
      <c r="C14" s="87" t="inlineStr"/>
      <c r="D14" s="76" t="inlineStr"/>
      <c r="E14" s="86" t="inlineStr"/>
      <c r="F14" s="88" t="inlineStr"/>
      <c r="G14" s="76" t="inlineStr"/>
      <c r="H14" s="76" t="inlineStr"/>
      <c r="I14" s="75" t="inlineStr"/>
      <c r="J14" s="75">
        <f>IF($I14="","",$I14+MacDays)</f>
        <v/>
      </c>
      <c r="K14" s="86" t="inlineStr"/>
      <c r="L14" s="87" t="inlineStr"/>
      <c r="M14" s="15">
        <f>IF(AND($K14="Macerating",$I14&lt;&gt;""),$I14,"")</f>
        <v/>
      </c>
    </row>
    <row r="15">
      <c r="A15" s="75" t="inlineStr"/>
      <c r="B15" s="86" t="inlineStr"/>
      <c r="C15" s="87" t="inlineStr"/>
      <c r="D15" s="76" t="inlineStr"/>
      <c r="E15" s="86" t="inlineStr"/>
      <c r="F15" s="88" t="inlineStr"/>
      <c r="G15" s="76" t="inlineStr"/>
      <c r="H15" s="76" t="inlineStr"/>
      <c r="I15" s="75" t="inlineStr"/>
      <c r="J15" s="75">
        <f>IF($I15="","",$I15+MacDays)</f>
        <v/>
      </c>
      <c r="K15" s="86" t="inlineStr"/>
      <c r="L15" s="87" t="inlineStr"/>
      <c r="M15" s="15">
        <f>IF(AND($K15="Macerating",$I15&lt;&gt;""),$I15,"")</f>
        <v/>
      </c>
    </row>
    <row r="16">
      <c r="A16" s="75" t="inlineStr"/>
      <c r="B16" s="86" t="inlineStr"/>
      <c r="C16" s="87" t="inlineStr"/>
      <c r="D16" s="76" t="inlineStr"/>
      <c r="E16" s="86" t="inlineStr"/>
      <c r="F16" s="88" t="inlineStr"/>
      <c r="G16" s="76" t="inlineStr"/>
      <c r="H16" s="76" t="inlineStr"/>
      <c r="I16" s="75" t="inlineStr"/>
      <c r="J16" s="75">
        <f>IF($I16="","",$I16+MacDays)</f>
        <v/>
      </c>
      <c r="K16" s="86" t="inlineStr"/>
      <c r="L16" s="87" t="inlineStr"/>
      <c r="M16" s="15">
        <f>IF(AND($K16="Macerating",$I16&lt;&gt;""),$I16,"")</f>
        <v/>
      </c>
    </row>
    <row r="17">
      <c r="A17" s="75" t="inlineStr"/>
      <c r="B17" s="86" t="inlineStr"/>
      <c r="C17" s="87" t="inlineStr"/>
      <c r="D17" s="76" t="inlineStr"/>
      <c r="E17" s="86" t="inlineStr"/>
      <c r="F17" s="88" t="inlineStr"/>
      <c r="G17" s="76" t="inlineStr"/>
      <c r="H17" s="76" t="inlineStr"/>
      <c r="I17" s="75" t="inlineStr"/>
      <c r="J17" s="75">
        <f>IF($I17="","",$I17+MacDays)</f>
        <v/>
      </c>
      <c r="K17" s="86" t="inlineStr"/>
      <c r="L17" s="87" t="inlineStr"/>
      <c r="M17" s="15">
        <f>IF(AND($K17="Macerating",$I17&lt;&gt;""),$I17,"")</f>
        <v/>
      </c>
    </row>
    <row r="18">
      <c r="A18" s="75" t="inlineStr"/>
      <c r="B18" s="86" t="inlineStr"/>
      <c r="C18" s="87" t="inlineStr"/>
      <c r="D18" s="76" t="inlineStr"/>
      <c r="E18" s="86" t="inlineStr"/>
      <c r="F18" s="88" t="inlineStr"/>
      <c r="G18" s="76" t="inlineStr"/>
      <c r="H18" s="76" t="inlineStr"/>
      <c r="I18" s="75" t="inlineStr"/>
      <c r="J18" s="75">
        <f>IF($I18="","",$I18+MacDays)</f>
        <v/>
      </c>
      <c r="K18" s="86" t="inlineStr"/>
      <c r="L18" s="87" t="inlineStr"/>
      <c r="M18" s="15">
        <f>IF(AND($K18="Macerating",$I18&lt;&gt;""),$I18,"")</f>
        <v/>
      </c>
    </row>
    <row r="19">
      <c r="A19" s="75" t="inlineStr"/>
      <c r="B19" s="86" t="inlineStr"/>
      <c r="C19" s="87" t="inlineStr"/>
      <c r="D19" s="76" t="inlineStr"/>
      <c r="E19" s="86" t="inlineStr"/>
      <c r="F19" s="88" t="inlineStr"/>
      <c r="G19" s="76" t="inlineStr"/>
      <c r="H19" s="76" t="inlineStr"/>
      <c r="I19" s="75" t="inlineStr"/>
      <c r="J19" s="75">
        <f>IF($I19="","",$I19+MacDays)</f>
        <v/>
      </c>
      <c r="K19" s="86" t="inlineStr"/>
      <c r="L19" s="87" t="inlineStr"/>
      <c r="M19" s="15">
        <f>IF(AND($K19="Macerating",$I19&lt;&gt;""),$I19,"")</f>
        <v/>
      </c>
    </row>
    <row r="20">
      <c r="A20" s="75" t="inlineStr"/>
      <c r="B20" s="86" t="inlineStr"/>
      <c r="C20" s="87" t="inlineStr"/>
      <c r="D20" s="76" t="inlineStr"/>
      <c r="E20" s="86" t="inlineStr"/>
      <c r="F20" s="88" t="inlineStr"/>
      <c r="G20" s="76" t="inlineStr"/>
      <c r="H20" s="76" t="inlineStr"/>
      <c r="I20" s="75" t="inlineStr"/>
      <c r="J20" s="75">
        <f>IF($I20="","",$I20+MacDays)</f>
        <v/>
      </c>
      <c r="K20" s="86" t="inlineStr"/>
      <c r="L20" s="87" t="inlineStr"/>
      <c r="M20" s="15">
        <f>IF(AND($K20="Macerating",$I20&lt;&gt;""),$I20,"")</f>
        <v/>
      </c>
    </row>
    <row r="21">
      <c r="A21" s="75" t="inlineStr"/>
      <c r="B21" s="86" t="inlineStr"/>
      <c r="C21" s="87" t="inlineStr"/>
      <c r="D21" s="76" t="inlineStr"/>
      <c r="E21" s="86" t="inlineStr"/>
      <c r="F21" s="88" t="inlineStr"/>
      <c r="G21" s="76" t="inlineStr"/>
      <c r="H21" s="76" t="inlineStr"/>
      <c r="I21" s="75" t="inlineStr"/>
      <c r="J21" s="75">
        <f>IF($I21="","",$I21+MacDays)</f>
        <v/>
      </c>
      <c r="K21" s="86" t="inlineStr"/>
      <c r="L21" s="87" t="inlineStr"/>
      <c r="M21" s="15">
        <f>IF(AND($K21="Macerating",$I21&lt;&gt;""),$I21,"")</f>
        <v/>
      </c>
    </row>
    <row r="22">
      <c r="A22" s="75" t="inlineStr"/>
      <c r="B22" s="86" t="inlineStr"/>
      <c r="C22" s="87" t="inlineStr"/>
      <c r="D22" s="76" t="inlineStr"/>
      <c r="E22" s="86" t="inlineStr"/>
      <c r="F22" s="88" t="inlineStr"/>
      <c r="G22" s="76" t="inlineStr"/>
      <c r="H22" s="76" t="inlineStr"/>
      <c r="I22" s="75" t="inlineStr"/>
      <c r="J22" s="75">
        <f>IF($I22="","",$I22+MacDays)</f>
        <v/>
      </c>
      <c r="K22" s="86" t="inlineStr"/>
      <c r="L22" s="87" t="inlineStr"/>
      <c r="M22" s="15">
        <f>IF(AND($K22="Macerating",$I22&lt;&gt;""),$I22,"")</f>
        <v/>
      </c>
    </row>
    <row r="23">
      <c r="A23" s="75" t="inlineStr"/>
      <c r="B23" s="86" t="inlineStr"/>
      <c r="C23" s="87" t="inlineStr"/>
      <c r="D23" s="76" t="inlineStr"/>
      <c r="E23" s="86" t="inlineStr"/>
      <c r="F23" s="88" t="inlineStr"/>
      <c r="G23" s="76" t="inlineStr"/>
      <c r="H23" s="76" t="inlineStr"/>
      <c r="I23" s="75" t="inlineStr"/>
      <c r="J23" s="75">
        <f>IF($I23="","",$I23+MacDays)</f>
        <v/>
      </c>
      <c r="K23" s="86" t="inlineStr"/>
      <c r="L23" s="87" t="inlineStr"/>
      <c r="M23" s="15">
        <f>IF(AND($K23="Macerating",$I23&lt;&gt;""),$I23,"")</f>
        <v/>
      </c>
    </row>
    <row r="24">
      <c r="A24" s="75" t="inlineStr"/>
      <c r="B24" s="86" t="inlineStr"/>
      <c r="C24" s="87" t="inlineStr"/>
      <c r="D24" s="76" t="inlineStr"/>
      <c r="E24" s="86" t="inlineStr"/>
      <c r="F24" s="88" t="inlineStr"/>
      <c r="G24" s="76" t="inlineStr"/>
      <c r="H24" s="76" t="inlineStr"/>
      <c r="I24" s="75" t="inlineStr"/>
      <c r="J24" s="75">
        <f>IF($I24="","",$I24+MacDays)</f>
        <v/>
      </c>
      <c r="K24" s="86" t="inlineStr"/>
      <c r="L24" s="87" t="inlineStr"/>
      <c r="M24" s="15">
        <f>IF(AND($K24="Macerating",$I24&lt;&gt;""),$I24,"")</f>
        <v/>
      </c>
    </row>
    <row r="25">
      <c r="A25" s="75" t="inlineStr"/>
      <c r="B25" s="86" t="inlineStr"/>
      <c r="C25" s="87" t="inlineStr"/>
      <c r="D25" s="76" t="inlineStr"/>
      <c r="E25" s="86" t="inlineStr"/>
      <c r="F25" s="88" t="inlineStr"/>
      <c r="G25" s="76" t="inlineStr"/>
      <c r="H25" s="76" t="inlineStr"/>
      <c r="I25" s="75" t="inlineStr"/>
      <c r="J25" s="75">
        <f>IF($I25="","",$I25+MacDays)</f>
        <v/>
      </c>
      <c r="K25" s="86" t="inlineStr"/>
      <c r="L25" s="87" t="inlineStr"/>
      <c r="M25" s="15">
        <f>IF(AND($K25="Macerating",$I25&lt;&gt;""),$I25,"")</f>
        <v/>
      </c>
    </row>
    <row r="26">
      <c r="A26" s="75" t="inlineStr"/>
      <c r="B26" s="86" t="inlineStr"/>
      <c r="C26" s="87" t="inlineStr"/>
      <c r="D26" s="76" t="inlineStr"/>
      <c r="E26" s="86" t="inlineStr"/>
      <c r="F26" s="88" t="inlineStr"/>
      <c r="G26" s="76" t="inlineStr"/>
      <c r="H26" s="76" t="inlineStr"/>
      <c r="I26" s="75" t="inlineStr"/>
      <c r="J26" s="75">
        <f>IF($I26="","",$I26+MacDays)</f>
        <v/>
      </c>
      <c r="K26" s="86" t="inlineStr"/>
      <c r="L26" s="87" t="inlineStr"/>
      <c r="M26" s="15">
        <f>IF(AND($K26="Macerating",$I26&lt;&gt;""),$I26,"")</f>
        <v/>
      </c>
    </row>
    <row r="27">
      <c r="A27" s="75" t="inlineStr"/>
      <c r="B27" s="86" t="inlineStr"/>
      <c r="C27" s="87" t="inlineStr"/>
      <c r="D27" s="76" t="inlineStr"/>
      <c r="E27" s="86" t="inlineStr"/>
      <c r="F27" s="88" t="inlineStr"/>
      <c r="G27" s="76" t="inlineStr"/>
      <c r="H27" s="76" t="inlineStr"/>
      <c r="I27" s="75" t="inlineStr"/>
      <c r="J27" s="75">
        <f>IF($I27="","",$I27+MacDays)</f>
        <v/>
      </c>
      <c r="K27" s="86" t="inlineStr"/>
      <c r="L27" s="87" t="inlineStr"/>
      <c r="M27" s="15">
        <f>IF(AND($K27="Macerating",$I27&lt;&gt;""),$I27,"")</f>
        <v/>
      </c>
    </row>
    <row r="28">
      <c r="A28" s="75" t="inlineStr"/>
      <c r="B28" s="86" t="inlineStr"/>
      <c r="C28" s="87" t="inlineStr"/>
      <c r="D28" s="76" t="inlineStr"/>
      <c r="E28" s="86" t="inlineStr"/>
      <c r="F28" s="88" t="inlineStr"/>
      <c r="G28" s="76" t="inlineStr"/>
      <c r="H28" s="76" t="inlineStr"/>
      <c r="I28" s="75" t="inlineStr"/>
      <c r="J28" s="75">
        <f>IF($I28="","",$I28+MacDays)</f>
        <v/>
      </c>
      <c r="K28" s="86" t="inlineStr"/>
      <c r="L28" s="87" t="inlineStr"/>
      <c r="M28" s="15">
        <f>IF(AND($K28="Macerating",$I28&lt;&gt;""),$I28,"")</f>
        <v/>
      </c>
    </row>
    <row r="29">
      <c r="A29" s="75" t="inlineStr"/>
      <c r="B29" s="86" t="inlineStr"/>
      <c r="C29" s="87" t="inlineStr"/>
      <c r="D29" s="76" t="inlineStr"/>
      <c r="E29" s="86" t="inlineStr"/>
      <c r="F29" s="88" t="inlineStr"/>
      <c r="G29" s="76" t="inlineStr"/>
      <c r="H29" s="76" t="inlineStr"/>
      <c r="I29" s="75" t="inlineStr"/>
      <c r="J29" s="75">
        <f>IF($I29="","",$I29+MacDays)</f>
        <v/>
      </c>
      <c r="K29" s="86" t="inlineStr"/>
      <c r="L29" s="87" t="inlineStr"/>
      <c r="M29" s="15">
        <f>IF(AND($K29="Macerating",$I29&lt;&gt;""),$I29,"")</f>
        <v/>
      </c>
    </row>
    <row r="30">
      <c r="A30" s="75" t="inlineStr"/>
      <c r="B30" s="86" t="inlineStr"/>
      <c r="C30" s="87" t="inlineStr"/>
      <c r="D30" s="76" t="inlineStr"/>
      <c r="E30" s="86" t="inlineStr"/>
      <c r="F30" s="88" t="inlineStr"/>
      <c r="G30" s="76" t="inlineStr"/>
      <c r="H30" s="76" t="inlineStr"/>
      <c r="I30" s="75" t="inlineStr"/>
      <c r="J30" s="75">
        <f>IF($I30="","",$I30+MacDays)</f>
        <v/>
      </c>
      <c r="K30" s="86" t="inlineStr"/>
      <c r="L30" s="87" t="inlineStr"/>
      <c r="M30" s="15">
        <f>IF(AND($K30="Macerating",$I30&lt;&gt;""),$I30,"")</f>
        <v/>
      </c>
    </row>
    <row r="31">
      <c r="A31" s="75" t="inlineStr"/>
      <c r="B31" s="86" t="inlineStr"/>
      <c r="C31" s="87" t="inlineStr"/>
      <c r="D31" s="76" t="inlineStr"/>
      <c r="E31" s="86" t="inlineStr"/>
      <c r="F31" s="88" t="inlineStr"/>
      <c r="G31" s="76" t="inlineStr"/>
      <c r="H31" s="76" t="inlineStr"/>
      <c r="I31" s="75" t="inlineStr"/>
      <c r="J31" s="75">
        <f>IF($I31="","",$I31+MacDays)</f>
        <v/>
      </c>
      <c r="K31" s="86" t="inlineStr"/>
      <c r="L31" s="87" t="inlineStr"/>
      <c r="M31" s="15">
        <f>IF(AND($K31="Macerating",$I31&lt;&gt;""),$I31,"")</f>
        <v/>
      </c>
    </row>
    <row r="32">
      <c r="A32" s="75" t="inlineStr"/>
      <c r="B32" s="86" t="inlineStr"/>
      <c r="C32" s="87" t="inlineStr"/>
      <c r="D32" s="76" t="inlineStr"/>
      <c r="E32" s="86" t="inlineStr"/>
      <c r="F32" s="88" t="inlineStr"/>
      <c r="G32" s="76" t="inlineStr"/>
      <c r="H32" s="76" t="inlineStr"/>
      <c r="I32" s="75" t="inlineStr"/>
      <c r="J32" s="75">
        <f>IF($I32="","",$I32+MacDays)</f>
        <v/>
      </c>
      <c r="K32" s="86" t="inlineStr"/>
      <c r="L32" s="87" t="inlineStr"/>
      <c r="M32" s="15">
        <f>IF(AND($K32="Macerating",$I32&lt;&gt;""),$I32,"")</f>
        <v/>
      </c>
    </row>
    <row r="33">
      <c r="A33" s="75" t="inlineStr"/>
      <c r="B33" s="86" t="inlineStr"/>
      <c r="C33" s="87" t="inlineStr"/>
      <c r="D33" s="76" t="inlineStr"/>
      <c r="E33" s="86" t="inlineStr"/>
      <c r="F33" s="88" t="inlineStr"/>
      <c r="G33" s="76" t="inlineStr"/>
      <c r="H33" s="76" t="inlineStr"/>
      <c r="I33" s="75" t="inlineStr"/>
      <c r="J33" s="75">
        <f>IF($I33="","",$I33+MacDays)</f>
        <v/>
      </c>
      <c r="K33" s="86" t="inlineStr"/>
      <c r="L33" s="87" t="inlineStr"/>
      <c r="M33" s="15">
        <f>IF(AND($K33="Macerating",$I33&lt;&gt;""),$I33,"")</f>
        <v/>
      </c>
    </row>
    <row r="34">
      <c r="A34" s="75" t="inlineStr"/>
      <c r="B34" s="86" t="inlineStr"/>
      <c r="C34" s="87" t="inlineStr"/>
      <c r="D34" s="76" t="inlineStr"/>
      <c r="E34" s="86" t="inlineStr"/>
      <c r="F34" s="88" t="inlineStr"/>
      <c r="G34" s="76" t="inlineStr"/>
      <c r="H34" s="76" t="inlineStr"/>
      <c r="I34" s="75" t="inlineStr"/>
      <c r="J34" s="75">
        <f>IF($I34="","",$I34+MacDays)</f>
        <v/>
      </c>
      <c r="K34" s="86" t="inlineStr"/>
      <c r="L34" s="87" t="inlineStr"/>
      <c r="M34" s="15">
        <f>IF(AND($K34="Macerating",$I34&lt;&gt;""),$I34,"")</f>
        <v/>
      </c>
    </row>
    <row r="35">
      <c r="A35" s="75" t="inlineStr"/>
      <c r="B35" s="86" t="inlineStr"/>
      <c r="C35" s="87" t="inlineStr"/>
      <c r="D35" s="76" t="inlineStr"/>
      <c r="E35" s="86" t="inlineStr"/>
      <c r="F35" s="88" t="inlineStr"/>
      <c r="G35" s="76" t="inlineStr"/>
      <c r="H35" s="76" t="inlineStr"/>
      <c r="I35" s="75" t="inlineStr"/>
      <c r="J35" s="75">
        <f>IF($I35="","",$I35+MacDays)</f>
        <v/>
      </c>
      <c r="K35" s="86" t="inlineStr"/>
      <c r="L35" s="87" t="inlineStr"/>
      <c r="M35" s="15">
        <f>IF(AND($K35="Macerating",$I35&lt;&gt;""),$I35,"")</f>
        <v/>
      </c>
    </row>
    <row r="36">
      <c r="A36" s="75" t="inlineStr"/>
      <c r="B36" s="86" t="inlineStr"/>
      <c r="C36" s="87" t="inlineStr"/>
      <c r="D36" s="76" t="inlineStr"/>
      <c r="E36" s="86" t="inlineStr"/>
      <c r="F36" s="88" t="inlineStr"/>
      <c r="G36" s="76" t="inlineStr"/>
      <c r="H36" s="76" t="inlineStr"/>
      <c r="I36" s="75" t="inlineStr"/>
      <c r="J36" s="75">
        <f>IF($I36="","",$I36+MacDays)</f>
        <v/>
      </c>
      <c r="K36" s="86" t="inlineStr"/>
      <c r="L36" s="87" t="inlineStr"/>
      <c r="M36" s="15">
        <f>IF(AND($K36="Macerating",$I36&lt;&gt;""),$I36,"")</f>
        <v/>
      </c>
    </row>
    <row r="37">
      <c r="A37" s="75" t="inlineStr"/>
      <c r="B37" s="86" t="inlineStr"/>
      <c r="C37" s="87" t="inlineStr"/>
      <c r="D37" s="76" t="inlineStr"/>
      <c r="E37" s="86" t="inlineStr"/>
      <c r="F37" s="88" t="inlineStr"/>
      <c r="G37" s="76" t="inlineStr"/>
      <c r="H37" s="76" t="inlineStr"/>
      <c r="I37" s="75" t="inlineStr"/>
      <c r="J37" s="75">
        <f>IF($I37="","",$I37+MacDays)</f>
        <v/>
      </c>
      <c r="K37" s="86" t="inlineStr"/>
      <c r="L37" s="87" t="inlineStr"/>
      <c r="M37" s="15">
        <f>IF(AND($K37="Macerating",$I37&lt;&gt;""),$I37,"")</f>
        <v/>
      </c>
    </row>
    <row r="38">
      <c r="A38" s="75" t="inlineStr"/>
      <c r="B38" s="86" t="inlineStr"/>
      <c r="C38" s="87" t="inlineStr"/>
      <c r="D38" s="76" t="inlineStr"/>
      <c r="E38" s="86" t="inlineStr"/>
      <c r="F38" s="88" t="inlineStr"/>
      <c r="G38" s="76" t="inlineStr"/>
      <c r="H38" s="76" t="inlineStr"/>
      <c r="I38" s="75" t="inlineStr"/>
      <c r="J38" s="75">
        <f>IF($I38="","",$I38+MacDays)</f>
        <v/>
      </c>
      <c r="K38" s="86" t="inlineStr"/>
      <c r="L38" s="87" t="inlineStr"/>
      <c r="M38" s="15">
        <f>IF(AND($K38="Macerating",$I38&lt;&gt;""),$I38,"")</f>
        <v/>
      </c>
    </row>
    <row r="39">
      <c r="A39" s="75" t="inlineStr"/>
      <c r="B39" s="86" t="inlineStr"/>
      <c r="C39" s="87" t="inlineStr"/>
      <c r="D39" s="76" t="inlineStr"/>
      <c r="E39" s="86" t="inlineStr"/>
      <c r="F39" s="88" t="inlineStr"/>
      <c r="G39" s="76" t="inlineStr"/>
      <c r="H39" s="76" t="inlineStr"/>
      <c r="I39" s="75" t="inlineStr"/>
      <c r="J39" s="75">
        <f>IF($I39="","",$I39+MacDays)</f>
        <v/>
      </c>
      <c r="K39" s="86" t="inlineStr"/>
      <c r="L39" s="87" t="inlineStr"/>
      <c r="M39" s="15">
        <f>IF(AND($K39="Macerating",$I39&lt;&gt;""),$I39,"")</f>
        <v/>
      </c>
    </row>
    <row r="40">
      <c r="A40" s="75" t="inlineStr"/>
      <c r="B40" s="86" t="inlineStr"/>
      <c r="C40" s="87" t="inlineStr"/>
      <c r="D40" s="76" t="inlineStr"/>
      <c r="E40" s="86" t="inlineStr"/>
      <c r="F40" s="88" t="inlineStr"/>
      <c r="G40" s="76" t="inlineStr"/>
      <c r="H40" s="76" t="inlineStr"/>
      <c r="I40" s="75" t="inlineStr"/>
      <c r="J40" s="75">
        <f>IF($I40="","",$I40+MacDays)</f>
        <v/>
      </c>
      <c r="K40" s="86" t="inlineStr"/>
      <c r="L40" s="87" t="inlineStr"/>
      <c r="M40" s="15">
        <f>IF(AND($K40="Macerating",$I40&lt;&gt;""),$I40,"")</f>
        <v/>
      </c>
    </row>
    <row r="41">
      <c r="A41" s="75" t="inlineStr"/>
      <c r="B41" s="86" t="inlineStr"/>
      <c r="C41" s="87" t="inlineStr"/>
      <c r="D41" s="76" t="inlineStr"/>
      <c r="E41" s="86" t="inlineStr"/>
      <c r="F41" s="88" t="inlineStr"/>
      <c r="G41" s="76" t="inlineStr"/>
      <c r="H41" s="76" t="inlineStr"/>
      <c r="I41" s="75" t="inlineStr"/>
      <c r="J41" s="75">
        <f>IF($I41="","",$I41+MacDays)</f>
        <v/>
      </c>
      <c r="K41" s="86" t="inlineStr"/>
      <c r="L41" s="87" t="inlineStr"/>
      <c r="M41" s="15">
        <f>IF(AND($K41="Macerating",$I41&lt;&gt;""),$I41,"")</f>
        <v/>
      </c>
    </row>
    <row r="42">
      <c r="A42" s="75" t="inlineStr"/>
      <c r="B42" s="86" t="inlineStr"/>
      <c r="C42" s="87" t="inlineStr"/>
      <c r="D42" s="76" t="inlineStr"/>
      <c r="E42" s="86" t="inlineStr"/>
      <c r="F42" s="88" t="inlineStr"/>
      <c r="G42" s="76" t="inlineStr"/>
      <c r="H42" s="76" t="inlineStr"/>
      <c r="I42" s="75" t="inlineStr"/>
      <c r="J42" s="75">
        <f>IF($I42="","",$I42+MacDays)</f>
        <v/>
      </c>
      <c r="K42" s="86" t="inlineStr"/>
      <c r="L42" s="87" t="inlineStr"/>
      <c r="M42" s="15">
        <f>IF(AND($K42="Macerating",$I42&lt;&gt;""),$I42,"")</f>
        <v/>
      </c>
    </row>
    <row r="43">
      <c r="A43" s="75" t="inlineStr"/>
      <c r="B43" s="86" t="inlineStr"/>
      <c r="C43" s="87" t="inlineStr"/>
      <c r="D43" s="76" t="inlineStr"/>
      <c r="E43" s="86" t="inlineStr"/>
      <c r="F43" s="88" t="inlineStr"/>
      <c r="G43" s="76" t="inlineStr"/>
      <c r="H43" s="76" t="inlineStr"/>
      <c r="I43" s="75" t="inlineStr"/>
      <c r="J43" s="75">
        <f>IF($I43="","",$I43+MacDays)</f>
        <v/>
      </c>
      <c r="K43" s="86" t="inlineStr"/>
      <c r="L43" s="87" t="inlineStr"/>
      <c r="M43" s="15">
        <f>IF(AND($K43="Macerating",$I43&lt;&gt;""),$I43,"")</f>
        <v/>
      </c>
    </row>
    <row r="44">
      <c r="A44" s="75" t="inlineStr"/>
      <c r="B44" s="86" t="inlineStr"/>
      <c r="C44" s="87" t="inlineStr"/>
      <c r="D44" s="76" t="inlineStr"/>
      <c r="E44" s="86" t="inlineStr"/>
      <c r="F44" s="88" t="inlineStr"/>
      <c r="G44" s="76" t="inlineStr"/>
      <c r="H44" s="76" t="inlineStr"/>
      <c r="I44" s="75" t="inlineStr"/>
      <c r="J44" s="75">
        <f>IF($I44="","",$I44+MacDays)</f>
        <v/>
      </c>
      <c r="K44" s="86" t="inlineStr"/>
      <c r="L44" s="87" t="inlineStr"/>
      <c r="M44" s="15">
        <f>IF(AND($K44="Macerating",$I44&lt;&gt;""),$I44,"")</f>
        <v/>
      </c>
    </row>
  </sheetData>
  <sheetProtection selectLockedCells="0" selectUnlockedCells="0" sheet="1" objects="0" insertRows="1" insertHyperlinks="1" autoFilter="1" scenarios="0" formatColumns="0" deleteColumns="1" insertColumns="1" pivotTables="1" deleteRows="1" formatCells="0" formatRows="0" sort="1"/>
  <mergeCells count="5">
    <mergeCell ref="A2:L2"/>
    <mergeCell ref="A1:L1"/>
    <mergeCell ref="D3:E3"/>
    <mergeCell ref="A3:B3"/>
    <mergeCell ref="G3:H3"/>
  </mergeCells>
  <dataValidations count="4">
    <dataValidation sqref="C5:C44" showDropDown="0" showInputMessage="0" showErrorMessage="0" allowBlank="1" type="list">
      <formula1>FormatList</formula1>
    </dataValidation>
    <dataValidation sqref="E5:E44" showDropDown="0" showInputMessage="0" showErrorMessage="0" allowBlank="1" type="list">
      <formula1>UnitList</formula1>
    </dataValidation>
    <dataValidation sqref="K5:K44" showDropDown="0" showInputMessage="0" showErrorMessage="0" allowBlank="1" type="list">
      <formula1>StatusList</formula1>
    </dataValidation>
    <dataValidation sqref="F5:F44" showDropDown="0" showInputMessage="0" showErrorMessage="0" allowBlank="0" type="decimal" operator="between">
      <formula1>0</formula1>
      <formula2>0.35</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B3531"/>
    <outlinePr summaryBelow="1" summaryRight="1"/>
    <pageSetUpPr/>
  </sheetPr>
  <dimension ref="A1:I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2" customWidth="1" min="3" max="3"/>
    <col width="12" customWidth="1" min="4" max="4"/>
    <col width="12" customWidth="1" min="5" max="5"/>
    <col width="12" customWidth="1" min="6" max="6"/>
    <col width="9" customWidth="1" min="7" max="7"/>
    <col width="12" customWidth="1" min="8" max="8"/>
    <col width="30" customWidth="1" min="9" max="9"/>
  </cols>
  <sheetData>
    <row r="1" ht="28" customHeight="1">
      <c r="A1" s="17" t="inlineStr">
        <is>
          <t>MACERATION TRACKER</t>
        </is>
      </c>
    </row>
    <row r="2">
      <c r="A2" s="18" t="inlineStr">
        <is>
          <t>Auto-view of the Production Log.  Amber = early (&lt; 2 weeks) · Green = ready window (4–8 weeks).</t>
        </is>
      </c>
      <c r="B2" s="19" t="n"/>
      <c r="C2" s="19" t="n"/>
      <c r="D2" s="19" t="n"/>
      <c r="E2" s="19" t="n"/>
      <c r="F2" s="19" t="n"/>
      <c r="G2" s="19" t="n"/>
      <c r="H2" s="19" t="n"/>
      <c r="I2" s="19" t="n"/>
    </row>
    <row r="4" ht="24" customHeight="1">
      <c r="A4" s="24" t="inlineStr">
        <is>
          <t>Batch ID</t>
        </is>
      </c>
      <c r="B4" s="24" t="inlineStr">
        <is>
          <t>Format</t>
        </is>
      </c>
      <c r="C4" s="24" t="inlineStr">
        <is>
          <t>Start</t>
        </is>
      </c>
      <c r="D4" s="24" t="inlineStr">
        <is>
          <t>Target end</t>
        </is>
      </c>
      <c r="E4" s="24" t="inlineStr">
        <is>
          <t>Days elapsed</t>
        </is>
      </c>
      <c r="F4" s="24" t="inlineStr">
        <is>
          <t>Days remaining</t>
        </is>
      </c>
      <c r="G4" s="24" t="inlineStr">
        <is>
          <t>Weeks</t>
        </is>
      </c>
      <c r="H4" s="24" t="inlineStr">
        <is>
          <t>Status</t>
        </is>
      </c>
      <c r="I4" s="24" t="inlineStr">
        <is>
          <t>Readiness</t>
        </is>
      </c>
    </row>
    <row r="5">
      <c r="A5" s="89">
        <f>IF('Production Log'!B5="","",'Production Log'!B5)</f>
        <v/>
      </c>
      <c r="B5" s="68">
        <f>IF('Production Log'!C5="","",'Production Log'!C5)</f>
        <v/>
      </c>
      <c r="C5" s="90">
        <f>IF('Production Log'!I5="","",'Production Log'!I5)</f>
        <v/>
      </c>
      <c r="D5" s="90">
        <f>IF('Production Log'!J5="","",'Production Log'!J5)</f>
        <v/>
      </c>
      <c r="E5" s="91">
        <f>IF($C5="","",TODAY()-$C5)</f>
        <v/>
      </c>
      <c r="F5" s="91">
        <f>IF($D5="","",$D5-TODAY())</f>
        <v/>
      </c>
      <c r="G5" s="92">
        <f>IF($C5="","",(TODAY()-$C5)/7)</f>
        <v/>
      </c>
      <c r="H5" s="89">
        <f>IF('Production Log'!K5="","",'Production Log'!K5)</f>
        <v/>
      </c>
      <c r="I5" s="69">
        <f>IF($A5="","",IF($H5="Bottled","BOTTLED ✓",IF($C5="","awaiting start date",IF(TODAY()-$C5&gt;=56,"PAST WINDOW — bottle now",IF(TODAY()-$C5&gt;=28,"READY WINDOW (4–8 wk)",IF(TODAY()-$C5&gt;=14,"developing","early — keep dark &amp; cool"))))))</f>
        <v/>
      </c>
    </row>
    <row r="6">
      <c r="A6" s="89">
        <f>IF('Production Log'!B6="","",'Production Log'!B6)</f>
        <v/>
      </c>
      <c r="B6" s="68">
        <f>IF('Production Log'!C6="","",'Production Log'!C6)</f>
        <v/>
      </c>
      <c r="C6" s="90">
        <f>IF('Production Log'!I6="","",'Production Log'!I6)</f>
        <v/>
      </c>
      <c r="D6" s="90">
        <f>IF('Production Log'!J6="","",'Production Log'!J6)</f>
        <v/>
      </c>
      <c r="E6" s="91">
        <f>IF($C6="","",TODAY()-$C6)</f>
        <v/>
      </c>
      <c r="F6" s="91">
        <f>IF($D6="","",$D6-TODAY())</f>
        <v/>
      </c>
      <c r="G6" s="92">
        <f>IF($C6="","",(TODAY()-$C6)/7)</f>
        <v/>
      </c>
      <c r="H6" s="89">
        <f>IF('Production Log'!K6="","",'Production Log'!K6)</f>
        <v/>
      </c>
      <c r="I6" s="69">
        <f>IF($A6="","",IF($H6="Bottled","BOTTLED ✓",IF($C6="","awaiting start date",IF(TODAY()-$C6&gt;=56,"PAST WINDOW — bottle now",IF(TODAY()-$C6&gt;=28,"READY WINDOW (4–8 wk)",IF(TODAY()-$C6&gt;=14,"developing","early — keep dark &amp; cool"))))))</f>
        <v/>
      </c>
    </row>
    <row r="7">
      <c r="A7" s="89">
        <f>IF('Production Log'!B7="","",'Production Log'!B7)</f>
        <v/>
      </c>
      <c r="B7" s="68">
        <f>IF('Production Log'!C7="","",'Production Log'!C7)</f>
        <v/>
      </c>
      <c r="C7" s="90">
        <f>IF('Production Log'!I7="","",'Production Log'!I7)</f>
        <v/>
      </c>
      <c r="D7" s="90">
        <f>IF('Production Log'!J7="","",'Production Log'!J7)</f>
        <v/>
      </c>
      <c r="E7" s="91">
        <f>IF($C7="","",TODAY()-$C7)</f>
        <v/>
      </c>
      <c r="F7" s="91">
        <f>IF($D7="","",$D7-TODAY())</f>
        <v/>
      </c>
      <c r="G7" s="92">
        <f>IF($C7="","",(TODAY()-$C7)/7)</f>
        <v/>
      </c>
      <c r="H7" s="89">
        <f>IF('Production Log'!K7="","",'Production Log'!K7)</f>
        <v/>
      </c>
      <c r="I7" s="69">
        <f>IF($A7="","",IF($H7="Bottled","BOTTLED ✓",IF($C7="","awaiting start date",IF(TODAY()-$C7&gt;=56,"PAST WINDOW — bottle now",IF(TODAY()-$C7&gt;=28,"READY WINDOW (4–8 wk)",IF(TODAY()-$C7&gt;=14,"developing","early — keep dark &amp; cool"))))))</f>
        <v/>
      </c>
    </row>
    <row r="8">
      <c r="A8" s="89">
        <f>IF('Production Log'!B8="","",'Production Log'!B8)</f>
        <v/>
      </c>
      <c r="B8" s="68">
        <f>IF('Production Log'!C8="","",'Production Log'!C8)</f>
        <v/>
      </c>
      <c r="C8" s="90">
        <f>IF('Production Log'!I8="","",'Production Log'!I8)</f>
        <v/>
      </c>
      <c r="D8" s="90">
        <f>IF('Production Log'!J8="","",'Production Log'!J8)</f>
        <v/>
      </c>
      <c r="E8" s="91">
        <f>IF($C8="","",TODAY()-$C8)</f>
        <v/>
      </c>
      <c r="F8" s="91">
        <f>IF($D8="","",$D8-TODAY())</f>
        <v/>
      </c>
      <c r="G8" s="92">
        <f>IF($C8="","",(TODAY()-$C8)/7)</f>
        <v/>
      </c>
      <c r="H8" s="89">
        <f>IF('Production Log'!K8="","",'Production Log'!K8)</f>
        <v/>
      </c>
      <c r="I8" s="69">
        <f>IF($A8="","",IF($H8="Bottled","BOTTLED ✓",IF($C8="","awaiting start date",IF(TODAY()-$C8&gt;=56,"PAST WINDOW — bottle now",IF(TODAY()-$C8&gt;=28,"READY WINDOW (4–8 wk)",IF(TODAY()-$C8&gt;=14,"developing","early — keep dark &amp; cool"))))))</f>
        <v/>
      </c>
    </row>
    <row r="9">
      <c r="A9" s="89">
        <f>IF('Production Log'!B9="","",'Production Log'!B9)</f>
        <v/>
      </c>
      <c r="B9" s="68">
        <f>IF('Production Log'!C9="","",'Production Log'!C9)</f>
        <v/>
      </c>
      <c r="C9" s="90">
        <f>IF('Production Log'!I9="","",'Production Log'!I9)</f>
        <v/>
      </c>
      <c r="D9" s="90">
        <f>IF('Production Log'!J9="","",'Production Log'!J9)</f>
        <v/>
      </c>
      <c r="E9" s="91">
        <f>IF($C9="","",TODAY()-$C9)</f>
        <v/>
      </c>
      <c r="F9" s="91">
        <f>IF($D9="","",$D9-TODAY())</f>
        <v/>
      </c>
      <c r="G9" s="92">
        <f>IF($C9="","",(TODAY()-$C9)/7)</f>
        <v/>
      </c>
      <c r="H9" s="89">
        <f>IF('Production Log'!K9="","",'Production Log'!K9)</f>
        <v/>
      </c>
      <c r="I9" s="69">
        <f>IF($A9="","",IF($H9="Bottled","BOTTLED ✓",IF($C9="","awaiting start date",IF(TODAY()-$C9&gt;=56,"PAST WINDOW — bottle now",IF(TODAY()-$C9&gt;=28,"READY WINDOW (4–8 wk)",IF(TODAY()-$C9&gt;=14,"developing","early — keep dark &amp; cool"))))))</f>
        <v/>
      </c>
    </row>
    <row r="10">
      <c r="A10" s="89">
        <f>IF('Production Log'!B10="","",'Production Log'!B10)</f>
        <v/>
      </c>
      <c r="B10" s="68">
        <f>IF('Production Log'!C10="","",'Production Log'!C10)</f>
        <v/>
      </c>
      <c r="C10" s="90">
        <f>IF('Production Log'!I10="","",'Production Log'!I10)</f>
        <v/>
      </c>
      <c r="D10" s="90">
        <f>IF('Production Log'!J10="","",'Production Log'!J10)</f>
        <v/>
      </c>
      <c r="E10" s="91">
        <f>IF($C10="","",TODAY()-$C10)</f>
        <v/>
      </c>
      <c r="F10" s="91">
        <f>IF($D10="","",$D10-TODAY())</f>
        <v/>
      </c>
      <c r="G10" s="92">
        <f>IF($C10="","",(TODAY()-$C10)/7)</f>
        <v/>
      </c>
      <c r="H10" s="89">
        <f>IF('Production Log'!K10="","",'Production Log'!K10)</f>
        <v/>
      </c>
      <c r="I10" s="69">
        <f>IF($A10="","",IF($H10="Bottled","BOTTLED ✓",IF($C10="","awaiting start date",IF(TODAY()-$C10&gt;=56,"PAST WINDOW — bottle now",IF(TODAY()-$C10&gt;=28,"READY WINDOW (4–8 wk)",IF(TODAY()-$C10&gt;=14,"developing","early — keep dark &amp; cool"))))))</f>
        <v/>
      </c>
    </row>
    <row r="11">
      <c r="A11" s="89">
        <f>IF('Production Log'!B11="","",'Production Log'!B11)</f>
        <v/>
      </c>
      <c r="B11" s="68">
        <f>IF('Production Log'!C11="","",'Production Log'!C11)</f>
        <v/>
      </c>
      <c r="C11" s="90">
        <f>IF('Production Log'!I11="","",'Production Log'!I11)</f>
        <v/>
      </c>
      <c r="D11" s="90">
        <f>IF('Production Log'!J11="","",'Production Log'!J11)</f>
        <v/>
      </c>
      <c r="E11" s="91">
        <f>IF($C11="","",TODAY()-$C11)</f>
        <v/>
      </c>
      <c r="F11" s="91">
        <f>IF($D11="","",$D11-TODAY())</f>
        <v/>
      </c>
      <c r="G11" s="92">
        <f>IF($C11="","",(TODAY()-$C11)/7)</f>
        <v/>
      </c>
      <c r="H11" s="89">
        <f>IF('Production Log'!K11="","",'Production Log'!K11)</f>
        <v/>
      </c>
      <c r="I11" s="69">
        <f>IF($A11="","",IF($H11="Bottled","BOTTLED ✓",IF($C11="","awaiting start date",IF(TODAY()-$C11&gt;=56,"PAST WINDOW — bottle now",IF(TODAY()-$C11&gt;=28,"READY WINDOW (4–8 wk)",IF(TODAY()-$C11&gt;=14,"developing","early — keep dark &amp; cool"))))))</f>
        <v/>
      </c>
    </row>
    <row r="12">
      <c r="A12" s="89">
        <f>IF('Production Log'!B12="","",'Production Log'!B12)</f>
        <v/>
      </c>
      <c r="B12" s="68">
        <f>IF('Production Log'!C12="","",'Production Log'!C12)</f>
        <v/>
      </c>
      <c r="C12" s="90">
        <f>IF('Production Log'!I12="","",'Production Log'!I12)</f>
        <v/>
      </c>
      <c r="D12" s="90">
        <f>IF('Production Log'!J12="","",'Production Log'!J12)</f>
        <v/>
      </c>
      <c r="E12" s="91">
        <f>IF($C12="","",TODAY()-$C12)</f>
        <v/>
      </c>
      <c r="F12" s="91">
        <f>IF($D12="","",$D12-TODAY())</f>
        <v/>
      </c>
      <c r="G12" s="92">
        <f>IF($C12="","",(TODAY()-$C12)/7)</f>
        <v/>
      </c>
      <c r="H12" s="89">
        <f>IF('Production Log'!K12="","",'Production Log'!K12)</f>
        <v/>
      </c>
      <c r="I12" s="69">
        <f>IF($A12="","",IF($H12="Bottled","BOTTLED ✓",IF($C12="","awaiting start date",IF(TODAY()-$C12&gt;=56,"PAST WINDOW — bottle now",IF(TODAY()-$C12&gt;=28,"READY WINDOW (4–8 wk)",IF(TODAY()-$C12&gt;=14,"developing","early — keep dark &amp; cool"))))))</f>
        <v/>
      </c>
    </row>
    <row r="13">
      <c r="A13" s="89">
        <f>IF('Production Log'!B13="","",'Production Log'!B13)</f>
        <v/>
      </c>
      <c r="B13" s="68">
        <f>IF('Production Log'!C13="","",'Production Log'!C13)</f>
        <v/>
      </c>
      <c r="C13" s="90">
        <f>IF('Production Log'!I13="","",'Production Log'!I13)</f>
        <v/>
      </c>
      <c r="D13" s="90">
        <f>IF('Production Log'!J13="","",'Production Log'!J13)</f>
        <v/>
      </c>
      <c r="E13" s="91">
        <f>IF($C13="","",TODAY()-$C13)</f>
        <v/>
      </c>
      <c r="F13" s="91">
        <f>IF($D13="","",$D13-TODAY())</f>
        <v/>
      </c>
      <c r="G13" s="92">
        <f>IF($C13="","",(TODAY()-$C13)/7)</f>
        <v/>
      </c>
      <c r="H13" s="89">
        <f>IF('Production Log'!K13="","",'Production Log'!K13)</f>
        <v/>
      </c>
      <c r="I13" s="69">
        <f>IF($A13="","",IF($H13="Bottled","BOTTLED ✓",IF($C13="","awaiting start date",IF(TODAY()-$C13&gt;=56,"PAST WINDOW — bottle now",IF(TODAY()-$C13&gt;=28,"READY WINDOW (4–8 wk)",IF(TODAY()-$C13&gt;=14,"developing","early — keep dark &amp; cool"))))))</f>
        <v/>
      </c>
    </row>
    <row r="14">
      <c r="A14" s="89">
        <f>IF('Production Log'!B14="","",'Production Log'!B14)</f>
        <v/>
      </c>
      <c r="B14" s="68">
        <f>IF('Production Log'!C14="","",'Production Log'!C14)</f>
        <v/>
      </c>
      <c r="C14" s="90">
        <f>IF('Production Log'!I14="","",'Production Log'!I14)</f>
        <v/>
      </c>
      <c r="D14" s="90">
        <f>IF('Production Log'!J14="","",'Production Log'!J14)</f>
        <v/>
      </c>
      <c r="E14" s="91">
        <f>IF($C14="","",TODAY()-$C14)</f>
        <v/>
      </c>
      <c r="F14" s="91">
        <f>IF($D14="","",$D14-TODAY())</f>
        <v/>
      </c>
      <c r="G14" s="92">
        <f>IF($C14="","",(TODAY()-$C14)/7)</f>
        <v/>
      </c>
      <c r="H14" s="89">
        <f>IF('Production Log'!K14="","",'Production Log'!K14)</f>
        <v/>
      </c>
      <c r="I14" s="69">
        <f>IF($A14="","",IF($H14="Bottled","BOTTLED ✓",IF($C14="","awaiting start date",IF(TODAY()-$C14&gt;=56,"PAST WINDOW — bottle now",IF(TODAY()-$C14&gt;=28,"READY WINDOW (4–8 wk)",IF(TODAY()-$C14&gt;=14,"developing","early — keep dark &amp; cool"))))))</f>
        <v/>
      </c>
    </row>
    <row r="15">
      <c r="A15" s="89">
        <f>IF('Production Log'!B15="","",'Production Log'!B15)</f>
        <v/>
      </c>
      <c r="B15" s="68">
        <f>IF('Production Log'!C15="","",'Production Log'!C15)</f>
        <v/>
      </c>
      <c r="C15" s="90">
        <f>IF('Production Log'!I15="","",'Production Log'!I15)</f>
        <v/>
      </c>
      <c r="D15" s="90">
        <f>IF('Production Log'!J15="","",'Production Log'!J15)</f>
        <v/>
      </c>
      <c r="E15" s="91">
        <f>IF($C15="","",TODAY()-$C15)</f>
        <v/>
      </c>
      <c r="F15" s="91">
        <f>IF($D15="","",$D15-TODAY())</f>
        <v/>
      </c>
      <c r="G15" s="92">
        <f>IF($C15="","",(TODAY()-$C15)/7)</f>
        <v/>
      </c>
      <c r="H15" s="89">
        <f>IF('Production Log'!K15="","",'Production Log'!K15)</f>
        <v/>
      </c>
      <c r="I15" s="69">
        <f>IF($A15="","",IF($H15="Bottled","BOTTLED ✓",IF($C15="","awaiting start date",IF(TODAY()-$C15&gt;=56,"PAST WINDOW — bottle now",IF(TODAY()-$C15&gt;=28,"READY WINDOW (4–8 wk)",IF(TODAY()-$C15&gt;=14,"developing","early — keep dark &amp; cool"))))))</f>
        <v/>
      </c>
    </row>
    <row r="16">
      <c r="A16" s="89">
        <f>IF('Production Log'!B16="","",'Production Log'!B16)</f>
        <v/>
      </c>
      <c r="B16" s="68">
        <f>IF('Production Log'!C16="","",'Production Log'!C16)</f>
        <v/>
      </c>
      <c r="C16" s="90">
        <f>IF('Production Log'!I16="","",'Production Log'!I16)</f>
        <v/>
      </c>
      <c r="D16" s="90">
        <f>IF('Production Log'!J16="","",'Production Log'!J16)</f>
        <v/>
      </c>
      <c r="E16" s="91">
        <f>IF($C16="","",TODAY()-$C16)</f>
        <v/>
      </c>
      <c r="F16" s="91">
        <f>IF($D16="","",$D16-TODAY())</f>
        <v/>
      </c>
      <c r="G16" s="92">
        <f>IF($C16="","",(TODAY()-$C16)/7)</f>
        <v/>
      </c>
      <c r="H16" s="89">
        <f>IF('Production Log'!K16="","",'Production Log'!K16)</f>
        <v/>
      </c>
      <c r="I16" s="69">
        <f>IF($A16="","",IF($H16="Bottled","BOTTLED ✓",IF($C16="","awaiting start date",IF(TODAY()-$C16&gt;=56,"PAST WINDOW — bottle now",IF(TODAY()-$C16&gt;=28,"READY WINDOW (4–8 wk)",IF(TODAY()-$C16&gt;=14,"developing","early — keep dark &amp; cool"))))))</f>
        <v/>
      </c>
    </row>
    <row r="17">
      <c r="A17" s="89">
        <f>IF('Production Log'!B17="","",'Production Log'!B17)</f>
        <v/>
      </c>
      <c r="B17" s="68">
        <f>IF('Production Log'!C17="","",'Production Log'!C17)</f>
        <v/>
      </c>
      <c r="C17" s="90">
        <f>IF('Production Log'!I17="","",'Production Log'!I17)</f>
        <v/>
      </c>
      <c r="D17" s="90">
        <f>IF('Production Log'!J17="","",'Production Log'!J17)</f>
        <v/>
      </c>
      <c r="E17" s="91">
        <f>IF($C17="","",TODAY()-$C17)</f>
        <v/>
      </c>
      <c r="F17" s="91">
        <f>IF($D17="","",$D17-TODAY())</f>
        <v/>
      </c>
      <c r="G17" s="92">
        <f>IF($C17="","",(TODAY()-$C17)/7)</f>
        <v/>
      </c>
      <c r="H17" s="89">
        <f>IF('Production Log'!K17="","",'Production Log'!K17)</f>
        <v/>
      </c>
      <c r="I17" s="69">
        <f>IF($A17="","",IF($H17="Bottled","BOTTLED ✓",IF($C17="","awaiting start date",IF(TODAY()-$C17&gt;=56,"PAST WINDOW — bottle now",IF(TODAY()-$C17&gt;=28,"READY WINDOW (4–8 wk)",IF(TODAY()-$C17&gt;=14,"developing","early — keep dark &amp; cool"))))))</f>
        <v/>
      </c>
    </row>
    <row r="18">
      <c r="A18" s="89">
        <f>IF('Production Log'!B18="","",'Production Log'!B18)</f>
        <v/>
      </c>
      <c r="B18" s="68">
        <f>IF('Production Log'!C18="","",'Production Log'!C18)</f>
        <v/>
      </c>
      <c r="C18" s="90">
        <f>IF('Production Log'!I18="","",'Production Log'!I18)</f>
        <v/>
      </c>
      <c r="D18" s="90">
        <f>IF('Production Log'!J18="","",'Production Log'!J18)</f>
        <v/>
      </c>
      <c r="E18" s="91">
        <f>IF($C18="","",TODAY()-$C18)</f>
        <v/>
      </c>
      <c r="F18" s="91">
        <f>IF($D18="","",$D18-TODAY())</f>
        <v/>
      </c>
      <c r="G18" s="92">
        <f>IF($C18="","",(TODAY()-$C18)/7)</f>
        <v/>
      </c>
      <c r="H18" s="89">
        <f>IF('Production Log'!K18="","",'Production Log'!K18)</f>
        <v/>
      </c>
      <c r="I18" s="69">
        <f>IF($A18="","",IF($H18="Bottled","BOTTLED ✓",IF($C18="","awaiting start date",IF(TODAY()-$C18&gt;=56,"PAST WINDOW — bottle now",IF(TODAY()-$C18&gt;=28,"READY WINDOW (4–8 wk)",IF(TODAY()-$C18&gt;=14,"developing","early — keep dark &amp; cool"))))))</f>
        <v/>
      </c>
    </row>
    <row r="19">
      <c r="A19" s="89">
        <f>IF('Production Log'!B19="","",'Production Log'!B19)</f>
        <v/>
      </c>
      <c r="B19" s="68">
        <f>IF('Production Log'!C19="","",'Production Log'!C19)</f>
        <v/>
      </c>
      <c r="C19" s="90">
        <f>IF('Production Log'!I19="","",'Production Log'!I19)</f>
        <v/>
      </c>
      <c r="D19" s="90">
        <f>IF('Production Log'!J19="","",'Production Log'!J19)</f>
        <v/>
      </c>
      <c r="E19" s="91">
        <f>IF($C19="","",TODAY()-$C19)</f>
        <v/>
      </c>
      <c r="F19" s="91">
        <f>IF($D19="","",$D19-TODAY())</f>
        <v/>
      </c>
      <c r="G19" s="92">
        <f>IF($C19="","",(TODAY()-$C19)/7)</f>
        <v/>
      </c>
      <c r="H19" s="89">
        <f>IF('Production Log'!K19="","",'Production Log'!K19)</f>
        <v/>
      </c>
      <c r="I19" s="69">
        <f>IF($A19="","",IF($H19="Bottled","BOTTLED ✓",IF($C19="","awaiting start date",IF(TODAY()-$C19&gt;=56,"PAST WINDOW — bottle now",IF(TODAY()-$C19&gt;=28,"READY WINDOW (4–8 wk)",IF(TODAY()-$C19&gt;=14,"developing","early — keep dark &amp; cool"))))))</f>
        <v/>
      </c>
    </row>
    <row r="20">
      <c r="A20" s="89">
        <f>IF('Production Log'!B20="","",'Production Log'!B20)</f>
        <v/>
      </c>
      <c r="B20" s="68">
        <f>IF('Production Log'!C20="","",'Production Log'!C20)</f>
        <v/>
      </c>
      <c r="C20" s="90">
        <f>IF('Production Log'!I20="","",'Production Log'!I20)</f>
        <v/>
      </c>
      <c r="D20" s="90">
        <f>IF('Production Log'!J20="","",'Production Log'!J20)</f>
        <v/>
      </c>
      <c r="E20" s="91">
        <f>IF($C20="","",TODAY()-$C20)</f>
        <v/>
      </c>
      <c r="F20" s="91">
        <f>IF($D20="","",$D20-TODAY())</f>
        <v/>
      </c>
      <c r="G20" s="92">
        <f>IF($C20="","",(TODAY()-$C20)/7)</f>
        <v/>
      </c>
      <c r="H20" s="89">
        <f>IF('Production Log'!K20="","",'Production Log'!K20)</f>
        <v/>
      </c>
      <c r="I20" s="69">
        <f>IF($A20="","",IF($H20="Bottled","BOTTLED ✓",IF($C20="","awaiting start date",IF(TODAY()-$C20&gt;=56,"PAST WINDOW — bottle now",IF(TODAY()-$C20&gt;=28,"READY WINDOW (4–8 wk)",IF(TODAY()-$C20&gt;=14,"developing","early — keep dark &amp; cool"))))))</f>
        <v/>
      </c>
    </row>
    <row r="21">
      <c r="A21" s="89">
        <f>IF('Production Log'!B21="","",'Production Log'!B21)</f>
        <v/>
      </c>
      <c r="B21" s="68">
        <f>IF('Production Log'!C21="","",'Production Log'!C21)</f>
        <v/>
      </c>
      <c r="C21" s="90">
        <f>IF('Production Log'!I21="","",'Production Log'!I21)</f>
        <v/>
      </c>
      <c r="D21" s="90">
        <f>IF('Production Log'!J21="","",'Production Log'!J21)</f>
        <v/>
      </c>
      <c r="E21" s="91">
        <f>IF($C21="","",TODAY()-$C21)</f>
        <v/>
      </c>
      <c r="F21" s="91">
        <f>IF($D21="","",$D21-TODAY())</f>
        <v/>
      </c>
      <c r="G21" s="92">
        <f>IF($C21="","",(TODAY()-$C21)/7)</f>
        <v/>
      </c>
      <c r="H21" s="89">
        <f>IF('Production Log'!K21="","",'Production Log'!K21)</f>
        <v/>
      </c>
      <c r="I21" s="69">
        <f>IF($A21="","",IF($H21="Bottled","BOTTLED ✓",IF($C21="","awaiting start date",IF(TODAY()-$C21&gt;=56,"PAST WINDOW — bottle now",IF(TODAY()-$C21&gt;=28,"READY WINDOW (4–8 wk)",IF(TODAY()-$C21&gt;=14,"developing","early — keep dark &amp; cool"))))))</f>
        <v/>
      </c>
    </row>
    <row r="22">
      <c r="A22" s="89">
        <f>IF('Production Log'!B22="","",'Production Log'!B22)</f>
        <v/>
      </c>
      <c r="B22" s="68">
        <f>IF('Production Log'!C22="","",'Production Log'!C22)</f>
        <v/>
      </c>
      <c r="C22" s="90">
        <f>IF('Production Log'!I22="","",'Production Log'!I22)</f>
        <v/>
      </c>
      <c r="D22" s="90">
        <f>IF('Production Log'!J22="","",'Production Log'!J22)</f>
        <v/>
      </c>
      <c r="E22" s="91">
        <f>IF($C22="","",TODAY()-$C22)</f>
        <v/>
      </c>
      <c r="F22" s="91">
        <f>IF($D22="","",$D22-TODAY())</f>
        <v/>
      </c>
      <c r="G22" s="92">
        <f>IF($C22="","",(TODAY()-$C22)/7)</f>
        <v/>
      </c>
      <c r="H22" s="89">
        <f>IF('Production Log'!K22="","",'Production Log'!K22)</f>
        <v/>
      </c>
      <c r="I22" s="69">
        <f>IF($A22="","",IF($H22="Bottled","BOTTLED ✓",IF($C22="","awaiting start date",IF(TODAY()-$C22&gt;=56,"PAST WINDOW — bottle now",IF(TODAY()-$C22&gt;=28,"READY WINDOW (4–8 wk)",IF(TODAY()-$C22&gt;=14,"developing","early — keep dark &amp; cool"))))))</f>
        <v/>
      </c>
    </row>
    <row r="23">
      <c r="A23" s="89">
        <f>IF('Production Log'!B23="","",'Production Log'!B23)</f>
        <v/>
      </c>
      <c r="B23" s="68">
        <f>IF('Production Log'!C23="","",'Production Log'!C23)</f>
        <v/>
      </c>
      <c r="C23" s="90">
        <f>IF('Production Log'!I23="","",'Production Log'!I23)</f>
        <v/>
      </c>
      <c r="D23" s="90">
        <f>IF('Production Log'!J23="","",'Production Log'!J23)</f>
        <v/>
      </c>
      <c r="E23" s="91">
        <f>IF($C23="","",TODAY()-$C23)</f>
        <v/>
      </c>
      <c r="F23" s="91">
        <f>IF($D23="","",$D23-TODAY())</f>
        <v/>
      </c>
      <c r="G23" s="92">
        <f>IF($C23="","",(TODAY()-$C23)/7)</f>
        <v/>
      </c>
      <c r="H23" s="89">
        <f>IF('Production Log'!K23="","",'Production Log'!K23)</f>
        <v/>
      </c>
      <c r="I23" s="69">
        <f>IF($A23="","",IF($H23="Bottled","BOTTLED ✓",IF($C23="","awaiting start date",IF(TODAY()-$C23&gt;=56,"PAST WINDOW — bottle now",IF(TODAY()-$C23&gt;=28,"READY WINDOW (4–8 wk)",IF(TODAY()-$C23&gt;=14,"developing","early — keep dark &amp; cool"))))))</f>
        <v/>
      </c>
    </row>
    <row r="24">
      <c r="A24" s="89">
        <f>IF('Production Log'!B24="","",'Production Log'!B24)</f>
        <v/>
      </c>
      <c r="B24" s="68">
        <f>IF('Production Log'!C24="","",'Production Log'!C24)</f>
        <v/>
      </c>
      <c r="C24" s="90">
        <f>IF('Production Log'!I24="","",'Production Log'!I24)</f>
        <v/>
      </c>
      <c r="D24" s="90">
        <f>IF('Production Log'!J24="","",'Production Log'!J24)</f>
        <v/>
      </c>
      <c r="E24" s="91">
        <f>IF($C24="","",TODAY()-$C24)</f>
        <v/>
      </c>
      <c r="F24" s="91">
        <f>IF($D24="","",$D24-TODAY())</f>
        <v/>
      </c>
      <c r="G24" s="92">
        <f>IF($C24="","",(TODAY()-$C24)/7)</f>
        <v/>
      </c>
      <c r="H24" s="89">
        <f>IF('Production Log'!K24="","",'Production Log'!K24)</f>
        <v/>
      </c>
      <c r="I24" s="69">
        <f>IF($A24="","",IF($H24="Bottled","BOTTLED ✓",IF($C24="","awaiting start date",IF(TODAY()-$C24&gt;=56,"PAST WINDOW — bottle now",IF(TODAY()-$C24&gt;=28,"READY WINDOW (4–8 wk)",IF(TODAY()-$C24&gt;=14,"developing","early — keep dark &amp; cool"))))))</f>
        <v/>
      </c>
    </row>
    <row r="25">
      <c r="A25" s="89">
        <f>IF('Production Log'!B25="","",'Production Log'!B25)</f>
        <v/>
      </c>
      <c r="B25" s="68">
        <f>IF('Production Log'!C25="","",'Production Log'!C25)</f>
        <v/>
      </c>
      <c r="C25" s="90">
        <f>IF('Production Log'!I25="","",'Production Log'!I25)</f>
        <v/>
      </c>
      <c r="D25" s="90">
        <f>IF('Production Log'!J25="","",'Production Log'!J25)</f>
        <v/>
      </c>
      <c r="E25" s="91">
        <f>IF($C25="","",TODAY()-$C25)</f>
        <v/>
      </c>
      <c r="F25" s="91">
        <f>IF($D25="","",$D25-TODAY())</f>
        <v/>
      </c>
      <c r="G25" s="92">
        <f>IF($C25="","",(TODAY()-$C25)/7)</f>
        <v/>
      </c>
      <c r="H25" s="89">
        <f>IF('Production Log'!K25="","",'Production Log'!K25)</f>
        <v/>
      </c>
      <c r="I25" s="69">
        <f>IF($A25="","",IF($H25="Bottled","BOTTLED ✓",IF($C25="","awaiting start date",IF(TODAY()-$C25&gt;=56,"PAST WINDOW — bottle now",IF(TODAY()-$C25&gt;=28,"READY WINDOW (4–8 wk)",IF(TODAY()-$C25&gt;=14,"developing","early — keep dark &amp; cool"))))))</f>
        <v/>
      </c>
    </row>
    <row r="26">
      <c r="A26" s="89">
        <f>IF('Production Log'!B26="","",'Production Log'!B26)</f>
        <v/>
      </c>
      <c r="B26" s="68">
        <f>IF('Production Log'!C26="","",'Production Log'!C26)</f>
        <v/>
      </c>
      <c r="C26" s="90">
        <f>IF('Production Log'!I26="","",'Production Log'!I26)</f>
        <v/>
      </c>
      <c r="D26" s="90">
        <f>IF('Production Log'!J26="","",'Production Log'!J26)</f>
        <v/>
      </c>
      <c r="E26" s="91">
        <f>IF($C26="","",TODAY()-$C26)</f>
        <v/>
      </c>
      <c r="F26" s="91">
        <f>IF($D26="","",$D26-TODAY())</f>
        <v/>
      </c>
      <c r="G26" s="92">
        <f>IF($C26="","",(TODAY()-$C26)/7)</f>
        <v/>
      </c>
      <c r="H26" s="89">
        <f>IF('Production Log'!K26="","",'Production Log'!K26)</f>
        <v/>
      </c>
      <c r="I26" s="69">
        <f>IF($A26="","",IF($H26="Bottled","BOTTLED ✓",IF($C26="","awaiting start date",IF(TODAY()-$C26&gt;=56,"PAST WINDOW — bottle now",IF(TODAY()-$C26&gt;=28,"READY WINDOW (4–8 wk)",IF(TODAY()-$C26&gt;=14,"developing","early — keep dark &amp; cool"))))))</f>
        <v/>
      </c>
    </row>
    <row r="27">
      <c r="A27" s="89">
        <f>IF('Production Log'!B27="","",'Production Log'!B27)</f>
        <v/>
      </c>
      <c r="B27" s="68">
        <f>IF('Production Log'!C27="","",'Production Log'!C27)</f>
        <v/>
      </c>
      <c r="C27" s="90">
        <f>IF('Production Log'!I27="","",'Production Log'!I27)</f>
        <v/>
      </c>
      <c r="D27" s="90">
        <f>IF('Production Log'!J27="","",'Production Log'!J27)</f>
        <v/>
      </c>
      <c r="E27" s="91">
        <f>IF($C27="","",TODAY()-$C27)</f>
        <v/>
      </c>
      <c r="F27" s="91">
        <f>IF($D27="","",$D27-TODAY())</f>
        <v/>
      </c>
      <c r="G27" s="92">
        <f>IF($C27="","",(TODAY()-$C27)/7)</f>
        <v/>
      </c>
      <c r="H27" s="89">
        <f>IF('Production Log'!K27="","",'Production Log'!K27)</f>
        <v/>
      </c>
      <c r="I27" s="69">
        <f>IF($A27="","",IF($H27="Bottled","BOTTLED ✓",IF($C27="","awaiting start date",IF(TODAY()-$C27&gt;=56,"PAST WINDOW — bottle now",IF(TODAY()-$C27&gt;=28,"READY WINDOW (4–8 wk)",IF(TODAY()-$C27&gt;=14,"developing","early — keep dark &amp; cool"))))))</f>
        <v/>
      </c>
    </row>
    <row r="28">
      <c r="A28" s="89">
        <f>IF('Production Log'!B28="","",'Production Log'!B28)</f>
        <v/>
      </c>
      <c r="B28" s="68">
        <f>IF('Production Log'!C28="","",'Production Log'!C28)</f>
        <v/>
      </c>
      <c r="C28" s="90">
        <f>IF('Production Log'!I28="","",'Production Log'!I28)</f>
        <v/>
      </c>
      <c r="D28" s="90">
        <f>IF('Production Log'!J28="","",'Production Log'!J28)</f>
        <v/>
      </c>
      <c r="E28" s="91">
        <f>IF($C28="","",TODAY()-$C28)</f>
        <v/>
      </c>
      <c r="F28" s="91">
        <f>IF($D28="","",$D28-TODAY())</f>
        <v/>
      </c>
      <c r="G28" s="92">
        <f>IF($C28="","",(TODAY()-$C28)/7)</f>
        <v/>
      </c>
      <c r="H28" s="89">
        <f>IF('Production Log'!K28="","",'Production Log'!K28)</f>
        <v/>
      </c>
      <c r="I28" s="69">
        <f>IF($A28="","",IF($H28="Bottled","BOTTLED ✓",IF($C28="","awaiting start date",IF(TODAY()-$C28&gt;=56,"PAST WINDOW — bottle now",IF(TODAY()-$C28&gt;=28,"READY WINDOW (4–8 wk)",IF(TODAY()-$C28&gt;=14,"developing","early — keep dark &amp; cool"))))))</f>
        <v/>
      </c>
    </row>
    <row r="29">
      <c r="A29" s="89">
        <f>IF('Production Log'!B29="","",'Production Log'!B29)</f>
        <v/>
      </c>
      <c r="B29" s="68">
        <f>IF('Production Log'!C29="","",'Production Log'!C29)</f>
        <v/>
      </c>
      <c r="C29" s="90">
        <f>IF('Production Log'!I29="","",'Production Log'!I29)</f>
        <v/>
      </c>
      <c r="D29" s="90">
        <f>IF('Production Log'!J29="","",'Production Log'!J29)</f>
        <v/>
      </c>
      <c r="E29" s="91">
        <f>IF($C29="","",TODAY()-$C29)</f>
        <v/>
      </c>
      <c r="F29" s="91">
        <f>IF($D29="","",$D29-TODAY())</f>
        <v/>
      </c>
      <c r="G29" s="92">
        <f>IF($C29="","",(TODAY()-$C29)/7)</f>
        <v/>
      </c>
      <c r="H29" s="89">
        <f>IF('Production Log'!K29="","",'Production Log'!K29)</f>
        <v/>
      </c>
      <c r="I29" s="69">
        <f>IF($A29="","",IF($H29="Bottled","BOTTLED ✓",IF($C29="","awaiting start date",IF(TODAY()-$C29&gt;=56,"PAST WINDOW — bottle now",IF(TODAY()-$C29&gt;=28,"READY WINDOW (4–8 wk)",IF(TODAY()-$C29&gt;=14,"developing","early — keep dark &amp; cool"))))))</f>
        <v/>
      </c>
    </row>
    <row r="30">
      <c r="A30" s="89">
        <f>IF('Production Log'!B30="","",'Production Log'!B30)</f>
        <v/>
      </c>
      <c r="B30" s="68">
        <f>IF('Production Log'!C30="","",'Production Log'!C30)</f>
        <v/>
      </c>
      <c r="C30" s="90">
        <f>IF('Production Log'!I30="","",'Production Log'!I30)</f>
        <v/>
      </c>
      <c r="D30" s="90">
        <f>IF('Production Log'!J30="","",'Production Log'!J30)</f>
        <v/>
      </c>
      <c r="E30" s="91">
        <f>IF($C30="","",TODAY()-$C30)</f>
        <v/>
      </c>
      <c r="F30" s="91">
        <f>IF($D30="","",$D30-TODAY())</f>
        <v/>
      </c>
      <c r="G30" s="92">
        <f>IF($C30="","",(TODAY()-$C30)/7)</f>
        <v/>
      </c>
      <c r="H30" s="89">
        <f>IF('Production Log'!K30="","",'Production Log'!K30)</f>
        <v/>
      </c>
      <c r="I30" s="69">
        <f>IF($A30="","",IF($H30="Bottled","BOTTLED ✓",IF($C30="","awaiting start date",IF(TODAY()-$C30&gt;=56,"PAST WINDOW — bottle now",IF(TODAY()-$C30&gt;=28,"READY WINDOW (4–8 wk)",IF(TODAY()-$C30&gt;=14,"developing","early — keep dark &amp; cool"))))))</f>
        <v/>
      </c>
    </row>
    <row r="31">
      <c r="A31" s="89">
        <f>IF('Production Log'!B31="","",'Production Log'!B31)</f>
        <v/>
      </c>
      <c r="B31" s="68">
        <f>IF('Production Log'!C31="","",'Production Log'!C31)</f>
        <v/>
      </c>
      <c r="C31" s="90">
        <f>IF('Production Log'!I31="","",'Production Log'!I31)</f>
        <v/>
      </c>
      <c r="D31" s="90">
        <f>IF('Production Log'!J31="","",'Production Log'!J31)</f>
        <v/>
      </c>
      <c r="E31" s="91">
        <f>IF($C31="","",TODAY()-$C31)</f>
        <v/>
      </c>
      <c r="F31" s="91">
        <f>IF($D31="","",$D31-TODAY())</f>
        <v/>
      </c>
      <c r="G31" s="92">
        <f>IF($C31="","",(TODAY()-$C31)/7)</f>
        <v/>
      </c>
      <c r="H31" s="89">
        <f>IF('Production Log'!K31="","",'Production Log'!K31)</f>
        <v/>
      </c>
      <c r="I31" s="69">
        <f>IF($A31="","",IF($H31="Bottled","BOTTLED ✓",IF($C31="","awaiting start date",IF(TODAY()-$C31&gt;=56,"PAST WINDOW — bottle now",IF(TODAY()-$C31&gt;=28,"READY WINDOW (4–8 wk)",IF(TODAY()-$C31&gt;=14,"developing","early — keep dark &amp; cool"))))))</f>
        <v/>
      </c>
    </row>
    <row r="32">
      <c r="A32" s="89">
        <f>IF('Production Log'!B32="","",'Production Log'!B32)</f>
        <v/>
      </c>
      <c r="B32" s="68">
        <f>IF('Production Log'!C32="","",'Production Log'!C32)</f>
        <v/>
      </c>
      <c r="C32" s="90">
        <f>IF('Production Log'!I32="","",'Production Log'!I32)</f>
        <v/>
      </c>
      <c r="D32" s="90">
        <f>IF('Production Log'!J32="","",'Production Log'!J32)</f>
        <v/>
      </c>
      <c r="E32" s="91">
        <f>IF($C32="","",TODAY()-$C32)</f>
        <v/>
      </c>
      <c r="F32" s="91">
        <f>IF($D32="","",$D32-TODAY())</f>
        <v/>
      </c>
      <c r="G32" s="92">
        <f>IF($C32="","",(TODAY()-$C32)/7)</f>
        <v/>
      </c>
      <c r="H32" s="89">
        <f>IF('Production Log'!K32="","",'Production Log'!K32)</f>
        <v/>
      </c>
      <c r="I32" s="69">
        <f>IF($A32="","",IF($H32="Bottled","BOTTLED ✓",IF($C32="","awaiting start date",IF(TODAY()-$C32&gt;=56,"PAST WINDOW — bottle now",IF(TODAY()-$C32&gt;=28,"READY WINDOW (4–8 wk)",IF(TODAY()-$C32&gt;=14,"developing","early — keep dark &amp; cool"))))))</f>
        <v/>
      </c>
    </row>
    <row r="33">
      <c r="A33" s="89">
        <f>IF('Production Log'!B33="","",'Production Log'!B33)</f>
        <v/>
      </c>
      <c r="B33" s="68">
        <f>IF('Production Log'!C33="","",'Production Log'!C33)</f>
        <v/>
      </c>
      <c r="C33" s="90">
        <f>IF('Production Log'!I33="","",'Production Log'!I33)</f>
        <v/>
      </c>
      <c r="D33" s="90">
        <f>IF('Production Log'!J33="","",'Production Log'!J33)</f>
        <v/>
      </c>
      <c r="E33" s="91">
        <f>IF($C33="","",TODAY()-$C33)</f>
        <v/>
      </c>
      <c r="F33" s="91">
        <f>IF($D33="","",$D33-TODAY())</f>
        <v/>
      </c>
      <c r="G33" s="92">
        <f>IF($C33="","",(TODAY()-$C33)/7)</f>
        <v/>
      </c>
      <c r="H33" s="89">
        <f>IF('Production Log'!K33="","",'Production Log'!K33)</f>
        <v/>
      </c>
      <c r="I33" s="69">
        <f>IF($A33="","",IF($H33="Bottled","BOTTLED ✓",IF($C33="","awaiting start date",IF(TODAY()-$C33&gt;=56,"PAST WINDOW — bottle now",IF(TODAY()-$C33&gt;=28,"READY WINDOW (4–8 wk)",IF(TODAY()-$C33&gt;=14,"developing","early — keep dark &amp; cool"))))))</f>
        <v/>
      </c>
    </row>
    <row r="34">
      <c r="A34" s="89">
        <f>IF('Production Log'!B34="","",'Production Log'!B34)</f>
        <v/>
      </c>
      <c r="B34" s="68">
        <f>IF('Production Log'!C34="","",'Production Log'!C34)</f>
        <v/>
      </c>
      <c r="C34" s="90">
        <f>IF('Production Log'!I34="","",'Production Log'!I34)</f>
        <v/>
      </c>
      <c r="D34" s="90">
        <f>IF('Production Log'!J34="","",'Production Log'!J34)</f>
        <v/>
      </c>
      <c r="E34" s="91">
        <f>IF($C34="","",TODAY()-$C34)</f>
        <v/>
      </c>
      <c r="F34" s="91">
        <f>IF($D34="","",$D34-TODAY())</f>
        <v/>
      </c>
      <c r="G34" s="92">
        <f>IF($C34="","",(TODAY()-$C34)/7)</f>
        <v/>
      </c>
      <c r="H34" s="89">
        <f>IF('Production Log'!K34="","",'Production Log'!K34)</f>
        <v/>
      </c>
      <c r="I34" s="69">
        <f>IF($A34="","",IF($H34="Bottled","BOTTLED ✓",IF($C34="","awaiting start date",IF(TODAY()-$C34&gt;=56,"PAST WINDOW — bottle now",IF(TODAY()-$C34&gt;=28,"READY WINDOW (4–8 wk)",IF(TODAY()-$C34&gt;=14,"developing","early — keep dark &amp; cool"))))))</f>
        <v/>
      </c>
    </row>
    <row r="35">
      <c r="A35" s="89">
        <f>IF('Production Log'!B35="","",'Production Log'!B35)</f>
        <v/>
      </c>
      <c r="B35" s="68">
        <f>IF('Production Log'!C35="","",'Production Log'!C35)</f>
        <v/>
      </c>
      <c r="C35" s="90">
        <f>IF('Production Log'!I35="","",'Production Log'!I35)</f>
        <v/>
      </c>
      <c r="D35" s="90">
        <f>IF('Production Log'!J35="","",'Production Log'!J35)</f>
        <v/>
      </c>
      <c r="E35" s="91">
        <f>IF($C35="","",TODAY()-$C35)</f>
        <v/>
      </c>
      <c r="F35" s="91">
        <f>IF($D35="","",$D35-TODAY())</f>
        <v/>
      </c>
      <c r="G35" s="92">
        <f>IF($C35="","",(TODAY()-$C35)/7)</f>
        <v/>
      </c>
      <c r="H35" s="89">
        <f>IF('Production Log'!K35="","",'Production Log'!K35)</f>
        <v/>
      </c>
      <c r="I35" s="69">
        <f>IF($A35="","",IF($H35="Bottled","BOTTLED ✓",IF($C35="","awaiting start date",IF(TODAY()-$C35&gt;=56,"PAST WINDOW — bottle now",IF(TODAY()-$C35&gt;=28,"READY WINDOW (4–8 wk)",IF(TODAY()-$C35&gt;=14,"developing","early — keep dark &amp; cool"))))))</f>
        <v/>
      </c>
    </row>
    <row r="36">
      <c r="A36" s="89">
        <f>IF('Production Log'!B36="","",'Production Log'!B36)</f>
        <v/>
      </c>
      <c r="B36" s="68">
        <f>IF('Production Log'!C36="","",'Production Log'!C36)</f>
        <v/>
      </c>
      <c r="C36" s="90">
        <f>IF('Production Log'!I36="","",'Production Log'!I36)</f>
        <v/>
      </c>
      <c r="D36" s="90">
        <f>IF('Production Log'!J36="","",'Production Log'!J36)</f>
        <v/>
      </c>
      <c r="E36" s="91">
        <f>IF($C36="","",TODAY()-$C36)</f>
        <v/>
      </c>
      <c r="F36" s="91">
        <f>IF($D36="","",$D36-TODAY())</f>
        <v/>
      </c>
      <c r="G36" s="92">
        <f>IF($C36="","",(TODAY()-$C36)/7)</f>
        <v/>
      </c>
      <c r="H36" s="89">
        <f>IF('Production Log'!K36="","",'Production Log'!K36)</f>
        <v/>
      </c>
      <c r="I36" s="69">
        <f>IF($A36="","",IF($H36="Bottled","BOTTLED ✓",IF($C36="","awaiting start date",IF(TODAY()-$C36&gt;=56,"PAST WINDOW — bottle now",IF(TODAY()-$C36&gt;=28,"READY WINDOW (4–8 wk)",IF(TODAY()-$C36&gt;=14,"developing","early — keep dark &amp; cool"))))))</f>
        <v/>
      </c>
    </row>
    <row r="37">
      <c r="A37" s="89">
        <f>IF('Production Log'!B37="","",'Production Log'!B37)</f>
        <v/>
      </c>
      <c r="B37" s="68">
        <f>IF('Production Log'!C37="","",'Production Log'!C37)</f>
        <v/>
      </c>
      <c r="C37" s="90">
        <f>IF('Production Log'!I37="","",'Production Log'!I37)</f>
        <v/>
      </c>
      <c r="D37" s="90">
        <f>IF('Production Log'!J37="","",'Production Log'!J37)</f>
        <v/>
      </c>
      <c r="E37" s="91">
        <f>IF($C37="","",TODAY()-$C37)</f>
        <v/>
      </c>
      <c r="F37" s="91">
        <f>IF($D37="","",$D37-TODAY())</f>
        <v/>
      </c>
      <c r="G37" s="92">
        <f>IF($C37="","",(TODAY()-$C37)/7)</f>
        <v/>
      </c>
      <c r="H37" s="89">
        <f>IF('Production Log'!K37="","",'Production Log'!K37)</f>
        <v/>
      </c>
      <c r="I37" s="69">
        <f>IF($A37="","",IF($H37="Bottled","BOTTLED ✓",IF($C37="","awaiting start date",IF(TODAY()-$C37&gt;=56,"PAST WINDOW — bottle now",IF(TODAY()-$C37&gt;=28,"READY WINDOW (4–8 wk)",IF(TODAY()-$C37&gt;=14,"developing","early — keep dark &amp; cool"))))))</f>
        <v/>
      </c>
    </row>
    <row r="38">
      <c r="A38" s="89">
        <f>IF('Production Log'!B38="","",'Production Log'!B38)</f>
        <v/>
      </c>
      <c r="B38" s="68">
        <f>IF('Production Log'!C38="","",'Production Log'!C38)</f>
        <v/>
      </c>
      <c r="C38" s="90">
        <f>IF('Production Log'!I38="","",'Production Log'!I38)</f>
        <v/>
      </c>
      <c r="D38" s="90">
        <f>IF('Production Log'!J38="","",'Production Log'!J38)</f>
        <v/>
      </c>
      <c r="E38" s="91">
        <f>IF($C38="","",TODAY()-$C38)</f>
        <v/>
      </c>
      <c r="F38" s="91">
        <f>IF($D38="","",$D38-TODAY())</f>
        <v/>
      </c>
      <c r="G38" s="92">
        <f>IF($C38="","",(TODAY()-$C38)/7)</f>
        <v/>
      </c>
      <c r="H38" s="89">
        <f>IF('Production Log'!K38="","",'Production Log'!K38)</f>
        <v/>
      </c>
      <c r="I38" s="69">
        <f>IF($A38="","",IF($H38="Bottled","BOTTLED ✓",IF($C38="","awaiting start date",IF(TODAY()-$C38&gt;=56,"PAST WINDOW — bottle now",IF(TODAY()-$C38&gt;=28,"READY WINDOW (4–8 wk)",IF(TODAY()-$C38&gt;=14,"developing","early — keep dark &amp; cool"))))))</f>
        <v/>
      </c>
    </row>
    <row r="39">
      <c r="A39" s="89">
        <f>IF('Production Log'!B39="","",'Production Log'!B39)</f>
        <v/>
      </c>
      <c r="B39" s="68">
        <f>IF('Production Log'!C39="","",'Production Log'!C39)</f>
        <v/>
      </c>
      <c r="C39" s="90">
        <f>IF('Production Log'!I39="","",'Production Log'!I39)</f>
        <v/>
      </c>
      <c r="D39" s="90">
        <f>IF('Production Log'!J39="","",'Production Log'!J39)</f>
        <v/>
      </c>
      <c r="E39" s="91">
        <f>IF($C39="","",TODAY()-$C39)</f>
        <v/>
      </c>
      <c r="F39" s="91">
        <f>IF($D39="","",$D39-TODAY())</f>
        <v/>
      </c>
      <c r="G39" s="92">
        <f>IF($C39="","",(TODAY()-$C39)/7)</f>
        <v/>
      </c>
      <c r="H39" s="89">
        <f>IF('Production Log'!K39="","",'Production Log'!K39)</f>
        <v/>
      </c>
      <c r="I39" s="69">
        <f>IF($A39="","",IF($H39="Bottled","BOTTLED ✓",IF($C39="","awaiting start date",IF(TODAY()-$C39&gt;=56,"PAST WINDOW — bottle now",IF(TODAY()-$C39&gt;=28,"READY WINDOW (4–8 wk)",IF(TODAY()-$C39&gt;=14,"developing","early — keep dark &amp; cool"))))))</f>
        <v/>
      </c>
    </row>
    <row r="40">
      <c r="A40" s="89">
        <f>IF('Production Log'!B40="","",'Production Log'!B40)</f>
        <v/>
      </c>
      <c r="B40" s="68">
        <f>IF('Production Log'!C40="","",'Production Log'!C40)</f>
        <v/>
      </c>
      <c r="C40" s="90">
        <f>IF('Production Log'!I40="","",'Production Log'!I40)</f>
        <v/>
      </c>
      <c r="D40" s="90">
        <f>IF('Production Log'!J40="","",'Production Log'!J40)</f>
        <v/>
      </c>
      <c r="E40" s="91">
        <f>IF($C40="","",TODAY()-$C40)</f>
        <v/>
      </c>
      <c r="F40" s="91">
        <f>IF($D40="","",$D40-TODAY())</f>
        <v/>
      </c>
      <c r="G40" s="92">
        <f>IF($C40="","",(TODAY()-$C40)/7)</f>
        <v/>
      </c>
      <c r="H40" s="89">
        <f>IF('Production Log'!K40="","",'Production Log'!K40)</f>
        <v/>
      </c>
      <c r="I40" s="69">
        <f>IF($A40="","",IF($H40="Bottled","BOTTLED ✓",IF($C40="","awaiting start date",IF(TODAY()-$C40&gt;=56,"PAST WINDOW — bottle now",IF(TODAY()-$C40&gt;=28,"READY WINDOW (4–8 wk)",IF(TODAY()-$C40&gt;=14,"developing","early — keep dark &amp; cool"))))))</f>
        <v/>
      </c>
    </row>
    <row r="41">
      <c r="A41" s="89">
        <f>IF('Production Log'!B41="","",'Production Log'!B41)</f>
        <v/>
      </c>
      <c r="B41" s="68">
        <f>IF('Production Log'!C41="","",'Production Log'!C41)</f>
        <v/>
      </c>
      <c r="C41" s="90">
        <f>IF('Production Log'!I41="","",'Production Log'!I41)</f>
        <v/>
      </c>
      <c r="D41" s="90">
        <f>IF('Production Log'!J41="","",'Production Log'!J41)</f>
        <v/>
      </c>
      <c r="E41" s="91">
        <f>IF($C41="","",TODAY()-$C41)</f>
        <v/>
      </c>
      <c r="F41" s="91">
        <f>IF($D41="","",$D41-TODAY())</f>
        <v/>
      </c>
      <c r="G41" s="92">
        <f>IF($C41="","",(TODAY()-$C41)/7)</f>
        <v/>
      </c>
      <c r="H41" s="89">
        <f>IF('Production Log'!K41="","",'Production Log'!K41)</f>
        <v/>
      </c>
      <c r="I41" s="69">
        <f>IF($A41="","",IF($H41="Bottled","BOTTLED ✓",IF($C41="","awaiting start date",IF(TODAY()-$C41&gt;=56,"PAST WINDOW — bottle now",IF(TODAY()-$C41&gt;=28,"READY WINDOW (4–8 wk)",IF(TODAY()-$C41&gt;=14,"developing","early — keep dark &amp; cool"))))))</f>
        <v/>
      </c>
    </row>
    <row r="42">
      <c r="A42" s="89">
        <f>IF('Production Log'!B42="","",'Production Log'!B42)</f>
        <v/>
      </c>
      <c r="B42" s="68">
        <f>IF('Production Log'!C42="","",'Production Log'!C42)</f>
        <v/>
      </c>
      <c r="C42" s="90">
        <f>IF('Production Log'!I42="","",'Production Log'!I42)</f>
        <v/>
      </c>
      <c r="D42" s="90">
        <f>IF('Production Log'!J42="","",'Production Log'!J42)</f>
        <v/>
      </c>
      <c r="E42" s="91">
        <f>IF($C42="","",TODAY()-$C42)</f>
        <v/>
      </c>
      <c r="F42" s="91">
        <f>IF($D42="","",$D42-TODAY())</f>
        <v/>
      </c>
      <c r="G42" s="92">
        <f>IF($C42="","",(TODAY()-$C42)/7)</f>
        <v/>
      </c>
      <c r="H42" s="89">
        <f>IF('Production Log'!K42="","",'Production Log'!K42)</f>
        <v/>
      </c>
      <c r="I42" s="69">
        <f>IF($A42="","",IF($H42="Bottled","BOTTLED ✓",IF($C42="","awaiting start date",IF(TODAY()-$C42&gt;=56,"PAST WINDOW — bottle now",IF(TODAY()-$C42&gt;=28,"READY WINDOW (4–8 wk)",IF(TODAY()-$C42&gt;=14,"developing","early — keep dark &amp; cool"))))))</f>
        <v/>
      </c>
    </row>
    <row r="43">
      <c r="A43" s="89">
        <f>IF('Production Log'!B43="","",'Production Log'!B43)</f>
        <v/>
      </c>
      <c r="B43" s="68">
        <f>IF('Production Log'!C43="","",'Production Log'!C43)</f>
        <v/>
      </c>
      <c r="C43" s="90">
        <f>IF('Production Log'!I43="","",'Production Log'!I43)</f>
        <v/>
      </c>
      <c r="D43" s="90">
        <f>IF('Production Log'!J43="","",'Production Log'!J43)</f>
        <v/>
      </c>
      <c r="E43" s="91">
        <f>IF($C43="","",TODAY()-$C43)</f>
        <v/>
      </c>
      <c r="F43" s="91">
        <f>IF($D43="","",$D43-TODAY())</f>
        <v/>
      </c>
      <c r="G43" s="92">
        <f>IF($C43="","",(TODAY()-$C43)/7)</f>
        <v/>
      </c>
      <c r="H43" s="89">
        <f>IF('Production Log'!K43="","",'Production Log'!K43)</f>
        <v/>
      </c>
      <c r="I43" s="69">
        <f>IF($A43="","",IF($H43="Bottled","BOTTLED ✓",IF($C43="","awaiting start date",IF(TODAY()-$C43&gt;=56,"PAST WINDOW — bottle now",IF(TODAY()-$C43&gt;=28,"READY WINDOW (4–8 wk)",IF(TODAY()-$C43&gt;=14,"developing","early — keep dark &amp; cool"))))))</f>
        <v/>
      </c>
    </row>
    <row r="44">
      <c r="A44" s="89">
        <f>IF('Production Log'!B44="","",'Production Log'!B44)</f>
        <v/>
      </c>
      <c r="B44" s="68">
        <f>IF('Production Log'!C44="","",'Production Log'!C44)</f>
        <v/>
      </c>
      <c r="C44" s="90">
        <f>IF('Production Log'!I44="","",'Production Log'!I44)</f>
        <v/>
      </c>
      <c r="D44" s="90">
        <f>IF('Production Log'!J44="","",'Production Log'!J44)</f>
        <v/>
      </c>
      <c r="E44" s="91">
        <f>IF($C44="","",TODAY()-$C44)</f>
        <v/>
      </c>
      <c r="F44" s="91">
        <f>IF($D44="","",$D44-TODAY())</f>
        <v/>
      </c>
      <c r="G44" s="92">
        <f>IF($C44="","",(TODAY()-$C44)/7)</f>
        <v/>
      </c>
      <c r="H44" s="89">
        <f>IF('Production Log'!K44="","",'Production Log'!K44)</f>
        <v/>
      </c>
      <c r="I44" s="69">
        <f>IF($A44="","",IF($H44="Bottled","BOTTLED ✓",IF($C44="","awaiting start date",IF(TODAY()-$C44&gt;=56,"PAST WINDOW — bottle now",IF(TODAY()-$C44&gt;=28,"READY WINDOW (4–8 wk)",IF(TODAY()-$C44&gt;=14,"developing","early — keep dark &amp; cool"))))))</f>
        <v/>
      </c>
    </row>
  </sheetData>
  <sheetProtection selectLockedCells="0" selectUnlockedCells="0" sheet="1" objects="0" insertRows="1" insertHyperlinks="1" autoFilter="1" scenarios="0" formatColumns="0" deleteColumns="1" insertColumns="1" pivotTables="1" deleteRows="1" formatCells="0" formatRows="0" sort="1"/>
  <mergeCells count="2">
    <mergeCell ref="A1:I1"/>
    <mergeCell ref="A2:I2"/>
  </mergeCells>
  <conditionalFormatting sqref="A5:I44">
    <cfRule type="expression" priority="1" dxfId="4" stopIfTrue="1">
      <formula>$H5="Bottled"</formula>
    </cfRule>
    <cfRule type="expression" priority="2" dxfId="2">
      <formula>AND($C5&lt;&gt;"",TODAY()-$C5&gt;=28)</formula>
    </cfRule>
    <cfRule type="expression" priority="3" dxfId="5">
      <formula>AND($C5&lt;&gt;"",TODAY()-$C5&lt;14)</formula>
    </cfRule>
  </conditionalFormatting>
  <pageMargins left="0.75" right="0.75" top="1" bottom="1" header="0.5" footer="0.5"/>
</worksheet>
</file>

<file path=xl/worksheets/sheet8.xml><?xml version="1.0" encoding="utf-8"?>
<worksheet xmlns="http://schemas.openxmlformats.org/spreadsheetml/2006/main">
  <sheetPr>
    <tabColor rgb="003B3531"/>
    <outlinePr summaryBelow="1" summaryRight="1"/>
    <pageSetUpPr/>
  </sheetPr>
  <dimension ref="A1:I41"/>
  <sheetViews>
    <sheetView showGridLines="0" workbookViewId="0">
      <selection activeCell="A1" sqref="A1"/>
    </sheetView>
  </sheetViews>
  <sheetFormatPr baseColWidth="8" defaultRowHeight="15"/>
  <cols>
    <col width="30" customWidth="1" min="1" max="1"/>
    <col width="10" customWidth="1" min="2" max="2"/>
    <col width="13" customWidth="1" min="3" max="3"/>
    <col width="10" customWidth="1" min="4" max="4"/>
    <col width="10" customWidth="1" min="5" max="5"/>
    <col width="9" customWidth="1" min="6" max="6"/>
    <col width="10" customWidth="1" min="7" max="7"/>
    <col width="12" customWidth="1" min="8" max="8"/>
    <col width="12" customWidth="1" min="9" max="9"/>
  </cols>
  <sheetData>
    <row r="1" ht="28" customHeight="1">
      <c r="A1" s="17" t="inlineStr">
        <is>
          <t>COST ANALYSIS</t>
        </is>
      </c>
    </row>
    <row r="2">
      <c r="A2" s="18" t="inlineStr">
        <is>
          <t>Shipping is allocated proportionally over all materials via the load factor. All figures update live.</t>
        </is>
      </c>
      <c r="B2" s="19" t="n"/>
      <c r="C2" s="19" t="n"/>
      <c r="D2" s="19" t="n"/>
      <c r="E2" s="19" t="n"/>
      <c r="F2" s="19" t="n"/>
      <c r="G2" s="19" t="n"/>
      <c r="H2" s="19" t="n"/>
      <c r="I2" s="19" t="n"/>
    </row>
    <row r="3" ht="18" customHeight="1">
      <c r="A3" s="7" t="inlineStr">
        <is>
          <t>A · CAPITAL</t>
        </is>
      </c>
      <c r="B3" s="8" t="n"/>
      <c r="C3" s="8" t="n"/>
      <c r="D3" s="8" t="n"/>
      <c r="E3" s="8" t="n"/>
      <c r="F3" s="8" t="n"/>
      <c r="G3" s="8" t="n"/>
      <c r="H3" s="8" t="n"/>
      <c r="I3" s="8" t="n"/>
    </row>
    <row r="4">
      <c r="A4" s="9" t="inlineStr">
        <is>
          <t>Materials purchased (SAR)</t>
        </is>
      </c>
      <c r="C4" s="56">
        <f>SUM(Inv_TotalPaid)</f>
        <v/>
      </c>
      <c r="D4" s="15" t="inlineStr">
        <is>
          <t>from Inventory</t>
        </is>
      </c>
    </row>
    <row r="5">
      <c r="A5" s="9" t="inlineStr">
        <is>
          <t>International shipping (SAR)</t>
        </is>
      </c>
      <c r="C5" s="51" t="n">
        <v>351</v>
      </c>
      <c r="D5" s="15" t="inlineStr">
        <is>
          <t>allocated proportionally below</t>
        </is>
      </c>
    </row>
    <row r="6">
      <c r="A6" s="22" t="inlineStr">
        <is>
          <t>TOTAL CAPITAL (SAR)</t>
        </is>
      </c>
      <c r="C6" s="56">
        <f>C4+C5</f>
        <v/>
      </c>
      <c r="D6" s="15" t="inlineStr"/>
    </row>
    <row r="7">
      <c r="A7" s="9" t="inlineStr">
        <is>
          <t>Shipping load factor</t>
        </is>
      </c>
      <c r="C7" s="93">
        <f>1+ShippingSAR/MaterialsTotalSAR</f>
        <v/>
      </c>
      <c r="D7" s="15" t="inlineStr">
        <is>
          <t>multiplier applied to material costs</t>
        </is>
      </c>
    </row>
    <row r="9" ht="18" customHeight="1">
      <c r="A9" s="7" t="inlineStr">
        <is>
          <t>B · CONCENTRATE COST</t>
        </is>
      </c>
      <c r="B9" s="8" t="n"/>
      <c r="C9" s="8" t="n"/>
      <c r="D9" s="8" t="n"/>
      <c r="E9" s="8" t="n"/>
      <c r="F9" s="8" t="n"/>
      <c r="G9" s="8" t="n"/>
      <c r="H9" s="8" t="n"/>
      <c r="I9" s="8" t="n"/>
    </row>
    <row r="10">
      <c r="A10" s="9" t="inlineStr">
        <is>
          <t>DPG price (SAR/g)</t>
        </is>
      </c>
      <c r="C10" s="56">
        <f>INDEX(Inv_PricePerG,MATCH("DPG (Dipropylene Glycol)",Inv_Mat,0))</f>
        <v/>
      </c>
      <c r="D10" s="15" t="inlineStr">
        <is>
          <t>carrier for the D10 dilutions</t>
        </is>
      </c>
    </row>
    <row r="11">
      <c r="A11" s="9" t="inlineStr">
        <is>
          <t>Concentrate cost (SAR/g)</t>
        </is>
      </c>
      <c r="C11" s="56">
        <f>SUMPRODUCT(FM_Active,FM_CostG)</f>
        <v/>
      </c>
      <c r="D11" s="15" t="inlineStr">
        <is>
          <t>formula-weighted from Inventory prices; D10 lines = 10% neat + 90% DPG</t>
        </is>
      </c>
    </row>
    <row r="12">
      <c r="A12" s="9" t="inlineStr">
        <is>
          <t>… incl. shipping (SAR/g)</t>
        </is>
      </c>
      <c r="C12" s="56">
        <f>ConcCostPerG*ShipLoad</f>
        <v/>
      </c>
      <c r="D12" s="15" t="inlineStr">
        <is>
          <t>used everywhere costs are quoted</t>
        </is>
      </c>
    </row>
    <row r="14" ht="18" customHeight="1">
      <c r="A14" s="7" t="inlineStr">
        <is>
          <t>C · AUXILIARY COSTS (SAR/g — editable estimates)</t>
        </is>
      </c>
      <c r="B14" s="8" t="n"/>
      <c r="C14" s="8" t="n"/>
      <c r="D14" s="8" t="n"/>
      <c r="E14" s="8" t="n"/>
      <c r="F14" s="8" t="n"/>
      <c r="G14" s="8" t="n"/>
      <c r="H14" s="8" t="n"/>
      <c r="I14" s="8" t="n"/>
    </row>
    <row r="15">
      <c r="A15" s="94" t="inlineStr">
        <is>
          <t>Component</t>
        </is>
      </c>
      <c r="C15" s="95" t="inlineStr">
        <is>
          <t>SAR/g</t>
        </is>
      </c>
      <c r="D15" s="94" t="inlineStr">
        <is>
          <t>Note</t>
        </is>
      </c>
    </row>
    <row r="16">
      <c r="A16" s="68" t="inlineStr">
        <is>
          <t>Alcohol 190 proof SDA 40B</t>
        </is>
      </c>
      <c r="B16" s="57" t="n"/>
      <c r="C16" s="31">
        <f>INDEX(Inv_PricePerG,MATCH("Alcohol 190 proof SDA 40B",Inv_Mat,0))*ShipLoad</f>
        <v/>
      </c>
      <c r="D16" s="69" t="inlineStr">
        <is>
          <t>from Inventory × shipping load</t>
        </is>
      </c>
    </row>
    <row r="17">
      <c r="A17" s="68" t="inlineStr">
        <is>
          <t>Distilled water</t>
        </is>
      </c>
      <c r="B17" s="57" t="n"/>
      <c r="C17" s="51" t="n">
        <v>0.01</v>
      </c>
      <c r="D17" s="69" t="inlineStr">
        <is>
          <t>estimate — edit to actual</t>
        </is>
      </c>
    </row>
    <row r="18">
      <c r="A18" s="68" t="inlineStr">
        <is>
          <t>Glycerin</t>
        </is>
      </c>
      <c r="B18" s="57" t="n"/>
      <c r="C18" s="51" t="n">
        <v>0.05</v>
      </c>
      <c r="D18" s="69" t="inlineStr">
        <is>
          <t>estimate — edit to actual</t>
        </is>
      </c>
    </row>
    <row r="19">
      <c r="A19" s="68" t="inlineStr">
        <is>
          <t>Polysorbate 20</t>
        </is>
      </c>
      <c r="B19" s="57" t="n"/>
      <c r="C19" s="51" t="n">
        <v>0.1</v>
      </c>
      <c r="D19" s="69" t="inlineStr">
        <is>
          <t>estimate — edit to actual</t>
        </is>
      </c>
    </row>
    <row r="20">
      <c r="A20" s="68" t="inlineStr">
        <is>
          <t>Preservative (broad-spectrum)</t>
        </is>
      </c>
      <c r="B20" s="57" t="n"/>
      <c r="C20" s="51" t="n">
        <v>0.4</v>
      </c>
      <c r="D20" s="69" t="inlineStr">
        <is>
          <t>estimate — edit to actual</t>
        </is>
      </c>
    </row>
    <row r="21">
      <c r="A21" s="68" t="inlineStr">
        <is>
          <t>Unscented cream base</t>
        </is>
      </c>
      <c r="B21" s="57" t="n"/>
      <c r="C21" s="51" t="n">
        <v>0.08</v>
      </c>
      <c r="D21" s="69" t="inlineStr">
        <is>
          <t>estimate — edit to actual</t>
        </is>
      </c>
    </row>
    <row r="22">
      <c r="A22" s="68" t="inlineStr">
        <is>
          <t>Emulsifying Wax NF</t>
        </is>
      </c>
      <c r="B22" s="57" t="n"/>
      <c r="C22" s="51" t="n">
        <v>0.15</v>
      </c>
      <c r="D22" s="69" t="inlineStr">
        <is>
          <t>estimate — edit to actual</t>
        </is>
      </c>
    </row>
    <row r="23">
      <c r="A23" s="68" t="inlineStr">
        <is>
          <t>Cetearyl alcohol</t>
        </is>
      </c>
      <c r="B23" s="57" t="n"/>
      <c r="C23" s="51" t="n">
        <v>0.1</v>
      </c>
      <c r="D23" s="69" t="inlineStr">
        <is>
          <t>estimate — edit to actual</t>
        </is>
      </c>
    </row>
    <row r="24">
      <c r="A24" s="68" t="inlineStr">
        <is>
          <t>Carrier oil (light)</t>
        </is>
      </c>
      <c r="B24" s="57" t="n"/>
      <c r="C24" s="51" t="n">
        <v>0.06</v>
      </c>
      <c r="D24" s="69" t="inlineStr">
        <is>
          <t>estimate — edit to actual</t>
        </is>
      </c>
    </row>
    <row r="25">
      <c r="A25" s="68" t="inlineStr">
        <is>
          <t>Shea / mango butter</t>
        </is>
      </c>
      <c r="B25" s="57" t="n"/>
      <c r="C25" s="51" t="n">
        <v>0.08</v>
      </c>
      <c r="D25" s="69" t="inlineStr">
        <is>
          <t>estimate — edit to actual</t>
        </is>
      </c>
    </row>
    <row r="26">
      <c r="A26" s="68" t="inlineStr">
        <is>
          <t>Vitamin E</t>
        </is>
      </c>
      <c r="B26" s="57" t="n"/>
      <c r="C26" s="51" t="n">
        <v>0.5</v>
      </c>
      <c r="D26" s="69" t="inlineStr">
        <is>
          <t>estimate — edit to actual</t>
        </is>
      </c>
    </row>
    <row r="28" ht="18" customHeight="1">
      <c r="A28" s="7" t="inlineStr">
        <is>
          <t>D · COST PER BOTTLE / JAR (finished product)</t>
        </is>
      </c>
      <c r="B28" s="8" t="n"/>
      <c r="C28" s="8" t="n"/>
      <c r="D28" s="8" t="n"/>
      <c r="E28" s="8" t="n"/>
      <c r="F28" s="8" t="n"/>
      <c r="G28" s="8" t="n"/>
      <c r="H28" s="8" t="n"/>
      <c r="I28" s="8" t="n"/>
    </row>
    <row r="29" ht="24" customHeight="1">
      <c r="A29" s="24" t="inlineStr">
        <is>
          <t>Product</t>
        </is>
      </c>
      <c r="B29" s="24" t="inlineStr">
        <is>
          <t>Size</t>
        </is>
      </c>
      <c r="C29" s="24" t="inlineStr">
        <is>
          <t>Unit</t>
        </is>
      </c>
      <c r="D29" s="24" t="inlineStr">
        <is>
          <t>Density</t>
        </is>
      </c>
      <c r="E29" s="24" t="inlineStr">
        <is>
          <t>Total (g)</t>
        </is>
      </c>
      <c r="F29" s="24" t="inlineStr">
        <is>
          <t>Conc %</t>
        </is>
      </c>
      <c r="G29" s="24" t="inlineStr">
        <is>
          <t>Conc (g)</t>
        </is>
      </c>
      <c r="H29" s="24" t="inlineStr">
        <is>
          <t>Cost SAR</t>
        </is>
      </c>
      <c r="I29" s="24" t="inlineStr">
        <is>
          <t>SAR per ml / g</t>
        </is>
      </c>
    </row>
    <row r="30">
      <c r="A30" s="68" t="inlineStr">
        <is>
          <t>Eau de Parfum</t>
        </is>
      </c>
      <c r="B30" s="91" t="n">
        <v>30</v>
      </c>
      <c r="C30" s="81" t="inlineStr">
        <is>
          <t>ml</t>
        </is>
      </c>
      <c r="D30" s="52" t="n">
        <v>0.85</v>
      </c>
      <c r="E30" s="31">
        <f>IF(C30="ml",B30*D30,B30)</f>
        <v/>
      </c>
      <c r="F30" s="27" t="n">
        <v>0.2</v>
      </c>
      <c r="G30" s="31">
        <f>E30*F30</f>
        <v/>
      </c>
      <c r="H30" s="56">
        <f>G30*ConcCostPerGLoaded+(E30-G30)*$C$16</f>
        <v/>
      </c>
      <c r="I30" s="31">
        <f>H30/B30</f>
        <v/>
      </c>
    </row>
    <row r="31">
      <c r="A31" s="68" t="inlineStr">
        <is>
          <t>Eau de Parfum</t>
        </is>
      </c>
      <c r="B31" s="91" t="n">
        <v>50</v>
      </c>
      <c r="C31" s="81" t="inlineStr">
        <is>
          <t>ml</t>
        </is>
      </c>
      <c r="D31" s="52" t="n">
        <v>0.85</v>
      </c>
      <c r="E31" s="31">
        <f>IF(C31="ml",B31*D31,B31)</f>
        <v/>
      </c>
      <c r="F31" s="27" t="n">
        <v>0.2</v>
      </c>
      <c r="G31" s="31">
        <f>E31*F31</f>
        <v/>
      </c>
      <c r="H31" s="56">
        <f>G31*ConcCostPerGLoaded+(E31-G31)*$C$16</f>
        <v/>
      </c>
      <c r="I31" s="31">
        <f>H31/B31</f>
        <v/>
      </c>
    </row>
    <row r="32">
      <c r="A32" s="68" t="inlineStr">
        <is>
          <t>Eau de Parfum</t>
        </is>
      </c>
      <c r="B32" s="91" t="n">
        <v>100</v>
      </c>
      <c r="C32" s="81" t="inlineStr">
        <is>
          <t>ml</t>
        </is>
      </c>
      <c r="D32" s="52" t="n">
        <v>0.85</v>
      </c>
      <c r="E32" s="31">
        <f>IF(C32="ml",B32*D32,B32)</f>
        <v/>
      </c>
      <c r="F32" s="27" t="n">
        <v>0.2</v>
      </c>
      <c r="G32" s="31">
        <f>E32*F32</f>
        <v/>
      </c>
      <c r="H32" s="56">
        <f>G32*ConcCostPerGLoaded+(E32-G32)*$C$16</f>
        <v/>
      </c>
      <c r="I32" s="31">
        <f>H32/B32</f>
        <v/>
      </c>
    </row>
    <row r="33">
      <c r="A33" s="68" t="inlineStr">
        <is>
          <t>Extrait de Parfum</t>
        </is>
      </c>
      <c r="B33" s="91" t="n">
        <v>50</v>
      </c>
      <c r="C33" s="81" t="inlineStr">
        <is>
          <t>ml</t>
        </is>
      </c>
      <c r="D33" s="52" t="n">
        <v>0.85</v>
      </c>
      <c r="E33" s="31">
        <f>IF(C33="ml",B33*D33,B33)</f>
        <v/>
      </c>
      <c r="F33" s="27" t="n">
        <v>0.28</v>
      </c>
      <c r="G33" s="31">
        <f>E33*F33</f>
        <v/>
      </c>
      <c r="H33" s="56">
        <f>G33*ConcCostPerGLoaded+(E33-G33)*$C$16</f>
        <v/>
      </c>
      <c r="I33" s="31">
        <f>H33/B33</f>
        <v/>
      </c>
    </row>
    <row r="34">
      <c r="A34" s="68" t="inlineStr">
        <is>
          <t>Alcohol Body Mist</t>
        </is>
      </c>
      <c r="B34" s="91" t="n">
        <v>100</v>
      </c>
      <c r="C34" s="81" t="inlineStr">
        <is>
          <t>ml</t>
        </is>
      </c>
      <c r="D34" s="52" t="n">
        <v>0.87</v>
      </c>
      <c r="E34" s="31">
        <f>IF(C34="ml",B34*D34,B34)</f>
        <v/>
      </c>
      <c r="F34" s="27" t="n">
        <v>0.05</v>
      </c>
      <c r="G34" s="31">
        <f>E34*F34</f>
        <v/>
      </c>
      <c r="H34" s="56">
        <f>G34*ConcCostPerGLoaded+(E34-G34-E34*0.02-E34*0.05)*$C$16+E34*0.02*$C$18+E34*0.05*$C$17</f>
        <v/>
      </c>
      <c r="I34" s="31">
        <f>H34/B34</f>
        <v/>
      </c>
    </row>
    <row r="35">
      <c r="A35" s="68" t="inlineStr">
        <is>
          <t>Water-Based Mist</t>
        </is>
      </c>
      <c r="B35" s="91" t="n">
        <v>100</v>
      </c>
      <c r="C35" s="81" t="inlineStr">
        <is>
          <t>g</t>
        </is>
      </c>
      <c r="D35" s="81" t="inlineStr"/>
      <c r="E35" s="31">
        <f>IF(C35="ml",B35*D35,B35)</f>
        <v/>
      </c>
      <c r="F35" s="27" t="n">
        <v>0.025</v>
      </c>
      <c r="G35" s="31">
        <f>E35*F35</f>
        <v/>
      </c>
      <c r="H35" s="56">
        <f>G35*ConcCostPerGLoaded+G35*4*$C$19+E35*0.025*$C$18+E35*0.008*$C$20+(E35-G35-G35*4-E35*0.025-E35*0.008)*$C$17</f>
        <v/>
      </c>
      <c r="I35" s="31">
        <f>H35/B35</f>
        <v/>
      </c>
    </row>
    <row r="36">
      <c r="A36" s="68" t="inlineStr">
        <is>
          <t>Cream Route 1</t>
        </is>
      </c>
      <c r="B36" s="91" t="n">
        <v>100</v>
      </c>
      <c r="C36" s="81" t="inlineStr">
        <is>
          <t>g</t>
        </is>
      </c>
      <c r="D36" s="81" t="inlineStr"/>
      <c r="E36" s="31">
        <f>IF(C36="ml",B36*D36,B36)</f>
        <v/>
      </c>
      <c r="F36" s="27" t="n">
        <v>0.01</v>
      </c>
      <c r="G36" s="31">
        <f>E36*F36</f>
        <v/>
      </c>
      <c r="H36" s="56">
        <f>G36*ConcCostPerGLoaded+(E36-G36)*$C$21</f>
        <v/>
      </c>
      <c r="I36" s="31">
        <f>H36/B36</f>
        <v/>
      </c>
    </row>
    <row r="37">
      <c r="A37" s="68" t="inlineStr">
        <is>
          <t>Cream Route 2</t>
        </is>
      </c>
      <c r="B37" s="91" t="n">
        <v>100</v>
      </c>
      <c r="C37" s="81" t="inlineStr">
        <is>
          <t>g</t>
        </is>
      </c>
      <c r="D37" s="81" t="inlineStr"/>
      <c r="E37" s="31">
        <f>IF(C37="ml",B37*D37,B37)</f>
        <v/>
      </c>
      <c r="F37" s="27" t="n">
        <v>0.01</v>
      </c>
      <c r="G37" s="31">
        <f>E37*F37</f>
        <v/>
      </c>
      <c r="H37" s="56">
        <f>G37*ConcCostPerGLoaded+E37*(0.03*$C$18+0.05*$C$22+0.02*$C$23+0.15*$C$24+0.05*$C$25+0.01*$C$20+0.005*$C$26)+(E37-G37-E37*0.315)*$C$17</f>
        <v/>
      </c>
      <c r="I37" s="31">
        <f>H37/B37</f>
        <v/>
      </c>
    </row>
    <row r="39" ht="18" customHeight="1">
      <c r="A39" s="7" t="inlineStr">
        <is>
          <t>E · REMAINING STOCK VALUE</t>
        </is>
      </c>
      <c r="B39" s="8" t="n"/>
      <c r="C39" s="8" t="n"/>
      <c r="D39" s="8" t="n"/>
      <c r="E39" s="8" t="n"/>
      <c r="F39" s="8" t="n"/>
      <c r="G39" s="8" t="n"/>
      <c r="H39" s="8" t="n"/>
      <c r="I39" s="8" t="n"/>
    </row>
    <row r="40">
      <c r="A40" s="9" t="inlineStr">
        <is>
          <t>Stock value at purchase prices (SAR)</t>
        </is>
      </c>
      <c r="C40" s="56">
        <f>SUMPRODUCT(Inv_OnHand,Inv_PricePerG)</f>
        <v/>
      </c>
    </row>
    <row r="41">
      <c r="A41" s="9" t="inlineStr">
        <is>
          <t>… incl. shipping allocation (SAR)</t>
        </is>
      </c>
      <c r="C41" s="56">
        <f>StockValueSAR*ShipLoad</f>
        <v/>
      </c>
    </row>
  </sheetData>
  <sheetProtection selectLockedCells="0" selectUnlockedCells="0" sheet="1" objects="0" insertRows="1" insertHyperlinks="1" autoFilter="1" scenarios="0" formatColumns="0" deleteColumns="1" insertColumns="1" pivotTables="1" deleteRows="1" formatCells="0" formatRows="0" sort="1"/>
  <mergeCells count="47">
    <mergeCell ref="D11:I11"/>
    <mergeCell ref="A24:B24"/>
    <mergeCell ref="A15:B15"/>
    <mergeCell ref="A11:B11"/>
    <mergeCell ref="D17:I17"/>
    <mergeCell ref="A3:I3"/>
    <mergeCell ref="D16:I16"/>
    <mergeCell ref="D7:I7"/>
    <mergeCell ref="A6:B6"/>
    <mergeCell ref="A16:B16"/>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D5:I5"/>
    <mergeCell ref="D23:I23"/>
    <mergeCell ref="A5:B5"/>
    <mergeCell ref="A9:I9"/>
    <mergeCell ref="A17:B17"/>
    <mergeCell ref="D20:I20"/>
    <mergeCell ref="A23:B23"/>
    <mergeCell ref="D26:I26"/>
    <mergeCell ref="A39:I39"/>
    <mergeCell ref="A22:B22"/>
    <mergeCell ref="A4:B4"/>
    <mergeCell ref="D19:I19"/>
    <mergeCell ref="A20:B20"/>
    <mergeCell ref="D10:I10"/>
    <mergeCell ref="A19:B19"/>
    <mergeCell ref="D22:I22"/>
    <mergeCell ref="A10:B10"/>
    <mergeCell ref="A1:I1"/>
    <mergeCell ref="D6:I6"/>
    <mergeCell ref="D21:I21"/>
    <mergeCell ref="A40:B40"/>
  </mergeCells>
  <pageMargins left="0.75" right="0.75" top="1" bottom="1" header="0.5" footer="0.5"/>
</worksheet>
</file>

<file path=xl/worksheets/sheet9.xml><?xml version="1.0" encoding="utf-8"?>
<worksheet xmlns="http://schemas.openxmlformats.org/spreadsheetml/2006/main">
  <sheetPr>
    <tabColor rgb="00C4A566"/>
    <outlinePr summaryBelow="1" summaryRight="1"/>
    <pageSetUpPr/>
  </sheetPr>
  <dimension ref="A1:I52"/>
  <sheetViews>
    <sheetView showGridLines="0" workbookViewId="0">
      <pane ySplit="15" topLeftCell="A16" activePane="bottomLeft" state="frozen"/>
      <selection pane="bottomLeft" activeCell="A1" sqref="A1"/>
    </sheetView>
  </sheetViews>
  <sheetFormatPr baseColWidth="8" defaultRowHeight="15"/>
  <cols>
    <col width="27" customWidth="1" min="1" max="1"/>
    <col width="13" customWidth="1" min="2" max="2"/>
    <col width="13" customWidth="1" min="3" max="3"/>
    <col width="14" customWidth="1" min="4" max="4"/>
    <col width="13" customWidth="1" min="5" max="5"/>
    <col width="11" customWidth="1" min="6" max="6"/>
    <col width="14" customWidth="1" min="7" max="7"/>
    <col width="15" customWidth="1" min="8" max="8"/>
    <col width="22" customWidth="1" min="9" max="9"/>
  </cols>
  <sheetData>
    <row r="1" ht="28" customHeight="1">
      <c r="A1" s="17" t="inlineStr">
        <is>
          <t>YIELD &amp; CAPACITY</t>
        </is>
      </c>
    </row>
    <row r="2">
      <c r="A2" s="18" t="inlineStr">
        <is>
          <t>How many bottles your CURRENT inventory can make. Every cell is live — it updates as you log batches and as prices change.</t>
        </is>
      </c>
      <c r="B2" s="19" t="n"/>
      <c r="C2" s="19" t="n"/>
      <c r="D2" s="19" t="n"/>
      <c r="E2" s="19" t="n"/>
      <c r="F2" s="19" t="n"/>
      <c r="G2" s="19" t="n"/>
      <c r="H2" s="19" t="n"/>
      <c r="I2" s="19" t="n"/>
    </row>
    <row r="3" ht="18" customHeight="1">
      <c r="A3" s="7" t="inlineStr">
        <is>
          <t>1 · ASSUMPTIONS</t>
        </is>
      </c>
      <c r="B3" s="8" t="n"/>
      <c r="C3" s="8" t="n"/>
      <c r="D3" s="8" t="n"/>
      <c r="E3" s="8" t="n"/>
      <c r="F3" s="8" t="n"/>
      <c r="G3" s="8" t="n"/>
      <c r="H3" s="8" t="n"/>
      <c r="I3" s="8" t="n"/>
    </row>
    <row r="4">
      <c r="A4" s="22" t="inlineStr">
        <is>
          <t>Concentrate %</t>
        </is>
      </c>
      <c r="C4" s="27" t="n">
        <v>0.28</v>
      </c>
      <c r="D4" s="15" t="inlineStr">
        <is>
          <t>28% = Extrait (default). Set 20% to model EDP.</t>
        </is>
      </c>
    </row>
    <row r="5">
      <c r="A5" s="22" t="inlineStr">
        <is>
          <t>Finished density (g/ml)</t>
        </is>
      </c>
      <c r="C5" s="52" t="n">
        <v>0.85</v>
      </c>
      <c r="D5" s="15" t="inlineStr">
        <is>
          <t>converts bottle ml → grams</t>
        </is>
      </c>
    </row>
    <row r="6">
      <c r="A6" s="22" t="inlineStr">
        <is>
          <t>Bench-loss allowance %</t>
        </is>
      </c>
      <c r="C6" s="27" t="n">
        <v>0</v>
      </c>
      <c r="D6" s="15" t="inlineStr">
        <is>
          <t>residue lost in beakers/pipettes; try 5% for realism</t>
        </is>
      </c>
    </row>
    <row r="7">
      <c r="A7" s="22" t="inlineStr">
        <is>
          <t>Stock basis</t>
        </is>
      </c>
      <c r="C7" s="23" t="inlineStr">
        <is>
          <t>On hand</t>
        </is>
      </c>
      <c r="D7" s="15" t="inlineStr">
        <is>
          <t>‘On hand’ = live remaining stock · ‘Purchased’ = total bought</t>
        </is>
      </c>
    </row>
    <row r="9" ht="18" customHeight="1">
      <c r="A9" s="7" t="inlineStr">
        <is>
          <t>2 · CURRENT LIMITS</t>
        </is>
      </c>
      <c r="B9" s="8" t="n"/>
      <c r="C9" s="8" t="n"/>
      <c r="D9" s="8" t="n"/>
      <c r="E9" s="8" t="n"/>
      <c r="F9" s="8" t="n"/>
      <c r="G9" s="8" t="n"/>
      <c r="H9" s="8" t="n"/>
      <c r="I9" s="8" t="n"/>
    </row>
    <row r="10">
      <c r="B10" s="4" t="inlineStr">
        <is>
          <t>MAX CONCENTRATE (g)</t>
        </is>
      </c>
      <c r="C10" s="4" t="inlineStr">
        <is>
          <t>USABLE AFTER LOSS (g)</t>
        </is>
      </c>
      <c r="D10" s="4" t="inlineStr">
        <is>
          <t>ALCOHOL ON HAND (g)</t>
        </is>
      </c>
      <c r="E10" s="4" t="inlineStr">
        <is>
          <t>DPG ON HAND (g)</t>
        </is>
      </c>
      <c r="F10" s="4" t="inlineStr">
        <is>
          <t>LIMITING MATERIAL</t>
        </is>
      </c>
    </row>
    <row r="11" ht="26" customHeight="1">
      <c r="B11" s="5">
        <f>MIN($F$27:$F$52)</f>
        <v/>
      </c>
      <c r="C11" s="5">
        <f>$B$11*(1-YC_Loss)</f>
        <v/>
      </c>
      <c r="D11" s="5">
        <f>IF(YC_Basis="On hand",INDEX(Inv_OnHand,MATCH("Alcohol 190 proof SDA 40B",Inv_Mat,0)),INDEX(Inv_GramsBought,MATCH("Alcohol 190 proof SDA 40B",Inv_Mat,0)))</f>
        <v/>
      </c>
      <c r="E11" s="5">
        <f>IF(YC_Basis="On hand",INDEX(Inv_OnHand,MATCH("DPG (Dipropylene Glycol)",Inv_Mat,0)),INDEX(Inv_GramsBought,MATCH("DPG (Dipropylene Glycol)",Inv_Mat,0)))</f>
        <v/>
      </c>
      <c r="F11" s="96">
        <f>IF(COUNT($F$27:$F$52)=0,"—",INDEX($A$27:$A$52,MATCH($B$11,$F$27:$F$52,0)))</f>
        <v/>
      </c>
    </row>
    <row r="13" ht="18" customHeight="1">
      <c r="A13" s="7" t="inlineStr">
        <is>
          <t>3 · BOTTLE YIELD</t>
        </is>
      </c>
      <c r="B13" s="8" t="n"/>
      <c r="C13" s="8" t="n"/>
      <c r="D13" s="8" t="n"/>
      <c r="E13" s="8" t="n"/>
      <c r="F13" s="8" t="n"/>
      <c r="G13" s="8" t="n"/>
      <c r="H13" s="8" t="n"/>
      <c r="I13" s="8" t="n"/>
    </row>
    <row r="14">
      <c r="A14" s="15">
        <f>"At "&amp;TEXT(YC_ConcPct,"0%")&amp;" concentrate ("&amp;IF(YC_ConcPct&gt;=0.25,"Extrait",IF(YC_ConcPct&gt;=0.15,"EDP","light"))&amp;"), "&amp;TEXT(YC_Density,"0.00")&amp;" g/ml, "&amp;TEXT(YC_Loss,"0%")&amp;" bench loss, stock basis: "&amp;YC_Basis</f>
        <v/>
      </c>
    </row>
    <row r="15" ht="24" customHeight="1">
      <c r="A15" s="24" t="inlineStr">
        <is>
          <t>Bottle size (ml)</t>
        </is>
      </c>
      <c r="B15" s="24" t="inlineStr">
        <is>
          <t>Conc / bottle (g)</t>
        </is>
      </c>
      <c r="C15" s="24" t="inlineStr">
        <is>
          <t>Alcohol / bottle (g)</t>
        </is>
      </c>
      <c r="D15" s="24" t="inlineStr">
        <is>
          <t>Bottles by conc.</t>
        </is>
      </c>
      <c r="E15" s="24" t="inlineStr">
        <is>
          <t>Bottles by alcohol</t>
        </is>
      </c>
      <c r="F15" s="24" t="inlineStr">
        <is>
          <t>BOTTLES</t>
        </is>
      </c>
      <c r="G15" s="24" t="inlineStr">
        <is>
          <t>Cost / bottle (SAR)</t>
        </is>
      </c>
      <c r="H15" s="24" t="inlineStr">
        <is>
          <t>Batch materials (SAR)</t>
        </is>
      </c>
      <c r="I15" s="24" t="inlineStr">
        <is>
          <t>Limiting factor</t>
        </is>
      </c>
    </row>
    <row r="16">
      <c r="A16" s="97" t="n">
        <v>10</v>
      </c>
      <c r="B16" s="31">
        <f>$A16*YC_Density*YC_ConcPct</f>
        <v/>
      </c>
      <c r="C16" s="31">
        <f>$A16*YC_Density*(1-YC_ConcPct)</f>
        <v/>
      </c>
      <c r="D16" s="92">
        <f>IF(B16=0,"",YC_UsableConc/B16)</f>
        <v/>
      </c>
      <c r="E16" s="92">
        <f>IF(C16=0,"",YC_AlcOnHand/C16)</f>
        <v/>
      </c>
      <c r="F16" s="98">
        <f>FLOOR(MIN(D16,E16),1)</f>
        <v/>
      </c>
      <c r="G16" s="31">
        <f>B16*ConcCostPerGLoaded+C16*AlcCostPerG</f>
        <v/>
      </c>
      <c r="H16" s="31">
        <f>F16*G16</f>
        <v/>
      </c>
      <c r="I16" s="81">
        <f>IF(D16&lt;=E16,"concentrate ("&amp;YC_LimitMat&amp;")","alcohol")</f>
        <v/>
      </c>
    </row>
    <row r="17">
      <c r="A17" s="97" t="n">
        <v>20</v>
      </c>
      <c r="B17" s="31">
        <f>$A17*YC_Density*YC_ConcPct</f>
        <v/>
      </c>
      <c r="C17" s="31">
        <f>$A17*YC_Density*(1-YC_ConcPct)</f>
        <v/>
      </c>
      <c r="D17" s="92">
        <f>IF(B17=0,"",YC_UsableConc/B17)</f>
        <v/>
      </c>
      <c r="E17" s="92">
        <f>IF(C17=0,"",YC_AlcOnHand/C17)</f>
        <v/>
      </c>
      <c r="F17" s="98">
        <f>FLOOR(MIN(D17,E17),1)</f>
        <v/>
      </c>
      <c r="G17" s="31">
        <f>B17*ConcCostPerGLoaded+C17*AlcCostPerG</f>
        <v/>
      </c>
      <c r="H17" s="31">
        <f>F17*G17</f>
        <v/>
      </c>
      <c r="I17" s="81">
        <f>IF(D17&lt;=E17,"concentrate ("&amp;YC_LimitMat&amp;")","alcohol")</f>
        <v/>
      </c>
    </row>
    <row r="18">
      <c r="A18" s="97" t="n">
        <v>30</v>
      </c>
      <c r="B18" s="31">
        <f>$A18*YC_Density*YC_ConcPct</f>
        <v/>
      </c>
      <c r="C18" s="31">
        <f>$A18*YC_Density*(1-YC_ConcPct)</f>
        <v/>
      </c>
      <c r="D18" s="92">
        <f>IF(B18=0,"",YC_UsableConc/B18)</f>
        <v/>
      </c>
      <c r="E18" s="92">
        <f>IF(C18=0,"",YC_AlcOnHand/C18)</f>
        <v/>
      </c>
      <c r="F18" s="98">
        <f>FLOOR(MIN(D18,E18),1)</f>
        <v/>
      </c>
      <c r="G18" s="31">
        <f>B18*ConcCostPerGLoaded+C18*AlcCostPerG</f>
        <v/>
      </c>
      <c r="H18" s="31">
        <f>F18*G18</f>
        <v/>
      </c>
      <c r="I18" s="81">
        <f>IF(D18&lt;=E18,"concentrate ("&amp;YC_LimitMat&amp;")","alcohol")</f>
        <v/>
      </c>
    </row>
    <row r="19">
      <c r="A19" s="97" t="n">
        <v>50</v>
      </c>
      <c r="B19" s="31">
        <f>$A19*YC_Density*YC_ConcPct</f>
        <v/>
      </c>
      <c r="C19" s="31">
        <f>$A19*YC_Density*(1-YC_ConcPct)</f>
        <v/>
      </c>
      <c r="D19" s="92">
        <f>IF(B19=0,"",YC_UsableConc/B19)</f>
        <v/>
      </c>
      <c r="E19" s="92">
        <f>IF(C19=0,"",YC_AlcOnHand/C19)</f>
        <v/>
      </c>
      <c r="F19" s="98">
        <f>FLOOR(MIN(D19,E19),1)</f>
        <v/>
      </c>
      <c r="G19" s="31">
        <f>B19*ConcCostPerGLoaded+C19*AlcCostPerG</f>
        <v/>
      </c>
      <c r="H19" s="31">
        <f>F19*G19</f>
        <v/>
      </c>
      <c r="I19" s="81">
        <f>IF(D19&lt;=E19,"concentrate ("&amp;YC_LimitMat&amp;")","alcohol")</f>
        <v/>
      </c>
    </row>
    <row r="20">
      <c r="A20" s="97" t="n">
        <v>70</v>
      </c>
      <c r="B20" s="31">
        <f>$A20*YC_Density*YC_ConcPct</f>
        <v/>
      </c>
      <c r="C20" s="31">
        <f>$A20*YC_Density*(1-YC_ConcPct)</f>
        <v/>
      </c>
      <c r="D20" s="92">
        <f>IF(B20=0,"",YC_UsableConc/B20)</f>
        <v/>
      </c>
      <c r="E20" s="92">
        <f>IF(C20=0,"",YC_AlcOnHand/C20)</f>
        <v/>
      </c>
      <c r="F20" s="98">
        <f>FLOOR(MIN(D20,E20),1)</f>
        <v/>
      </c>
      <c r="G20" s="31">
        <f>B20*ConcCostPerGLoaded+C20*AlcCostPerG</f>
        <v/>
      </c>
      <c r="H20" s="31">
        <f>F20*G20</f>
        <v/>
      </c>
      <c r="I20" s="81">
        <f>IF(D20&lt;=E20,"concentrate ("&amp;YC_LimitMat&amp;")","alcohol")</f>
        <v/>
      </c>
    </row>
    <row r="21">
      <c r="A21" s="97" t="n">
        <v>100</v>
      </c>
      <c r="B21" s="31">
        <f>$A21*YC_Density*YC_ConcPct</f>
        <v/>
      </c>
      <c r="C21" s="31">
        <f>$A21*YC_Density*(1-YC_ConcPct)</f>
        <v/>
      </c>
      <c r="D21" s="92">
        <f>IF(B21=0,"",YC_UsableConc/B21)</f>
        <v/>
      </c>
      <c r="E21" s="92">
        <f>IF(C21=0,"",YC_AlcOnHand/C21)</f>
        <v/>
      </c>
      <c r="F21" s="98">
        <f>FLOOR(MIN(D21,E21),1)</f>
        <v/>
      </c>
      <c r="G21" s="31">
        <f>B21*ConcCostPerGLoaded+C21*AlcCostPerG</f>
        <v/>
      </c>
      <c r="H21" s="31">
        <f>F21*G21</f>
        <v/>
      </c>
      <c r="I21" s="81">
        <f>IF(D21&lt;=E21,"concentrate ("&amp;YC_LimitMat&amp;")","alcohol")</f>
        <v/>
      </c>
    </row>
    <row r="22">
      <c r="A22" s="15">
        <f>"To make more, buy more "&amp;YC_LimitMat&amp;" — it runs out first. See the material-by-material table below for the next bottlenecks."</f>
        <v/>
      </c>
    </row>
    <row r="24" ht="18" customHeight="1">
      <c r="A24" s="7" t="inlineStr">
        <is>
          <t>4 · MATERIAL-BY-MATERIAL CAPACITY  (which runs out first)</t>
        </is>
      </c>
      <c r="B24" s="8" t="n"/>
      <c r="C24" s="8" t="n"/>
      <c r="D24" s="8" t="n"/>
      <c r="E24" s="8" t="n"/>
      <c r="F24" s="8" t="n"/>
      <c r="G24" s="8" t="n"/>
      <c r="H24" s="8" t="n"/>
      <c r="I24" s="8" t="n"/>
    </row>
    <row r="26" ht="24" customHeight="1">
      <c r="A26" s="24" t="inlineStr">
        <is>
          <t>Material</t>
        </is>
      </c>
      <c r="B26" s="24" t="inlineStr">
        <is>
          <t>Phase</t>
        </is>
      </c>
      <c r="C26" s="24" t="inlineStr">
        <is>
          <t>Active %</t>
        </is>
      </c>
      <c r="D26" s="24" t="inlineStr">
        <is>
          <t>Stock (g)</t>
        </is>
      </c>
      <c r="E26" s="24" t="inlineStr">
        <is>
          <t>Neat / g conc</t>
        </is>
      </c>
      <c r="F26" s="24" t="inlineStr">
        <is>
          <t>Max concentrate (g)</t>
        </is>
      </c>
      <c r="G26" s="95" t="inlineStr">
        <is>
          <t>Max 50 ml bottles</t>
        </is>
      </c>
      <c r="H26" s="66" t="n"/>
      <c r="I26" s="67" t="n"/>
    </row>
    <row r="27">
      <c r="A27" s="68">
        <f>'Formula Master'!$B$7</f>
        <v/>
      </c>
      <c r="B27" s="81">
        <f>'Formula Master'!$A$7</f>
        <v/>
      </c>
      <c r="C27" s="99">
        <f>'Formula Master'!$F$7</f>
        <v/>
      </c>
      <c r="D27" s="31">
        <f>IF(YC_Basis="On hand",INDEX(Inv_OnHand,MATCH($A27,Inv_Mat,0)),INDEX(Inv_GramsBought,MATCH($A27,Inv_Mat,0)))</f>
        <v/>
      </c>
      <c r="E27" s="100">
        <f>C27*IF('Formula Master'!$D$7="D10",0.1,1)</f>
        <v/>
      </c>
      <c r="F27" s="74">
        <f>IF(E27&lt;=0,"",MAX(D27,0)/E27)</f>
        <v/>
      </c>
      <c r="G27" s="101">
        <f>IF(F27="","",FLOOR(F27/(50*YC_Density*YC_ConcPct),1))</f>
        <v/>
      </c>
      <c r="H27" s="57" t="n"/>
      <c r="I27" s="57" t="n"/>
    </row>
    <row r="28">
      <c r="A28" s="68">
        <f>'Formula Master'!$B$8</f>
        <v/>
      </c>
      <c r="B28" s="81">
        <f>'Formula Master'!$A$8</f>
        <v/>
      </c>
      <c r="C28" s="99">
        <f>'Formula Master'!$F$8</f>
        <v/>
      </c>
      <c r="D28" s="31">
        <f>IF(YC_Basis="On hand",INDEX(Inv_OnHand,MATCH($A28,Inv_Mat,0)),INDEX(Inv_GramsBought,MATCH($A28,Inv_Mat,0)))</f>
        <v/>
      </c>
      <c r="E28" s="100">
        <f>C28*IF('Formula Master'!$D$8="D10",0.1,1)</f>
        <v/>
      </c>
      <c r="F28" s="74">
        <f>IF(E28&lt;=0,"",MAX(D28,0)/E28)</f>
        <v/>
      </c>
      <c r="G28" s="101">
        <f>IF(F28="","",FLOOR(F28/(50*YC_Density*YC_ConcPct),1))</f>
        <v/>
      </c>
      <c r="H28" s="57" t="n"/>
      <c r="I28" s="57" t="n"/>
    </row>
    <row r="29">
      <c r="A29" s="68">
        <f>'Formula Master'!$B$9</f>
        <v/>
      </c>
      <c r="B29" s="81">
        <f>'Formula Master'!$A$9</f>
        <v/>
      </c>
      <c r="C29" s="99">
        <f>'Formula Master'!$F$9</f>
        <v/>
      </c>
      <c r="D29" s="31">
        <f>IF(YC_Basis="On hand",INDEX(Inv_OnHand,MATCH($A29,Inv_Mat,0)),INDEX(Inv_GramsBought,MATCH($A29,Inv_Mat,0)))</f>
        <v/>
      </c>
      <c r="E29" s="100">
        <f>C29*IF('Formula Master'!$D$9="D10",0.1,1)</f>
        <v/>
      </c>
      <c r="F29" s="74">
        <f>IF(E29&lt;=0,"",MAX(D29,0)/E29)</f>
        <v/>
      </c>
      <c r="G29" s="101">
        <f>IF(F29="","",FLOOR(F29/(50*YC_Density*YC_ConcPct),1))</f>
        <v/>
      </c>
      <c r="H29" s="57" t="n"/>
      <c r="I29" s="57" t="n"/>
    </row>
    <row r="30">
      <c r="A30" s="68">
        <f>'Formula Master'!$B$10</f>
        <v/>
      </c>
      <c r="B30" s="81">
        <f>'Formula Master'!$A$10</f>
        <v/>
      </c>
      <c r="C30" s="99">
        <f>'Formula Master'!$F$10</f>
        <v/>
      </c>
      <c r="D30" s="31">
        <f>IF(YC_Basis="On hand",INDEX(Inv_OnHand,MATCH($A30,Inv_Mat,0)),INDEX(Inv_GramsBought,MATCH($A30,Inv_Mat,0)))</f>
        <v/>
      </c>
      <c r="E30" s="100">
        <f>C30*IF('Formula Master'!$D$10="D10",0.1,1)</f>
        <v/>
      </c>
      <c r="F30" s="74">
        <f>IF(E30&lt;=0,"",MAX(D30,0)/E30)</f>
        <v/>
      </c>
      <c r="G30" s="101">
        <f>IF(F30="","",FLOOR(F30/(50*YC_Density*YC_ConcPct),1))</f>
        <v/>
      </c>
      <c r="H30" s="57" t="n"/>
      <c r="I30" s="57" t="n"/>
    </row>
    <row r="31">
      <c r="A31" s="68">
        <f>'Formula Master'!$B$11</f>
        <v/>
      </c>
      <c r="B31" s="81">
        <f>'Formula Master'!$A$11</f>
        <v/>
      </c>
      <c r="C31" s="99">
        <f>'Formula Master'!$F$11</f>
        <v/>
      </c>
      <c r="D31" s="31">
        <f>IF(YC_Basis="On hand",INDEX(Inv_OnHand,MATCH($A31,Inv_Mat,0)),INDEX(Inv_GramsBought,MATCH($A31,Inv_Mat,0)))</f>
        <v/>
      </c>
      <c r="E31" s="100">
        <f>C31*IF('Formula Master'!$D$11="D10",0.1,1)</f>
        <v/>
      </c>
      <c r="F31" s="74">
        <f>IF(E31&lt;=0,"",MAX(D31,0)/E31)</f>
        <v/>
      </c>
      <c r="G31" s="101">
        <f>IF(F31="","",FLOOR(F31/(50*YC_Density*YC_ConcPct),1))</f>
        <v/>
      </c>
      <c r="H31" s="57" t="n"/>
      <c r="I31" s="57" t="n"/>
    </row>
    <row r="32">
      <c r="A32" s="68">
        <f>'Formula Master'!$B$12</f>
        <v/>
      </c>
      <c r="B32" s="81">
        <f>'Formula Master'!$A$12</f>
        <v/>
      </c>
      <c r="C32" s="99">
        <f>'Formula Master'!$F$12</f>
        <v/>
      </c>
      <c r="D32" s="31">
        <f>IF(YC_Basis="On hand",INDEX(Inv_OnHand,MATCH($A32,Inv_Mat,0)),INDEX(Inv_GramsBought,MATCH($A32,Inv_Mat,0)))</f>
        <v/>
      </c>
      <c r="E32" s="100">
        <f>C32*IF('Formula Master'!$D$12="D10",0.1,1)</f>
        <v/>
      </c>
      <c r="F32" s="74">
        <f>IF(E32&lt;=0,"",MAX(D32,0)/E32)</f>
        <v/>
      </c>
      <c r="G32" s="101">
        <f>IF(F32="","",FLOOR(F32/(50*YC_Density*YC_ConcPct),1))</f>
        <v/>
      </c>
      <c r="H32" s="57" t="n"/>
      <c r="I32" s="57" t="n"/>
    </row>
    <row r="33">
      <c r="A33" s="68">
        <f>'Formula Master'!$B$13</f>
        <v/>
      </c>
      <c r="B33" s="81">
        <f>'Formula Master'!$A$13</f>
        <v/>
      </c>
      <c r="C33" s="99">
        <f>'Formula Master'!$F$13</f>
        <v/>
      </c>
      <c r="D33" s="31">
        <f>IF(YC_Basis="On hand",INDEX(Inv_OnHand,MATCH($A33,Inv_Mat,0)),INDEX(Inv_GramsBought,MATCH($A33,Inv_Mat,0)))</f>
        <v/>
      </c>
      <c r="E33" s="100">
        <f>C33*IF('Formula Master'!$D$13="D10",0.1,1)</f>
        <v/>
      </c>
      <c r="F33" s="74">
        <f>IF(E33&lt;=0,"",MAX(D33,0)/E33)</f>
        <v/>
      </c>
      <c r="G33" s="101">
        <f>IF(F33="","",FLOOR(F33/(50*YC_Density*YC_ConcPct),1))</f>
        <v/>
      </c>
      <c r="H33" s="57" t="n"/>
      <c r="I33" s="57" t="n"/>
    </row>
    <row r="34">
      <c r="A34" s="68">
        <f>'Formula Master'!$B$14</f>
        <v/>
      </c>
      <c r="B34" s="81">
        <f>'Formula Master'!$A$14</f>
        <v/>
      </c>
      <c r="C34" s="99">
        <f>'Formula Master'!$F$14</f>
        <v/>
      </c>
      <c r="D34" s="31">
        <f>IF(YC_Basis="On hand",INDEX(Inv_OnHand,MATCH($A34,Inv_Mat,0)),INDEX(Inv_GramsBought,MATCH($A34,Inv_Mat,0)))</f>
        <v/>
      </c>
      <c r="E34" s="100">
        <f>C34*IF('Formula Master'!$D$14="D10",0.1,1)</f>
        <v/>
      </c>
      <c r="F34" s="74">
        <f>IF(E34&lt;=0,"",MAX(D34,0)/E34)</f>
        <v/>
      </c>
      <c r="G34" s="101">
        <f>IF(F34="","",FLOOR(F34/(50*YC_Density*YC_ConcPct),1))</f>
        <v/>
      </c>
      <c r="H34" s="57" t="n"/>
      <c r="I34" s="57" t="n"/>
    </row>
    <row r="35">
      <c r="A35" s="68">
        <f>'Formula Master'!$B$15</f>
        <v/>
      </c>
      <c r="B35" s="81">
        <f>'Formula Master'!$A$15</f>
        <v/>
      </c>
      <c r="C35" s="99">
        <f>'Formula Master'!$F$15</f>
        <v/>
      </c>
      <c r="D35" s="31">
        <f>IF(YC_Basis="On hand",INDEX(Inv_OnHand,MATCH($A35,Inv_Mat,0)),INDEX(Inv_GramsBought,MATCH($A35,Inv_Mat,0)))</f>
        <v/>
      </c>
      <c r="E35" s="100">
        <f>C35*IF('Formula Master'!$D$15="D10",0.1,1)</f>
        <v/>
      </c>
      <c r="F35" s="74">
        <f>IF(E35&lt;=0,"",MAX(D35,0)/E35)</f>
        <v/>
      </c>
      <c r="G35" s="101">
        <f>IF(F35="","",FLOOR(F35/(50*YC_Density*YC_ConcPct),1))</f>
        <v/>
      </c>
      <c r="H35" s="57" t="n"/>
      <c r="I35" s="57" t="n"/>
    </row>
    <row r="36">
      <c r="A36" s="68">
        <f>'Formula Master'!$B$16</f>
        <v/>
      </c>
      <c r="B36" s="81">
        <f>'Formula Master'!$A$16</f>
        <v/>
      </c>
      <c r="C36" s="99">
        <f>'Formula Master'!$F$16</f>
        <v/>
      </c>
      <c r="D36" s="31">
        <f>IF(YC_Basis="On hand",INDEX(Inv_OnHand,MATCH($A36,Inv_Mat,0)),INDEX(Inv_GramsBought,MATCH($A36,Inv_Mat,0)))</f>
        <v/>
      </c>
      <c r="E36" s="100">
        <f>C36*IF('Formula Master'!$D$16="D10",0.1,1)</f>
        <v/>
      </c>
      <c r="F36" s="74">
        <f>IF(E36&lt;=0,"",MAX(D36,0)/E36)</f>
        <v/>
      </c>
      <c r="G36" s="101">
        <f>IF(F36="","",FLOOR(F36/(50*YC_Density*YC_ConcPct),1))</f>
        <v/>
      </c>
      <c r="H36" s="57" t="n"/>
      <c r="I36" s="57" t="n"/>
    </row>
    <row r="37">
      <c r="A37" s="68">
        <f>'Formula Master'!$B$17</f>
        <v/>
      </c>
      <c r="B37" s="81">
        <f>'Formula Master'!$A$17</f>
        <v/>
      </c>
      <c r="C37" s="99">
        <f>'Formula Master'!$F$17</f>
        <v/>
      </c>
      <c r="D37" s="31">
        <f>IF(YC_Basis="On hand",INDEX(Inv_OnHand,MATCH($A37,Inv_Mat,0)),INDEX(Inv_GramsBought,MATCH($A37,Inv_Mat,0)))</f>
        <v/>
      </c>
      <c r="E37" s="100">
        <f>C37*IF('Formula Master'!$D$17="D10",0.1,1)</f>
        <v/>
      </c>
      <c r="F37" s="74">
        <f>IF(E37&lt;=0,"",MAX(D37,0)/E37)</f>
        <v/>
      </c>
      <c r="G37" s="101">
        <f>IF(F37="","",FLOOR(F37/(50*YC_Density*YC_ConcPct),1))</f>
        <v/>
      </c>
      <c r="H37" s="57" t="n"/>
      <c r="I37" s="57" t="n"/>
    </row>
    <row r="38">
      <c r="A38" s="68">
        <f>'Formula Master'!$B$18</f>
        <v/>
      </c>
      <c r="B38" s="81">
        <f>'Formula Master'!$A$18</f>
        <v/>
      </c>
      <c r="C38" s="99">
        <f>'Formula Master'!$F$18</f>
        <v/>
      </c>
      <c r="D38" s="31">
        <f>IF(YC_Basis="On hand",INDEX(Inv_OnHand,MATCH($A38,Inv_Mat,0)),INDEX(Inv_GramsBought,MATCH($A38,Inv_Mat,0)))</f>
        <v/>
      </c>
      <c r="E38" s="100">
        <f>C38*IF('Formula Master'!$D$18="D10",0.1,1)</f>
        <v/>
      </c>
      <c r="F38" s="74">
        <f>IF(E38&lt;=0,"",MAX(D38,0)/E38)</f>
        <v/>
      </c>
      <c r="G38" s="101">
        <f>IF(F38="","",FLOOR(F38/(50*YC_Density*YC_ConcPct),1))</f>
        <v/>
      </c>
      <c r="H38" s="57" t="n"/>
      <c r="I38" s="57" t="n"/>
    </row>
    <row r="39">
      <c r="A39" s="68">
        <f>'Formula Master'!$B$19</f>
        <v/>
      </c>
      <c r="B39" s="81">
        <f>'Formula Master'!$A$19</f>
        <v/>
      </c>
      <c r="C39" s="99">
        <f>'Formula Master'!$F$19</f>
        <v/>
      </c>
      <c r="D39" s="31">
        <f>IF(YC_Basis="On hand",INDEX(Inv_OnHand,MATCH($A39,Inv_Mat,0)),INDEX(Inv_GramsBought,MATCH($A39,Inv_Mat,0)))</f>
        <v/>
      </c>
      <c r="E39" s="100">
        <f>C39*IF('Formula Master'!$D$19="D10",0.1,1)</f>
        <v/>
      </c>
      <c r="F39" s="74">
        <f>IF(E39&lt;=0,"",MAX(D39,0)/E39)</f>
        <v/>
      </c>
      <c r="G39" s="101">
        <f>IF(F39="","",FLOOR(F39/(50*YC_Density*YC_ConcPct),1))</f>
        <v/>
      </c>
      <c r="H39" s="57" t="n"/>
      <c r="I39" s="57" t="n"/>
    </row>
    <row r="40">
      <c r="A40" s="68">
        <f>'Formula Master'!$B$20</f>
        <v/>
      </c>
      <c r="B40" s="81">
        <f>'Formula Master'!$A$20</f>
        <v/>
      </c>
      <c r="C40" s="99">
        <f>'Formula Master'!$F$20</f>
        <v/>
      </c>
      <c r="D40" s="31">
        <f>IF(YC_Basis="On hand",INDEX(Inv_OnHand,MATCH($A40,Inv_Mat,0)),INDEX(Inv_GramsBought,MATCH($A40,Inv_Mat,0)))</f>
        <v/>
      </c>
      <c r="E40" s="100">
        <f>C40*IF('Formula Master'!$D$20="D10",0.1,1)</f>
        <v/>
      </c>
      <c r="F40" s="74">
        <f>IF(E40&lt;=0,"",MAX(D40,0)/E40)</f>
        <v/>
      </c>
      <c r="G40" s="101">
        <f>IF(F40="","",FLOOR(F40/(50*YC_Density*YC_ConcPct),1))</f>
        <v/>
      </c>
      <c r="H40" s="57" t="n"/>
      <c r="I40" s="57" t="n"/>
    </row>
    <row r="41">
      <c r="A41" s="68">
        <f>'Formula Master'!$B$21</f>
        <v/>
      </c>
      <c r="B41" s="81">
        <f>'Formula Master'!$A$21</f>
        <v/>
      </c>
      <c r="C41" s="99">
        <f>'Formula Master'!$F$21</f>
        <v/>
      </c>
      <c r="D41" s="31">
        <f>IF(YC_Basis="On hand",INDEX(Inv_OnHand,MATCH($A41,Inv_Mat,0)),INDEX(Inv_GramsBought,MATCH($A41,Inv_Mat,0)))</f>
        <v/>
      </c>
      <c r="E41" s="100">
        <f>C41*IF('Formula Master'!$D$21="D10",0.1,1)</f>
        <v/>
      </c>
      <c r="F41" s="74">
        <f>IF(E41&lt;=0,"",MAX(D41,0)/E41)</f>
        <v/>
      </c>
      <c r="G41" s="101">
        <f>IF(F41="","",FLOOR(F41/(50*YC_Density*YC_ConcPct),1))</f>
        <v/>
      </c>
      <c r="H41" s="57" t="n"/>
      <c r="I41" s="57" t="n"/>
    </row>
    <row r="42">
      <c r="A42" s="68">
        <f>'Formula Master'!$B$22</f>
        <v/>
      </c>
      <c r="B42" s="81">
        <f>'Formula Master'!$A$22</f>
        <v/>
      </c>
      <c r="C42" s="99">
        <f>'Formula Master'!$F$22</f>
        <v/>
      </c>
      <c r="D42" s="31">
        <f>IF(YC_Basis="On hand",INDEX(Inv_OnHand,MATCH($A42,Inv_Mat,0)),INDEX(Inv_GramsBought,MATCH($A42,Inv_Mat,0)))</f>
        <v/>
      </c>
      <c r="E42" s="100">
        <f>C42*IF('Formula Master'!$D$22="D10",0.1,1)</f>
        <v/>
      </c>
      <c r="F42" s="74">
        <f>IF(E42&lt;=0,"",MAX(D42,0)/E42)</f>
        <v/>
      </c>
      <c r="G42" s="101">
        <f>IF(F42="","",FLOOR(F42/(50*YC_Density*YC_ConcPct),1))</f>
        <v/>
      </c>
      <c r="H42" s="57" t="n"/>
      <c r="I42" s="57" t="n"/>
    </row>
    <row r="43">
      <c r="A43" s="68">
        <f>'Formula Master'!$B$23</f>
        <v/>
      </c>
      <c r="B43" s="81">
        <f>'Formula Master'!$A$23</f>
        <v/>
      </c>
      <c r="C43" s="99">
        <f>'Formula Master'!$F$23</f>
        <v/>
      </c>
      <c r="D43" s="31">
        <f>IF(YC_Basis="On hand",INDEX(Inv_OnHand,MATCH($A43,Inv_Mat,0)),INDEX(Inv_GramsBought,MATCH($A43,Inv_Mat,0)))</f>
        <v/>
      </c>
      <c r="E43" s="100">
        <f>C43*IF('Formula Master'!$D$23="D10",0.1,1)</f>
        <v/>
      </c>
      <c r="F43" s="74">
        <f>IF(E43&lt;=0,"",MAX(D43,0)/E43)</f>
        <v/>
      </c>
      <c r="G43" s="101">
        <f>IF(F43="","",FLOOR(F43/(50*YC_Density*YC_ConcPct),1))</f>
        <v/>
      </c>
      <c r="H43" s="57" t="n"/>
      <c r="I43" s="57" t="n"/>
    </row>
    <row r="44">
      <c r="A44" s="68">
        <f>'Formula Master'!$B$24</f>
        <v/>
      </c>
      <c r="B44" s="81">
        <f>'Formula Master'!$A$24</f>
        <v/>
      </c>
      <c r="C44" s="99">
        <f>'Formula Master'!$F$24</f>
        <v/>
      </c>
      <c r="D44" s="31">
        <f>IF(YC_Basis="On hand",INDEX(Inv_OnHand,MATCH($A44,Inv_Mat,0)),INDEX(Inv_GramsBought,MATCH($A44,Inv_Mat,0)))</f>
        <v/>
      </c>
      <c r="E44" s="100">
        <f>C44*IF('Formula Master'!$D$24="D10",0.1,1)</f>
        <v/>
      </c>
      <c r="F44" s="74">
        <f>IF(E44&lt;=0,"",MAX(D44,0)/E44)</f>
        <v/>
      </c>
      <c r="G44" s="101">
        <f>IF(F44="","",FLOOR(F44/(50*YC_Density*YC_ConcPct),1))</f>
        <v/>
      </c>
      <c r="H44" s="57" t="n"/>
      <c r="I44" s="57" t="n"/>
    </row>
    <row r="45">
      <c r="A45" s="68">
        <f>'Formula Master'!$B$25</f>
        <v/>
      </c>
      <c r="B45" s="81">
        <f>'Formula Master'!$A$25</f>
        <v/>
      </c>
      <c r="C45" s="99">
        <f>'Formula Master'!$F$25</f>
        <v/>
      </c>
      <c r="D45" s="31">
        <f>IF(YC_Basis="On hand",INDEX(Inv_OnHand,MATCH($A45,Inv_Mat,0)),INDEX(Inv_GramsBought,MATCH($A45,Inv_Mat,0)))</f>
        <v/>
      </c>
      <c r="E45" s="100">
        <f>C45*IF('Formula Master'!$D$25="D10",0.1,1)</f>
        <v/>
      </c>
      <c r="F45" s="74">
        <f>IF(E45&lt;=0,"",MAX(D45,0)/E45)</f>
        <v/>
      </c>
      <c r="G45" s="101">
        <f>IF(F45="","",FLOOR(F45/(50*YC_Density*YC_ConcPct),1))</f>
        <v/>
      </c>
      <c r="H45" s="57" t="n"/>
      <c r="I45" s="57" t="n"/>
    </row>
    <row r="46">
      <c r="A46" s="68">
        <f>'Formula Master'!$B$26</f>
        <v/>
      </c>
      <c r="B46" s="81">
        <f>'Formula Master'!$A$26</f>
        <v/>
      </c>
      <c r="C46" s="99">
        <f>'Formula Master'!$F$26</f>
        <v/>
      </c>
      <c r="D46" s="31">
        <f>IF(YC_Basis="On hand",INDEX(Inv_OnHand,MATCH($A46,Inv_Mat,0)),INDEX(Inv_GramsBought,MATCH($A46,Inv_Mat,0)))</f>
        <v/>
      </c>
      <c r="E46" s="100">
        <f>C46*IF('Formula Master'!$D$26="D10",0.1,1)</f>
        <v/>
      </c>
      <c r="F46" s="74">
        <f>IF(E46&lt;=0,"",MAX(D46,0)/E46)</f>
        <v/>
      </c>
      <c r="G46" s="101">
        <f>IF(F46="","",FLOOR(F46/(50*YC_Density*YC_ConcPct),1))</f>
        <v/>
      </c>
      <c r="H46" s="57" t="n"/>
      <c r="I46" s="57" t="n"/>
    </row>
    <row r="47">
      <c r="A47" s="68">
        <f>'Formula Master'!$B$27</f>
        <v/>
      </c>
      <c r="B47" s="81">
        <f>'Formula Master'!$A$27</f>
        <v/>
      </c>
      <c r="C47" s="99">
        <f>'Formula Master'!$F$27</f>
        <v/>
      </c>
      <c r="D47" s="31">
        <f>IF(YC_Basis="On hand",INDEX(Inv_OnHand,MATCH($A47,Inv_Mat,0)),INDEX(Inv_GramsBought,MATCH($A47,Inv_Mat,0)))</f>
        <v/>
      </c>
      <c r="E47" s="100">
        <f>C47*IF('Formula Master'!$D$27="D10",0.1,1)</f>
        <v/>
      </c>
      <c r="F47" s="74">
        <f>IF(E47&lt;=0,"",MAX(D47,0)/E47)</f>
        <v/>
      </c>
      <c r="G47" s="101">
        <f>IF(F47="","",FLOOR(F47/(50*YC_Density*YC_ConcPct),1))</f>
        <v/>
      </c>
      <c r="H47" s="57" t="n"/>
      <c r="I47" s="57" t="n"/>
    </row>
    <row r="48">
      <c r="A48" s="68">
        <f>'Formula Master'!$B$28</f>
        <v/>
      </c>
      <c r="B48" s="81">
        <f>'Formula Master'!$A$28</f>
        <v/>
      </c>
      <c r="C48" s="99">
        <f>'Formula Master'!$F$28</f>
        <v/>
      </c>
      <c r="D48" s="31">
        <f>IF(YC_Basis="On hand",INDEX(Inv_OnHand,MATCH($A48,Inv_Mat,0)),INDEX(Inv_GramsBought,MATCH($A48,Inv_Mat,0)))</f>
        <v/>
      </c>
      <c r="E48" s="100">
        <f>C48*IF('Formula Master'!$D$28="D10",0.1,1)</f>
        <v/>
      </c>
      <c r="F48" s="74">
        <f>IF(E48&lt;=0,"",MAX(D48,0)/E48)</f>
        <v/>
      </c>
      <c r="G48" s="101">
        <f>IF(F48="","",FLOOR(F48/(50*YC_Density*YC_ConcPct),1))</f>
        <v/>
      </c>
      <c r="H48" s="57" t="n"/>
      <c r="I48" s="57" t="n"/>
    </row>
    <row r="49">
      <c r="A49" s="68">
        <f>'Formula Master'!$B$29</f>
        <v/>
      </c>
      <c r="B49" s="81">
        <f>'Formula Master'!$A$29</f>
        <v/>
      </c>
      <c r="C49" s="99">
        <f>'Formula Master'!$F$29</f>
        <v/>
      </c>
      <c r="D49" s="31">
        <f>IF(YC_Basis="On hand",INDEX(Inv_OnHand,MATCH($A49,Inv_Mat,0)),INDEX(Inv_GramsBought,MATCH($A49,Inv_Mat,0)))</f>
        <v/>
      </c>
      <c r="E49" s="100">
        <f>C49*IF('Formula Master'!$D$29="D10",0.1,1)</f>
        <v/>
      </c>
      <c r="F49" s="74">
        <f>IF(E49&lt;=0,"",MAX(D49,0)/E49)</f>
        <v/>
      </c>
      <c r="G49" s="101">
        <f>IF(F49="","",FLOOR(F49/(50*YC_Density*YC_ConcPct),1))</f>
        <v/>
      </c>
      <c r="H49" s="57" t="n"/>
      <c r="I49" s="57" t="n"/>
    </row>
    <row r="50">
      <c r="A50" s="68">
        <f>'Formula Master'!$B$30</f>
        <v/>
      </c>
      <c r="B50" s="81">
        <f>'Formula Master'!$A$30</f>
        <v/>
      </c>
      <c r="C50" s="99">
        <f>'Formula Master'!$F$30</f>
        <v/>
      </c>
      <c r="D50" s="31">
        <f>IF(YC_Basis="On hand",INDEX(Inv_OnHand,MATCH($A50,Inv_Mat,0)),INDEX(Inv_GramsBought,MATCH($A50,Inv_Mat,0)))</f>
        <v/>
      </c>
      <c r="E50" s="100">
        <f>C50*IF('Formula Master'!$D$30="D10",0.1,1)</f>
        <v/>
      </c>
      <c r="F50" s="74">
        <f>IF(E50&lt;=0,"",MAX(D50,0)/E50)</f>
        <v/>
      </c>
      <c r="G50" s="101">
        <f>IF(F50="","",FLOOR(F50/(50*YC_Density*YC_ConcPct),1))</f>
        <v/>
      </c>
      <c r="H50" s="57" t="n"/>
      <c r="I50" s="57" t="n"/>
    </row>
    <row r="51">
      <c r="A51" s="68">
        <f>'Formula Master'!$B$31</f>
        <v/>
      </c>
      <c r="B51" s="81">
        <f>'Formula Master'!$A$31</f>
        <v/>
      </c>
      <c r="C51" s="99">
        <f>'Formula Master'!$F$31</f>
        <v/>
      </c>
      <c r="D51" s="31">
        <f>IF(YC_Basis="On hand",INDEX(Inv_OnHand,MATCH($A51,Inv_Mat,0)),INDEX(Inv_GramsBought,MATCH($A51,Inv_Mat,0)))</f>
        <v/>
      </c>
      <c r="E51" s="100">
        <f>C51*IF('Formula Master'!$D$31="D10",0.1,1)</f>
        <v/>
      </c>
      <c r="F51" s="74">
        <f>IF(E51&lt;=0,"",MAX(D51,0)/E51)</f>
        <v/>
      </c>
      <c r="G51" s="101">
        <f>IF(F51="","",FLOOR(F51/(50*YC_Density*YC_ConcPct),1))</f>
        <v/>
      </c>
      <c r="H51" s="57" t="n"/>
      <c r="I51" s="57" t="n"/>
    </row>
    <row r="52">
      <c r="A52" s="69" t="inlineStr">
        <is>
          <t>DPG (Dipropylene Glycol)</t>
        </is>
      </c>
      <c r="B52" s="81" t="inlineStr">
        <is>
          <t>carrier</t>
        </is>
      </c>
      <c r="C52" s="99">
        <f>D10ActivePct</f>
        <v/>
      </c>
      <c r="D52" s="31">
        <f>YC_DPGOnHand</f>
        <v/>
      </c>
      <c r="E52" s="100">
        <f>D10ActivePct*0.9</f>
        <v/>
      </c>
      <c r="F52" s="74">
        <f>IF(E52&lt;=0,"",MAX(D52,0)/E52)</f>
        <v/>
      </c>
      <c r="G52" s="101">
        <f>IF(F52="","",FLOOR(F52/(50*YC_Density*YC_ConcPct),1))</f>
        <v/>
      </c>
      <c r="H52" s="57" t="n"/>
      <c r="I52" s="57" t="n"/>
    </row>
  </sheetData>
  <sheetProtection selectLockedCells="0" selectUnlockedCells="0" sheet="1" objects="0" insertRows="1" insertHyperlinks="1" autoFilter="1" scenarios="0" formatColumns="0" deleteColumns="1" insertColumns="1" pivotTables="1" deleteRows="1" formatCells="0" formatRows="0" sort="1"/>
  <mergeCells count="18">
    <mergeCell ref="A4:B4"/>
    <mergeCell ref="A2:I2"/>
    <mergeCell ref="A22:I22"/>
    <mergeCell ref="A7:B7"/>
    <mergeCell ref="D4:I4"/>
    <mergeCell ref="D5:I5"/>
    <mergeCell ref="A13:I13"/>
    <mergeCell ref="A14:I14"/>
    <mergeCell ref="F11:I11"/>
    <mergeCell ref="A5:B5"/>
    <mergeCell ref="A1:I1"/>
    <mergeCell ref="D7:I7"/>
    <mergeCell ref="A9:I9"/>
    <mergeCell ref="A3:I3"/>
    <mergeCell ref="G26:I26"/>
    <mergeCell ref="D6:I6"/>
    <mergeCell ref="A6:B6"/>
    <mergeCell ref="A24:I24"/>
  </mergeCells>
  <conditionalFormatting sqref="A16:I21">
    <cfRule type="expression" priority="1" dxfId="3">
      <formula>$F16=0</formula>
    </cfRule>
  </conditionalFormatting>
  <conditionalFormatting sqref="A27:I52">
    <cfRule type="expression" priority="2" dxfId="3">
      <formula>AND($F27&lt;&gt;"",$F27=$B$11)</formula>
    </cfRule>
  </conditionalFormatting>
  <dataValidations count="4">
    <dataValidation sqref="C4" showDropDown="0" showInputMessage="0" showErrorMessage="0" allowBlank="0" error="Enter a fraction between 2% and 35%, e.g. 0.28" type="decimal" operator="between">
      <formula1>0.02</formula1>
      <formula2>0.35</formula2>
    </dataValidation>
    <dataValidation sqref="C5" showDropDown="0" showInputMessage="0" showErrorMessage="0" allowBlank="0" type="decimal" operator="between">
      <formula1>0.5</formula1>
      <formula2>1.2</formula2>
    </dataValidation>
    <dataValidation sqref="C6" showDropDown="0" showInputMessage="0" showErrorMessage="0" allowBlank="0" type="decimal" operator="between">
      <formula1>0</formula1>
      <formula2>0.3</formula2>
    </dataValidation>
    <dataValidation sqref="C7" showDropDown="0" showInputMessage="0" showErrorMessage="0" allowBlank="0" type="list">
      <formula1>"On hand,Purchased"</formula1>
    </dataValidation>
  </dataValidations>
  <pageMargins left="0.75" right="0.75" top="1" bottom="1" header="0.5" footer="0.5"/>
</worksheet>
</file>

<file path=xl/worksheets/sheet10.xml><?xml version="1.0" encoding="utf-8"?>
<worksheet xmlns="http://schemas.openxmlformats.org/spreadsheetml/2006/main">
  <sheetPr>
    <tabColor rgb="008A8072"/>
    <outlinePr summaryBelow="1" summaryRight="1"/>
    <pageSetUpPr/>
  </sheetPr>
  <dimension ref="A1:I43"/>
  <sheetViews>
    <sheetView showGridLines="0" workbookViewId="0">
      <selection activeCell="A1" sqref="A1"/>
    </sheetView>
  </sheetViews>
  <sheetFormatPr baseColWidth="8" defaultRowHeight="15"/>
  <cols>
    <col width="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7" t="inlineStr">
        <is>
          <t>PROCESS REFERENCE — SOPs</t>
        </is>
      </c>
    </row>
    <row r="2">
      <c r="A2" s="18" t="inlineStr">
        <is>
          <t>Concise bench procedures. Work clean, work in grams, label everything.</t>
        </is>
      </c>
      <c r="B2" s="19" t="n"/>
      <c r="C2" s="19" t="n"/>
      <c r="D2" s="19" t="n"/>
      <c r="E2" s="19" t="n"/>
      <c r="F2" s="19" t="n"/>
      <c r="G2" s="19" t="n"/>
      <c r="H2" s="19" t="n"/>
      <c r="I2" s="19" t="n"/>
    </row>
    <row r="4" ht="18" customHeight="1">
      <c r="A4" s="7" t="inlineStr">
        <is>
          <t>GOLDEN RULES</t>
        </is>
      </c>
      <c r="B4" s="8" t="n"/>
      <c r="C4" s="8" t="n"/>
      <c r="D4" s="8" t="n"/>
      <c r="E4" s="8" t="n"/>
      <c r="F4" s="8" t="n"/>
      <c r="G4" s="8" t="n"/>
      <c r="H4" s="8" t="n"/>
      <c r="I4" s="8" t="n"/>
    </row>
    <row r="5" ht="16" customHeight="1">
      <c r="B5" s="102" t="inlineStr">
        <is>
          <t>Weigh in GRAMS on a 0.01 g scale — never count drops. Record every weight as you go.</t>
        </is>
      </c>
    </row>
    <row r="6" ht="28" customHeight="1">
      <c r="B6" s="102" t="inlineStr">
        <is>
          <t>Sanitize glassware and tools with alcohol before each session. Change one variable at a time between trials.</t>
        </is>
      </c>
    </row>
    <row r="7" ht="16" customHeight="1">
      <c r="B7" s="102" t="inlineStr">
        <is>
          <t>Label every container: ASMR · content · strength · date. Store everything dark and cool.</t>
        </is>
      </c>
    </row>
    <row r="9" ht="18" customHeight="1">
      <c r="A9" s="7" t="inlineStr">
        <is>
          <t>EXTRAIT DE PARFUM 28% — THE MAIN PROCEDURE (alcohol)</t>
        </is>
      </c>
      <c r="B9" s="8" t="n"/>
      <c r="C9" s="8" t="n"/>
      <c r="D9" s="8" t="n"/>
      <c r="E9" s="8" t="n"/>
      <c r="F9" s="8" t="n"/>
      <c r="G9" s="8" t="n"/>
      <c r="H9" s="8" t="n"/>
      <c r="I9" s="8" t="n"/>
    </row>
    <row r="10" ht="28" customHeight="1">
      <c r="B10" s="102" t="inlineStr">
        <is>
          <t>For a 50 ml bottle you will make 42.5 g of juice = 11.9 g concentrate + 30.6 g alcohol. Tip: making the full 5-bottle run at once (≈59.5 g concentrate) makes the tiny weights easier and wastes less.</t>
        </is>
      </c>
    </row>
    <row r="11" ht="42" customHeight="1">
      <c r="B11" s="102" t="inlineStr">
        <is>
          <t>STEP 1 · PREP D10 DILUTIONS (a day ahead). Five ingredients are used as a 10%-in-DPG dilution: Pink Peppercorn, Floralozone, Safraleine, and (if kept) Irone Alpha + Javanol. For each, weigh 1.0 g neat + 9.0 g DPG = 10 g. See the Dilution Prep tab.</t>
        </is>
      </c>
    </row>
    <row r="12" ht="28" customHeight="1">
      <c r="B12" s="102" t="inlineStr">
        <is>
          <t>STEP 2 · SET THE BATCH. On the Batch Calculator choose Extrait de Parfum, 50 ml, 28%. Print the Batch Sheet (one A4 page).</t>
        </is>
      </c>
    </row>
    <row r="13" ht="42" customHeight="1">
      <c r="B13" s="102" t="inlineStr">
        <is>
          <t>STEP 3 · WEIGH THE CONCENTRATE, base first. Tare a clean glass beaker on a 0.01 g scale. Weigh BASE → HEART → TOP exactly as printed, taring between each and ticking every line. Weigh the D10 items as their dilution weight (the sheet's 'Weigh (g)' column).</t>
        </is>
      </c>
    </row>
    <row r="14" ht="28" customHeight="1">
      <c r="B14" s="102" t="inlineStr">
        <is>
          <t>STEP 4 · MARRY. Stir gently 2–3 min until uniform. Cap and rest the neat concentrate 24–48 h in the dark — this lets the accord bloom before alcohol.</t>
        </is>
      </c>
    </row>
    <row r="15" ht="28" customHeight="1">
      <c r="B15" s="102" t="inlineStr">
        <is>
          <t>STEP 5 · DILUTE. Weigh 30.6 g alcohol (190 proof SDA 40B) into the concentrate — not the other way round. Optional: up to 3% distilled water. Stir 1–2 min, cap.</t>
        </is>
      </c>
    </row>
    <row r="16" ht="28" customHeight="1">
      <c r="B16" s="102" t="inlineStr">
        <is>
          <t>STEP 6 · MACERATE 4–8 weeks, dark and cool (a cupboard is fine). Swirl briefly once a day the first week. At 28% the extra weeks genuinely deepen the drydown — do not rush this.</t>
        </is>
      </c>
    </row>
    <row r="17" ht="16" customHeight="1">
      <c r="B17" s="102" t="inlineStr">
        <is>
          <t>STEP 7 · COLD-CRASH. Chill 24 h in the fridge (~4 °C) so waxes/insolubles drop out.</t>
        </is>
      </c>
    </row>
    <row r="18" ht="16" customHeight="1">
      <c r="B18" s="102" t="inlineStr">
        <is>
          <t>STEP 8 · FILTER cold through a coffee filter (or 0.45 µm) into the final bottle while still cold.</t>
        </is>
      </c>
    </row>
    <row r="19" ht="28" customHeight="1">
      <c r="B19" s="102" t="inlineStr">
        <is>
          <t>STEP 9 · BOTTLE, label, and set the batch to 'Bottled' in the Production Log. Patch-test on skin before regular wear.</t>
        </is>
      </c>
    </row>
    <row r="21" ht="18" customHeight="1">
      <c r="A21" s="7" t="inlineStr">
        <is>
          <t>ALCOHOL BODY MIST</t>
        </is>
      </c>
      <c r="B21" s="8" t="n"/>
      <c r="C21" s="8" t="n"/>
      <c r="D21" s="8" t="n"/>
      <c r="E21" s="8" t="n"/>
      <c r="F21" s="8" t="n"/>
      <c r="G21" s="8" t="n"/>
      <c r="H21" s="8" t="n"/>
      <c r="I21" s="8" t="n"/>
    </row>
    <row r="22" ht="28" customHeight="1">
      <c r="B22" s="102" t="inlineStr">
        <is>
          <t>1 · Same juice at ~5%. Weigh concentrate, add optional glycerin (2–3%) and distilled water (5–10%), then alcohol.</t>
        </is>
      </c>
    </row>
    <row r="23" ht="16" customHeight="1">
      <c r="B23" s="102" t="inlineStr">
        <is>
          <t>2 · Macerate 1–2 weeks minimum (longer is smoother), cold-crash, filter, bottle.</t>
        </is>
      </c>
    </row>
    <row r="25" ht="18" customHeight="1">
      <c r="A25" s="7" t="inlineStr">
        <is>
          <t>WATER-BASED MIST (alcohol-free)</t>
        </is>
      </c>
      <c r="B25" s="8" t="n"/>
      <c r="C25" s="8" t="n"/>
      <c r="D25" s="8" t="n"/>
      <c r="E25" s="8" t="n"/>
      <c r="F25" s="8" t="n"/>
      <c r="G25" s="8" t="n"/>
      <c r="H25" s="8" t="n"/>
      <c r="I25" s="8" t="n"/>
    </row>
    <row r="26" ht="16" customHeight="1">
      <c r="B26" s="102" t="inlineStr">
        <is>
          <t>1 · Weigh fragrance concentrate into a clean bottle.</t>
        </is>
      </c>
    </row>
    <row r="27" ht="16" customHeight="1">
      <c r="B27" s="102" t="inlineStr">
        <is>
          <t>2 · Add Polysorbate 20 at 4–6 × the fragrance weight. Mix until completely uniform — THIS ORDER MATTERS.</t>
        </is>
      </c>
    </row>
    <row r="28" ht="16" customHeight="1">
      <c r="B28" s="102" t="inlineStr">
        <is>
          <t>3 · Add glycerin, then the distilled water slowly while swirling.</t>
        </is>
      </c>
    </row>
    <row r="29" ht="16" customHeight="1">
      <c r="B29" s="102" t="inlineStr">
        <is>
          <t>4 · Add the broad-spectrum preservative at its recommended dose (default 0.8%). Shake well.</t>
        </is>
      </c>
    </row>
    <row r="30" ht="28" customHeight="1">
      <c r="B30" s="102" t="inlineStr">
        <is>
          <t>5 · Check clarity after 24 h — if cloudy, increase solubilizer toward 6×. Patch-test. Use within 6–12 months.</t>
        </is>
      </c>
    </row>
    <row r="32" ht="18" customHeight="1">
      <c r="A32" s="7" t="inlineStr">
        <is>
          <t>CREAM — ROUTE 1 (scent an unscented base)</t>
        </is>
      </c>
      <c r="B32" s="8" t="n"/>
      <c r="C32" s="8" t="n"/>
      <c r="D32" s="8" t="n"/>
      <c r="E32" s="8" t="n"/>
      <c r="F32" s="8" t="n"/>
      <c r="G32" s="8" t="n"/>
      <c r="H32" s="8" t="n"/>
      <c r="I32" s="8" t="n"/>
    </row>
    <row r="33" ht="16" customHeight="1">
      <c r="B33" s="102" t="inlineStr">
        <is>
          <t>1 · Weigh the preserved unscented cream base. Add fragrance at 0.8–1.2% (default 1.0%).</t>
        </is>
      </c>
    </row>
    <row r="34" ht="28" customHeight="1">
      <c r="B34" s="102" t="inlineStr">
        <is>
          <t>2 · Stir in COLD, thoroughly, with a clean spatula. No heat — the base is already preserved and emulsified.</t>
        </is>
      </c>
    </row>
    <row r="35" ht="16" customHeight="1">
      <c r="B35" s="102" t="inlineStr">
        <is>
          <t>3 · Rest 24 h, check scent and texture, jar and label.</t>
        </is>
      </c>
    </row>
    <row r="37" ht="18" customHeight="1">
      <c r="A37" s="7" t="inlineStr">
        <is>
          <t>CREAM — ROUTE 2 (from scratch, 100 g)</t>
        </is>
      </c>
      <c r="B37" s="8" t="n"/>
      <c r="C37" s="8" t="n"/>
      <c r="D37" s="8" t="n"/>
      <c r="E37" s="8" t="n"/>
      <c r="F37" s="8" t="n"/>
      <c r="G37" s="8" t="n"/>
      <c r="H37" s="8" t="n"/>
      <c r="I37" s="8" t="n"/>
    </row>
    <row r="38" ht="16" customHeight="1">
      <c r="B38" s="102" t="inlineStr">
        <is>
          <t>1 · Water phase: distilled water + glycerin. Oil phase: E-wax NF, cetearyl alcohol, carrier oil, butter.</t>
        </is>
      </c>
    </row>
    <row r="39" ht="16" customHeight="1">
      <c r="B39" s="102" t="inlineStr">
        <is>
          <t>2 · Heat BOTH phases to 70–75 °C, within 5 °C of each other.</t>
        </is>
      </c>
    </row>
    <row r="40" ht="16" customHeight="1">
      <c r="B40" s="102" t="inlineStr">
        <is>
          <t>3 · Combine and stick-blend 2–3 min until a uniform emulsion forms. Stir while cooling.</t>
        </is>
      </c>
    </row>
    <row r="41" ht="16" customHeight="1">
      <c r="B41" s="102" t="inlineStr">
        <is>
          <t>4 · Below 40 °C add: preservative (1%), fragrance (1%), vitamin E (0.5%). Blend briefly.</t>
        </is>
      </c>
    </row>
    <row r="42" ht="16" customHeight="1">
      <c r="B42" s="102" t="inlineStr">
        <is>
          <t>5 · Check pH — target 5.0–5.5 (adjust with a drop of lactic/citric acid solution if high).</t>
        </is>
      </c>
    </row>
    <row r="43" ht="16" customHeight="1">
      <c r="B43" s="102" t="inlineStr">
        <is>
          <t>6 · Jar, label, patch-test. Water-containing cream = preservative is NON-NEGOTIABLE.</t>
        </is>
      </c>
    </row>
  </sheetData>
  <sheetProtection selectLockedCells="0" selectUnlockedCells="0" sheet="1" objects="0" insertRows="1" insertHyperlinks="1" autoFilter="1" scenarios="0" formatColumns="0" deleteColumns="1" insertColumns="1" pivotTables="1" deleteRows="1" formatCells="0" formatRows="0" sort="1"/>
  <mergeCells count="37">
    <mergeCell ref="A25:I25"/>
    <mergeCell ref="B7:I7"/>
    <mergeCell ref="A37:I37"/>
    <mergeCell ref="B16:I16"/>
    <mergeCell ref="B22:I22"/>
    <mergeCell ref="B27:I27"/>
    <mergeCell ref="A21:I21"/>
    <mergeCell ref="B43:I43"/>
    <mergeCell ref="B12:I12"/>
    <mergeCell ref="B18:I18"/>
    <mergeCell ref="A2:I2"/>
    <mergeCell ref="B39:I39"/>
    <mergeCell ref="B11:I11"/>
    <mergeCell ref="A32:I32"/>
    <mergeCell ref="B42:I42"/>
    <mergeCell ref="B14:I14"/>
    <mergeCell ref="B23:I23"/>
    <mergeCell ref="A4:I4"/>
    <mergeCell ref="B17:I17"/>
    <mergeCell ref="B13:I13"/>
    <mergeCell ref="B29:I29"/>
    <mergeCell ref="B38:I38"/>
    <mergeCell ref="B34:I34"/>
    <mergeCell ref="B10:I10"/>
    <mergeCell ref="B28:I28"/>
    <mergeCell ref="A9:I9"/>
    <mergeCell ref="B19:I19"/>
    <mergeCell ref="B40:I40"/>
    <mergeCell ref="B30:I30"/>
    <mergeCell ref="B15:I15"/>
    <mergeCell ref="B33:I33"/>
    <mergeCell ref="B6:I6"/>
    <mergeCell ref="A1:I1"/>
    <mergeCell ref="B5:I5"/>
    <mergeCell ref="B41:I41"/>
    <mergeCell ref="B35:I35"/>
    <mergeCell ref="B26:I26"/>
  </mergeCells>
  <pageMargins left="0.75" right="0.75" top="1" bottom="1" header="0.5" footer="0.5"/>
</worksheet>
</file>

<file path=xl/worksheets/sheet11.xml><?xml version="1.0" encoding="utf-8"?>
<worksheet xmlns="http://schemas.openxmlformats.org/spreadsheetml/2006/main">
  <sheetPr>
    <tabColor rgb="00A93226"/>
    <outlinePr summaryBelow="1" summaryRight="1"/>
    <pageSetUpPr/>
  </sheetPr>
  <dimension ref="A1:I22"/>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7" t="inlineStr">
        <is>
          <t>SAFETY NOTES</t>
        </is>
      </c>
    </row>
    <row r="2">
      <c r="A2" s="18" t="inlineStr">
        <is>
          <t>Read before every production session.</t>
        </is>
      </c>
      <c r="B2" s="19" t="n"/>
      <c r="C2" s="19" t="n"/>
      <c r="D2" s="19" t="n"/>
      <c r="E2" s="19" t="n"/>
      <c r="F2" s="19" t="n"/>
      <c r="G2" s="19" t="n"/>
      <c r="H2" s="19" t="n"/>
      <c r="I2" s="19" t="n"/>
    </row>
    <row r="4" ht="28" customHeight="1">
      <c r="A4" s="103" t="inlineStr">
        <is>
          <t>CRITICAL</t>
        </is>
      </c>
      <c r="B4" s="102" t="inlineStr">
        <is>
          <t>Bergamot Essential Oil is PHOTOTOXIC. Skin products use the Bergamot Accord ONLY. The EO is for fabric scenting, or at most 0.4% of a finished skin product.</t>
        </is>
      </c>
    </row>
    <row r="6" ht="28" customHeight="1">
      <c r="A6" s="103" t="inlineStr">
        <is>
          <t>CRITICAL</t>
        </is>
      </c>
      <c r="B6" s="102" t="inlineStr">
        <is>
          <t>Every WATER-containing product (water-based mist, from-scratch cream) REQUIRES a broad-spectrum preservative. Alcohol-based products (EDP, Extrait, alcohol mist) do not.</t>
        </is>
      </c>
    </row>
    <row r="8" ht="18" customHeight="1">
      <c r="A8" s="103" t="inlineStr">
        <is>
          <t>CRITICAL</t>
        </is>
      </c>
      <c r="B8" s="102" t="inlineStr">
        <is>
          <t>Alcohol is FLAMMABLE. No open flame, no smoking, ventilate the workspace, keep containers closed.</t>
        </is>
      </c>
    </row>
    <row r="10" ht="18" customHeight="1">
      <c r="A10" s="104" t="inlineStr">
        <is>
          <t>RULE</t>
        </is>
      </c>
      <c r="B10" s="102" t="inlineStr">
        <is>
          <t>Use only ONE amber material — Amberxan (Ambroxan). Do not add a second ambroxan-type material.</t>
        </is>
      </c>
    </row>
    <row r="12" ht="28" customHeight="1">
      <c r="A12" s="104" t="inlineStr">
        <is>
          <t>RULE</t>
        </is>
      </c>
      <c r="B12" s="102" t="inlineStr">
        <is>
          <t>Leave-on creams are a stricter IFRA category than fine fragrance: keep cream fragrance ≤ 1.2% and verify the final formula against the CURRENT IFRA standards for the product category before any commercial use.</t>
        </is>
      </c>
    </row>
    <row r="14" ht="18" customHeight="1">
      <c r="A14" s="104" t="inlineStr">
        <is>
          <t>RULE</t>
        </is>
      </c>
      <c r="B14" s="102" t="inlineStr">
        <is>
          <t>Always PATCH-TEST the finished, diluted product on a small skin area for 24–48 h before regular wear.</t>
        </is>
      </c>
    </row>
    <row r="16" ht="18" customHeight="1">
      <c r="A16" s="104" t="inlineStr">
        <is>
          <t>RULE</t>
        </is>
      </c>
      <c r="B16" s="102" t="inlineStr">
        <is>
          <t>Weigh in grams — never count drops. Drop size varies by pipette and viscosity; grams are reproducible.</t>
        </is>
      </c>
    </row>
    <row r="18" ht="28" customHeight="1">
      <c r="A18" s="105" t="inlineStr">
        <is>
          <t>NOTE</t>
        </is>
      </c>
      <c r="B18" s="102" t="inlineStr">
        <is>
          <t>Alcohol choice: SDA 40B is phthalate-free (denatured with Bitrex). SDA 39C contains diethyl phthalate — that is why 40B was chosen.</t>
        </is>
      </c>
    </row>
    <row r="20" ht="28" customHeight="1">
      <c r="A20" s="105" t="inlineStr">
        <is>
          <t>NOTE</t>
        </is>
      </c>
      <c r="B20" s="102" t="inlineStr">
        <is>
          <t>Handle neat aroma chemicals with nitrile gloves and eye protection; avoid inhaling vapors; wipe spills immediately with alcohol.</t>
        </is>
      </c>
    </row>
    <row r="22" ht="18" customHeight="1">
      <c r="A22" s="105" t="inlineStr">
        <is>
          <t>NOTE</t>
        </is>
      </c>
      <c r="B22" s="102" t="inlineStr">
        <is>
          <t>Keep all materials and finished products away from children and pets. Never store near food.</t>
        </is>
      </c>
    </row>
  </sheetData>
  <sheetProtection selectLockedCells="0" selectUnlockedCells="0" sheet="1" objects="0" insertRows="1" insertHyperlinks="1" autoFilter="1" scenarios="0" formatColumns="0" deleteColumns="1" insertColumns="1" pivotTables="1" deleteRows="1" formatCells="0" formatRows="0" sort="1"/>
  <mergeCells count="12">
    <mergeCell ref="B12:I12"/>
    <mergeCell ref="B18:I18"/>
    <mergeCell ref="A2:I2"/>
    <mergeCell ref="B6:I6"/>
    <mergeCell ref="B16:I16"/>
    <mergeCell ref="B20:I20"/>
    <mergeCell ref="B10:I10"/>
    <mergeCell ref="A1:I1"/>
    <mergeCell ref="B22:I22"/>
    <mergeCell ref="B14:I14"/>
    <mergeCell ref="B8:I8"/>
    <mergeCell ref="B4:I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Format</t>
        </is>
      </c>
      <c r="B1" t="inlineStr">
        <is>
          <t>Default conc</t>
        </is>
      </c>
      <c r="C1" t="inlineStr">
        <is>
          <t>Min</t>
        </is>
      </c>
      <c r="D1" t="inlineStr">
        <is>
          <t>Max</t>
        </is>
      </c>
      <c r="E1" t="inlineStr">
        <is>
          <t>Density g/ml</t>
        </is>
      </c>
      <c r="G1" t="inlineStr">
        <is>
          <t>Status</t>
        </is>
      </c>
      <c r="H1" t="inlineStr">
        <is>
          <t>YesNo</t>
        </is>
      </c>
      <c r="I1" t="inlineStr">
        <is>
          <t>Unit</t>
        </is>
      </c>
    </row>
    <row r="2">
      <c r="A2" t="inlineStr">
        <is>
          <t>Eau de Parfum</t>
        </is>
      </c>
      <c r="B2" t="n">
        <v>0.2</v>
      </c>
      <c r="C2" t="n">
        <v>0.12</v>
      </c>
      <c r="D2" t="n">
        <v>0.3</v>
      </c>
      <c r="E2" t="n">
        <v>0.85</v>
      </c>
      <c r="G2" t="inlineStr">
        <is>
          <t>Macerating</t>
        </is>
      </c>
      <c r="H2" t="inlineStr">
        <is>
          <t>YES</t>
        </is>
      </c>
      <c r="I2" t="inlineStr">
        <is>
          <t>ml</t>
        </is>
      </c>
    </row>
    <row r="3">
      <c r="A3" t="inlineStr">
        <is>
          <t>Extrait de Parfum</t>
        </is>
      </c>
      <c r="B3" t="n">
        <v>0.28</v>
      </c>
      <c r="C3" t="n">
        <v>0.2</v>
      </c>
      <c r="D3" t="n">
        <v>0.35</v>
      </c>
      <c r="E3" t="n">
        <v>0.85</v>
      </c>
      <c r="G3" t="inlineStr">
        <is>
          <t>Filtering</t>
        </is>
      </c>
      <c r="H3" t="inlineStr">
        <is>
          <t>NO</t>
        </is>
      </c>
      <c r="I3" t="inlineStr">
        <is>
          <t>g</t>
        </is>
      </c>
    </row>
    <row r="4">
      <c r="A4" t="inlineStr">
        <is>
          <t>Alcohol Body Mist</t>
        </is>
      </c>
      <c r="B4" t="n">
        <v>0.05</v>
      </c>
      <c r="C4" t="n">
        <v>0.03</v>
      </c>
      <c r="D4" t="n">
        <v>0.06</v>
      </c>
      <c r="E4" t="n">
        <v>0.87</v>
      </c>
      <c r="G4" t="inlineStr">
        <is>
          <t>Bottled</t>
        </is>
      </c>
    </row>
    <row r="5">
      <c r="A5" t="inlineStr">
        <is>
          <t>Water-Based Mist</t>
        </is>
      </c>
      <c r="B5" t="n">
        <v>0.025</v>
      </c>
      <c r="C5" t="n">
        <v>0.02</v>
      </c>
      <c r="D5" t="n">
        <v>0.03</v>
      </c>
      <c r="E5" t="n">
        <v>0.99</v>
      </c>
    </row>
    <row r="6">
      <c r="A6" t="inlineStr">
        <is>
          <t>Cream Route 1 (scented base)</t>
        </is>
      </c>
      <c r="B6" t="n">
        <v>0.01</v>
      </c>
      <c r="C6" t="n">
        <v>0.008</v>
      </c>
      <c r="D6" t="n">
        <v>0.012</v>
      </c>
      <c r="E6" t="n">
        <v>0.98</v>
      </c>
    </row>
    <row r="7">
      <c r="A7" t="inlineStr">
        <is>
          <t>Cream Route 2 (from scratch)</t>
        </is>
      </c>
      <c r="B7" t="n">
        <v>0.01</v>
      </c>
      <c r="C7" t="n">
        <v>0.008</v>
      </c>
      <c r="D7" t="n">
        <v>0.012</v>
      </c>
      <c r="E7" t="n">
        <v>0.98</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ASMR</dc:creator>
  <dc:title xmlns:dc="http://purl.org/dc/elements/1.1/">ASMR Production Suite</dc:title>
  <dcterms:created xmlns:dcterms="http://purl.org/dc/terms/" xmlns:xsi="http://www.w3.org/2001/XMLSchema-instance" xsi:type="dcterms:W3CDTF">2026-01-01T00:00:00Z</dcterms:created>
  <dcterms:modified xmlns:dcterms="http://purl.org/dc/terms/" xmlns:xsi="http://www.w3.org/2001/XMLSchema-instance" xsi:type="dcterms:W3CDTF">2026-07-09T19:06:38Z</dcterms:modified>
</cp:coreProperties>
</file>