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" sheetId="1" state="visible" r:id="rId1"/>
    <sheet xmlns:r="http://schemas.openxmlformats.org/officeDocument/2006/relationships" name="Inventory &amp; Links" sheetId="2" state="visible" r:id="rId2"/>
    <sheet xmlns:r="http://schemas.openxmlformats.org/officeDocument/2006/relationships" name="Step-by-St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 g&quot;"/>
    <numFmt numFmtId="165" formatCode="0.0%"/>
    <numFmt numFmtId="166" formatCode="&quot;SAR &quot;#,##0.00"/>
  </numFmts>
  <fonts count="9">
    <font>
      <name val="Calibri"/>
      <family val="2"/>
      <color theme="1"/>
      <sz val="11"/>
      <scheme val="minor"/>
    </font>
    <font>
      <name val="Arial"/>
      <b val="1"/>
      <color rgb="00404040"/>
      <sz val="18"/>
    </font>
    <font>
      <name val="Arial"/>
      <i val="1"/>
      <color rgb="00666666"/>
      <sz val="10"/>
    </font>
    <font>
      <name val="Arial"/>
      <b val="1"/>
      <color rgb="00FFFFFF"/>
      <sz val="9"/>
    </font>
    <font>
      <name val="Arial"/>
      <b val="1"/>
      <color rgb="00404040"/>
      <sz val="9"/>
    </font>
    <font>
      <name val="Arial"/>
      <b val="1"/>
      <color rgb="001F4E79"/>
      <sz val="9"/>
    </font>
    <font>
      <name val="Arial"/>
      <color rgb="00404040"/>
      <sz val="9"/>
    </font>
    <font>
      <name val="Arial"/>
      <color rgb="00666666"/>
      <sz val="8"/>
    </font>
    <font>
      <name val="Arial"/>
      <color rgb="001155CC"/>
      <sz val="8"/>
      <u val="single"/>
    </font>
  </fonts>
  <fills count="7">
    <fill>
      <patternFill/>
    </fill>
    <fill>
      <patternFill patternType="gray125"/>
    </fill>
    <fill>
      <patternFill patternType="solid">
        <fgColor rgb="00C9A961"/>
      </patternFill>
    </fill>
    <fill>
      <patternFill patternType="solid">
        <fgColor rgb="00FFF8D8"/>
      </patternFill>
    </fill>
    <fill>
      <patternFill patternType="solid">
        <fgColor rgb="002F2F2F"/>
      </patternFill>
    </fill>
    <fill>
      <patternFill patternType="solid">
        <fgColor rgb="00EBDFC6"/>
      </patternFill>
    </fill>
    <fill>
      <patternFill patternType="solid">
        <fgColor rgb="00F3EBDD"/>
      </patternFill>
    </fill>
  </fills>
  <borders count="3">
    <border>
      <left/>
      <right/>
      <top/>
      <bottom/>
      <diagonal/>
    </border>
    <border>
      <left style="thin">
        <color rgb="00D9D0BD"/>
      </left>
      <right style="thin">
        <color rgb="00D9D0BD"/>
      </right>
      <top style="thin">
        <color rgb="00D9D0BD"/>
      </top>
      <bottom style="thin">
        <color rgb="00D9D0BD"/>
      </bottom>
    </border>
    <border>
      <left style="thin">
        <color rgb="00C9A961"/>
      </left>
      <right style="thin">
        <color rgb="00C9A961"/>
      </right>
      <top style="thin">
        <color rgb="00C9A961"/>
      </top>
      <bottom style="thin">
        <color rgb="00C9A96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164" fontId="5" fillId="3" borderId="2" applyAlignment="1" applyProtection="1" pivotButton="0" quotePrefix="0" xfId="0">
      <alignment horizontal="center" vertical="center"/>
      <protection locked="0" hidden="0"/>
    </xf>
    <xf numFmtId="165" fontId="5" fillId="3" borderId="2" applyAlignment="1" applyProtection="1" pivotButton="0" quotePrefix="0" xfId="0">
      <alignment horizontal="center" vertical="center"/>
      <protection locked="0" hidden="0"/>
    </xf>
    <xf numFmtId="166" fontId="5" fillId="3" borderId="2" applyAlignment="1" applyProtection="1" pivotButton="0" quotePrefix="0" xfId="0">
      <alignment horizontal="center" vertical="center"/>
      <protection locked="0" hidden="0"/>
    </xf>
    <xf numFmtId="0" fontId="3" fillId="4" borderId="1" applyAlignment="1" applyProtection="1" pivotButton="0" quotePrefix="0" xfId="0">
      <alignment horizontal="center" vertical="center" wrapText="1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/>
      <protection locked="0" hidden="0"/>
    </xf>
    <xf numFmtId="166" fontId="6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5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5" borderId="1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1" fontId="6" fillId="0" borderId="1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6" fontId="6" fillId="0" borderId="1" applyAlignment="1" applyProtection="1" pivotButton="0" quotePrefix="0" xfId="0">
      <alignment horizontal="center" vertical="center"/>
      <protection locked="0" hidden="0"/>
    </xf>
    <xf numFmtId="2" fontId="6" fillId="0" borderId="1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left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4" fillId="6" borderId="1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terji.com/" TargetMode="External" Id="rId1"/><Relationship Type="http://schemas.openxmlformats.org/officeDocument/2006/relationships/hyperlink" Target="https://iterji.com/" TargetMode="External" Id="rId2"/><Relationship Type="http://schemas.openxmlformats.org/officeDocument/2006/relationships/hyperlink" Target="https://iterji.com/" TargetMode="External" Id="rId3"/><Relationship Type="http://schemas.openxmlformats.org/officeDocument/2006/relationships/hyperlink" Target="https://iterji.com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6" customWidth="1" min="4" max="4"/>
    <col width="15" customWidth="1" min="5" max="5"/>
    <col width="58" customWidth="1" min="6" max="6"/>
    <col width="18" customWidth="1" min="7" max="7"/>
    <col width="18" customWidth="1" min="8" max="8"/>
  </cols>
  <sheetData>
    <row r="1" ht="28" customHeight="1">
      <c r="A1" s="1" t="inlineStr">
        <is>
          <t>ASMR Cream 007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Leave-on cream, default 100 g at 1.0% fragrance.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1 · LIVE ASSUMPTIONS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Batch size (g)</t>
        </is>
      </c>
      <c r="B5" s="6" t="n">
        <v>100</v>
      </c>
      <c r="C5" s="2" t="n"/>
      <c r="D5" s="2" t="n"/>
      <c r="E5" s="2" t="n"/>
      <c r="F5" s="2" t="n"/>
      <c r="G5" s="2" t="n"/>
      <c r="H5" s="2" t="n"/>
    </row>
    <row r="6">
      <c r="A6" s="5" t="inlineStr">
        <is>
          <t>Fragrance %</t>
        </is>
      </c>
      <c r="B6" s="7" t="n">
        <v>0.01</v>
      </c>
      <c r="C6" s="2" t="n"/>
      <c r="D6" s="2" t="n"/>
      <c r="E6" s="2" t="n"/>
      <c r="F6" s="2" t="n"/>
      <c r="G6" s="2" t="n"/>
      <c r="H6" s="2" t="n"/>
    </row>
    <row r="7">
      <c r="A7" s="5" t="inlineStr">
        <is>
          <t>Concentrate cost/g</t>
        </is>
      </c>
      <c r="B7" s="8" t="n">
        <v>4.708220504366127</v>
      </c>
      <c r="C7" s="2" t="n"/>
      <c r="D7" s="2" t="n"/>
      <c r="E7" s="2" t="n"/>
      <c r="F7" s="2" t="n"/>
      <c r="G7" s="2" t="n"/>
      <c r="H7" s="2" t="n"/>
    </row>
    <row r="8">
      <c r="A8" s="5" t="inlineStr">
        <is>
          <t>Water cost/g</t>
        </is>
      </c>
      <c r="B8" s="8" t="n">
        <v>0.008</v>
      </c>
      <c r="C8" s="2" t="n"/>
      <c r="D8" s="2" t="n"/>
      <c r="E8" s="2" t="n"/>
      <c r="F8" s="2" t="n"/>
      <c r="G8" s="2" t="n"/>
      <c r="H8" s="2" t="n"/>
    </row>
    <row r="9">
      <c r="A9" s="5" t="inlineStr">
        <is>
          <t>Emulsifying wax cost/g</t>
        </is>
      </c>
      <c r="B9" s="8" t="n">
        <v>0.14</v>
      </c>
      <c r="C9" s="2" t="n"/>
      <c r="D9" s="2" t="n"/>
      <c r="E9" s="2" t="n"/>
      <c r="F9" s="2" t="n"/>
      <c r="G9" s="2" t="n"/>
      <c r="H9" s="2" t="n"/>
    </row>
    <row r="10">
      <c r="A10" s="5" t="inlineStr">
        <is>
          <t>Carrier oil cost/g</t>
        </is>
      </c>
      <c r="B10" s="8" t="n">
        <v>0.12</v>
      </c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Preservative cost/g</t>
        </is>
      </c>
      <c r="B11" s="8" t="n">
        <v>0.45</v>
      </c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4" t="inlineStr">
        <is>
          <t>2 · FORMULA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9" t="inlineStr">
        <is>
          <t>Component</t>
        </is>
      </c>
      <c r="B15" s="9" t="inlineStr">
        <is>
          <t>Percent</t>
        </is>
      </c>
      <c r="C15" s="9" t="inlineStr">
        <is>
          <t>Grams</t>
        </is>
      </c>
      <c r="D15" s="9" t="inlineStr">
        <is>
          <t>Cost/g</t>
        </is>
      </c>
      <c r="E15" s="9" t="inlineStr">
        <is>
          <t>Cost</t>
        </is>
      </c>
      <c r="F15" s="9" t="inlineStr">
        <is>
          <t>How to use this material</t>
        </is>
      </c>
      <c r="G15" s="2" t="n"/>
      <c r="H15" s="2" t="n"/>
    </row>
    <row r="16">
      <c r="A16" s="10" t="inlineStr">
        <is>
          <t>Perfume concentrate</t>
        </is>
      </c>
      <c r="B16" s="11">
        <f>B6</f>
        <v/>
      </c>
      <c r="C16" s="12">
        <f>B5*B16</f>
        <v/>
      </c>
      <c r="D16" s="13">
        <f>B7</f>
        <v/>
      </c>
      <c r="E16" s="13">
        <f>C16*D16</f>
        <v/>
      </c>
      <c r="F16" s="10" t="inlineStr">
        <is>
          <t>Cool-down ingredient. Add below 40 C. Leave-on cream default is 1.0%; do not exceed 1.2% without safety review.</t>
        </is>
      </c>
      <c r="G16" s="2" t="n"/>
      <c r="H16" s="2" t="n"/>
    </row>
    <row r="17">
      <c r="A17" s="10" t="inlineStr">
        <is>
          <t>Distilled water</t>
        </is>
      </c>
      <c r="B17" s="11">
        <f>1-SUM(B16,B18:B20)</f>
        <v/>
      </c>
      <c r="C17" s="12">
        <f>B5*B17</f>
        <v/>
      </c>
      <c r="D17" s="13">
        <f>B8</f>
        <v/>
      </c>
      <c r="E17" s="13">
        <f>C17*D17</f>
        <v/>
      </c>
      <c r="F17" s="10" t="inlineStr">
        <is>
          <t>Water phase and formula balance. Heat separately to about 70 C before emulsifying.</t>
        </is>
      </c>
      <c r="G17" s="2" t="n"/>
      <c r="H17" s="2" t="n"/>
    </row>
    <row r="18">
      <c r="A18" s="10" t="inlineStr">
        <is>
          <t>Emulsifying wax</t>
        </is>
      </c>
      <c r="B18" s="11" t="n">
        <v>0.05</v>
      </c>
      <c r="C18" s="12">
        <f>B5*B18</f>
        <v/>
      </c>
      <c r="D18" s="13">
        <f>B9</f>
        <v/>
      </c>
      <c r="E18" s="13">
        <f>C18*D18</f>
        <v/>
      </c>
      <c r="F18" s="10" t="inlineStr">
        <is>
          <t>Oil phase emulsifier. Melt completely with the carrier oil before combining with water.</t>
        </is>
      </c>
      <c r="G18" s="2" t="n"/>
      <c r="H18" s="2" t="n"/>
    </row>
    <row r="19">
      <c r="A19" s="10" t="inlineStr">
        <is>
          <t>Carrier oil</t>
        </is>
      </c>
      <c r="B19" s="11" t="n">
        <v>0.15</v>
      </c>
      <c r="C19" s="12">
        <f>B5*B19</f>
        <v/>
      </c>
      <c r="D19" s="13">
        <f>B10</f>
        <v/>
      </c>
      <c r="E19" s="13">
        <f>C19*D19</f>
        <v/>
      </c>
      <c r="F19" s="10" t="inlineStr">
        <is>
          <t>Oil phase. Gives slip and body to the cream; heat with emulsifying wax.</t>
        </is>
      </c>
      <c r="G19" s="2" t="n"/>
      <c r="H19" s="2" t="n"/>
    </row>
    <row r="20">
      <c r="A20" s="10" t="inlineStr">
        <is>
          <t>Broad-spectrum preservative</t>
        </is>
      </c>
      <c r="B20" s="11" t="n">
        <v>0.008</v>
      </c>
      <c r="C20" s="12">
        <f>B5*B20</f>
        <v/>
      </c>
      <c r="D20" s="13">
        <f>B11</f>
        <v/>
      </c>
      <c r="E20" s="13">
        <f>C20*D20</f>
        <v/>
      </c>
      <c r="F20" s="10" t="inlineStr">
        <is>
          <t>Mandatory because this product contains water. Add during cool-down according to supplier temperature limits.</t>
        </is>
      </c>
      <c r="G20" s="2" t="n"/>
      <c r="H20" s="2" t="n"/>
    </row>
    <row r="21">
      <c r="A21" s="14" t="inlineStr">
        <is>
          <t>TOTAL</t>
        </is>
      </c>
      <c r="B21" s="15">
        <f>SUM(B16:B20)</f>
        <v/>
      </c>
      <c r="C21" s="16">
        <f>SUM(C16:C20)</f>
        <v/>
      </c>
      <c r="D21" s="17" t="inlineStr"/>
      <c r="E21" s="17">
        <f>SUM(E16:E20)</f>
        <v/>
      </c>
      <c r="F21" s="14" t="inlineStr">
        <is>
          <t>Must equal 100%. If you change fragrance, oil, wax, or preservative, water balances automatically.</t>
        </is>
      </c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4" t="inlineStr">
        <is>
          <t>3 · COST</t>
        </is>
      </c>
      <c r="B24" s="2" t="n"/>
      <c r="C24" s="2" t="n"/>
      <c r="D24" s="2" t="n"/>
      <c r="E24" s="2" t="n"/>
      <c r="F24" s="2" t="n"/>
      <c r="G24" s="2" t="n"/>
      <c r="H24" s="2" t="n"/>
    </row>
    <row r="25">
      <c r="A25" s="5" t="inlineStr">
        <is>
          <t>Total batch cost</t>
        </is>
      </c>
      <c r="B25" s="18">
        <f>E21</f>
        <v/>
      </c>
      <c r="C25" s="2" t="n"/>
      <c r="D25" s="2" t="n"/>
      <c r="E25" s="2" t="n"/>
      <c r="F25" s="2" t="n"/>
      <c r="G25" s="2" t="n"/>
      <c r="H25" s="2" t="n"/>
    </row>
    <row r="26">
      <c r="A26" s="5" t="inlineStr">
        <is>
          <t>Cost per gram</t>
        </is>
      </c>
      <c r="B26" s="18">
        <f>B25/B5</f>
        <v/>
      </c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Cost per 100 g jar</t>
        </is>
      </c>
      <c r="B27" s="18">
        <f>B26*100</f>
        <v/>
      </c>
      <c r="C27" s="2" t="n"/>
      <c r="D27" s="2" t="n"/>
      <c r="E27" s="2" t="n"/>
      <c r="F27" s="2" t="n"/>
      <c r="G27" s="2" t="n"/>
      <c r="H27" s="2" t="n"/>
    </row>
  </sheetData>
  <mergeCells count="5">
    <mergeCell ref="A4:H4"/>
    <mergeCell ref="A24:H24"/>
    <mergeCell ref="A2:H2"/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7" customWidth="1" min="4" max="4"/>
    <col width="11" customWidth="1" min="5" max="5"/>
    <col width="9" customWidth="1" min="6" max="6"/>
    <col width="11" customWidth="1" min="7" max="7"/>
    <col width="22" customWidth="1" min="8" max="8"/>
    <col width="16" customWidth="1" min="9" max="9"/>
    <col width="42" customWidth="1" min="10" max="10"/>
    <col width="34" customWidth="1" min="11" max="11"/>
  </cols>
  <sheetData>
    <row r="1" ht="28" customHeight="1">
      <c r="A1" s="1" t="inlineStr">
        <is>
          <t>Product Materials, Prices &amp; Links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Only the materials used in this product are listed here. Perfume concentrate is treated as one finished input.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9" t="inlineStr">
        <is>
          <t>Material</t>
        </is>
      </c>
      <c r="B4" s="9" t="inlineStr">
        <is>
          <t>Role</t>
        </is>
      </c>
      <c r="C4" s="9" t="inlineStr">
        <is>
          <t>Pack</t>
        </is>
      </c>
      <c r="D4" s="9" t="inlineStr">
        <is>
          <t>Unit</t>
        </is>
      </c>
      <c r="E4" s="9" t="inlineStr">
        <is>
          <t>Price/pack</t>
        </is>
      </c>
      <c r="F4" s="9" t="inlineStr">
        <is>
          <t>Density</t>
        </is>
      </c>
      <c r="G4" s="9" t="inlineStr">
        <is>
          <t>SAR/g</t>
        </is>
      </c>
      <c r="H4" s="9" t="inlineStr">
        <is>
          <t>Supplier</t>
        </is>
      </c>
      <c r="I4" s="9" t="inlineStr">
        <is>
          <t>Link</t>
        </is>
      </c>
      <c r="J4" s="9" t="inlineStr">
        <is>
          <t>How to use it</t>
        </is>
      </c>
      <c r="K4" s="9" t="inlineStr">
        <is>
          <t>Storage / safety</t>
        </is>
      </c>
    </row>
    <row r="5" ht="44" customHeight="1">
      <c r="A5" s="10" t="inlineStr">
        <is>
          <t>ASMR perfume concentrate</t>
        </is>
      </c>
      <c r="B5" s="19" t="inlineStr">
        <is>
          <t>Fragrance</t>
        </is>
      </c>
      <c r="C5" s="20" t="n">
        <v>1</v>
      </c>
      <c r="D5" s="21" t="inlineStr">
        <is>
          <t>g</t>
        </is>
      </c>
      <c r="E5" s="22" t="n">
        <v>4.708220504366127</v>
      </c>
      <c r="F5" s="23" t="n">
        <v>1</v>
      </c>
      <c r="G5" s="22">
        <f>IF(D5="ml",E5/(C5*F5),E5/C5)</f>
        <v/>
      </c>
      <c r="H5" s="19" t="inlineStr">
        <is>
          <t>Internal</t>
        </is>
      </c>
      <c r="I5" s="21" t="inlineStr">
        <is>
          <t>internal</t>
        </is>
      </c>
      <c r="J5" s="10" t="inlineStr">
        <is>
          <t>Weigh as finished concentrate. Do not rebuild the full perfume formula inside this product file.</t>
        </is>
      </c>
      <c r="K5" s="24" t="inlineStr">
        <is>
          <t>Amber glass, tightly closed, cool dark cabinet.</t>
        </is>
      </c>
    </row>
    <row r="6" ht="44" customHeight="1">
      <c r="A6" s="10" t="inlineStr">
        <is>
          <t>Distilled water</t>
        </is>
      </c>
      <c r="B6" s="19" t="inlineStr">
        <is>
          <t>Water phase / balance</t>
        </is>
      </c>
      <c r="C6" s="20" t="n">
        <v>1000</v>
      </c>
      <c r="D6" s="21" t="inlineStr">
        <is>
          <t>g</t>
        </is>
      </c>
      <c r="E6" s="22" t="n">
        <v>8</v>
      </c>
      <c r="F6" s="23" t="n">
        <v>1</v>
      </c>
      <c r="G6" s="22">
        <f>IF(D6="ml",E6/(C6*F6),E6/C6)</f>
        <v/>
      </c>
      <c r="H6" s="19" t="inlineStr">
        <is>
          <t>iterji.com / local pharmacy</t>
        </is>
      </c>
      <c r="I6" s="25" t="inlineStr">
        <is>
          <t>open</t>
        </is>
      </c>
      <c r="J6" s="10" t="inlineStr">
        <is>
          <t>Use distilled water only. Heat this phase before emulsifying.</t>
        </is>
      </c>
      <c r="K6" s="24" t="inlineStr">
        <is>
          <t>Use clean sealed bottle; discard if contaminated.</t>
        </is>
      </c>
    </row>
    <row r="7" ht="44" customHeight="1">
      <c r="A7" s="10" t="inlineStr">
        <is>
          <t>Emulsifying wax</t>
        </is>
      </c>
      <c r="B7" s="19" t="inlineStr">
        <is>
          <t>Emulsifier</t>
        </is>
      </c>
      <c r="C7" s="20" t="n">
        <v>250</v>
      </c>
      <c r="D7" s="21" t="inlineStr">
        <is>
          <t>g</t>
        </is>
      </c>
      <c r="E7" s="22" t="n">
        <v>35</v>
      </c>
      <c r="F7" s="23" t="n">
        <v>1</v>
      </c>
      <c r="G7" s="22">
        <f>IF(D7="ml",E7/(C7*F7),E7/C7)</f>
        <v/>
      </c>
      <c r="H7" s="19" t="inlineStr">
        <is>
          <t>iterji.com / cosmetic supplier</t>
        </is>
      </c>
      <c r="I7" s="25" t="inlineStr">
        <is>
          <t>open</t>
        </is>
      </c>
      <c r="J7" s="10" t="inlineStr">
        <is>
          <t>Melt fully in the oil phase before combining with water.</t>
        </is>
      </c>
      <c r="K7" s="24" t="inlineStr">
        <is>
          <t>Dry container, away from moisture.</t>
        </is>
      </c>
    </row>
    <row r="8" ht="44" customHeight="1">
      <c r="A8" s="10" t="inlineStr">
        <is>
          <t>Carrier oil</t>
        </is>
      </c>
      <c r="B8" s="19" t="inlineStr">
        <is>
          <t>Oil phase</t>
        </is>
      </c>
      <c r="C8" s="20" t="n">
        <v>250</v>
      </c>
      <c r="D8" s="21" t="inlineStr">
        <is>
          <t>g</t>
        </is>
      </c>
      <c r="E8" s="22" t="n">
        <v>30</v>
      </c>
      <c r="F8" s="23" t="n">
        <v>1</v>
      </c>
      <c r="G8" s="22">
        <f>IF(D8="ml",E8/(C8*F8),E8/C8)</f>
        <v/>
      </c>
      <c r="H8" s="19" t="inlineStr">
        <is>
          <t>iterji.com / cosmetic supplier</t>
        </is>
      </c>
      <c r="I8" s="25" t="inlineStr">
        <is>
          <t>open</t>
        </is>
      </c>
      <c r="J8" s="10" t="inlineStr">
        <is>
          <t>Blend with emulsifying wax and heat until uniform.</t>
        </is>
      </c>
      <c r="K8" s="24" t="inlineStr">
        <is>
          <t>Cool dark storage; discard if rancid odor appears.</t>
        </is>
      </c>
    </row>
    <row r="9" ht="44" customHeight="1">
      <c r="A9" s="10" t="inlineStr">
        <is>
          <t>Broad-spectrum preservative</t>
        </is>
      </c>
      <c r="B9" s="19" t="inlineStr">
        <is>
          <t>Preservation</t>
        </is>
      </c>
      <c r="C9" s="20" t="n">
        <v>100</v>
      </c>
      <c r="D9" s="21" t="inlineStr">
        <is>
          <t>g</t>
        </is>
      </c>
      <c r="E9" s="22" t="n">
        <v>45</v>
      </c>
      <c r="F9" s="23" t="n">
        <v>1</v>
      </c>
      <c r="G9" s="22">
        <f>IF(D9="ml",E9/(C9*F9),E9/C9)</f>
        <v/>
      </c>
      <c r="H9" s="19" t="inlineStr">
        <is>
          <t>iterji.com / cosmetic supplier</t>
        </is>
      </c>
      <c r="I9" s="25" t="inlineStr">
        <is>
          <t>open</t>
        </is>
      </c>
      <c r="J9" s="10" t="inlineStr">
        <is>
          <t>Required because cream contains water. Add during cool-down at supplier-approved temperature.</t>
        </is>
      </c>
      <c r="K9" s="24" t="inlineStr">
        <is>
          <t>Follow supplier temperature and shelf-life instructions.</t>
        </is>
      </c>
    </row>
  </sheetData>
  <mergeCells count="2">
    <mergeCell ref="A2:H2"/>
    <mergeCell ref="A1:H1"/>
  </mergeCell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6" customWidth="1" min="3" max="3"/>
  </cols>
  <sheetData>
    <row r="1" ht="28" customHeight="1">
      <c r="A1" s="1" t="inlineStr">
        <is>
          <t>Detailed Preparation Method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Weigh in grams, keep batch records, patch-test before use.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9" t="inlineStr">
        <is>
          <t>Step</t>
        </is>
      </c>
      <c r="B4" s="9" t="inlineStr">
        <is>
          <t>Action</t>
        </is>
      </c>
      <c r="C4" s="9" t="inlineStr">
        <is>
          <t>Detail</t>
        </is>
      </c>
      <c r="D4" s="2" t="n"/>
      <c r="E4" s="2" t="n"/>
      <c r="F4" s="2" t="n"/>
      <c r="G4" s="2" t="n"/>
      <c r="H4" s="2" t="n"/>
    </row>
    <row r="5" ht="34" customHeight="1">
      <c r="A5" s="26" t="inlineStr">
        <is>
          <t>1</t>
        </is>
      </c>
      <c r="B5" s="5" t="inlineStr">
        <is>
          <t>Prepare the bench</t>
        </is>
      </c>
      <c r="C5" s="10" t="inlineStr">
        <is>
          <t>Sanitize beakers, spatula, thermometer, scale pan, mixer head, and jar. Wear gloves. Cream contains water, so cleanliness matters.</t>
        </is>
      </c>
      <c r="D5" s="2" t="n"/>
      <c r="E5" s="2" t="n"/>
      <c r="F5" s="2" t="n"/>
      <c r="G5" s="2" t="n"/>
      <c r="H5" s="2" t="n"/>
    </row>
    <row r="6" ht="34" customHeight="1">
      <c r="A6" s="26" t="inlineStr">
        <is>
          <t>2</t>
        </is>
      </c>
      <c r="B6" s="5" t="inlineStr">
        <is>
          <t>Weigh water phase</t>
        </is>
      </c>
      <c r="C6" s="10" t="inlineStr">
        <is>
          <t>Weigh distilled water into a heat-safe beaker. This is the balance ingredient and may be adjusted to keep the total at exactly 100 g.</t>
        </is>
      </c>
      <c r="D6" s="2" t="n"/>
      <c r="E6" s="2" t="n"/>
      <c r="F6" s="2" t="n"/>
      <c r="G6" s="2" t="n"/>
      <c r="H6" s="2" t="n"/>
    </row>
    <row r="7" ht="34" customHeight="1">
      <c r="A7" s="26" t="inlineStr">
        <is>
          <t>3</t>
        </is>
      </c>
      <c r="B7" s="5" t="inlineStr">
        <is>
          <t>Weigh oil phase</t>
        </is>
      </c>
      <c r="C7" s="10" t="inlineStr">
        <is>
          <t>In a second beaker, weigh carrier oil and emulsifying wax. Heat until the wax is fully melted and the oil phase is uniform.</t>
        </is>
      </c>
      <c r="D7" s="2" t="n"/>
      <c r="E7" s="2" t="n"/>
      <c r="F7" s="2" t="n"/>
      <c r="G7" s="2" t="n"/>
      <c r="H7" s="2" t="n"/>
    </row>
    <row r="8" ht="34" customHeight="1">
      <c r="A8" s="26" t="inlineStr">
        <is>
          <t>4</t>
        </is>
      </c>
      <c r="B8" s="5" t="inlineStr">
        <is>
          <t>Heat both phases</t>
        </is>
      </c>
      <c r="C8" s="10" t="inlineStr">
        <is>
          <t>Bring both phases to roughly 70 C. They should be close in temperature before combining, otherwise the emulsion can split.</t>
        </is>
      </c>
      <c r="D8" s="2" t="n"/>
      <c r="E8" s="2" t="n"/>
      <c r="F8" s="2" t="n"/>
      <c r="G8" s="2" t="n"/>
      <c r="H8" s="2" t="n"/>
    </row>
    <row r="9" ht="34" customHeight="1">
      <c r="A9" s="26" t="inlineStr">
        <is>
          <t>5</t>
        </is>
      </c>
      <c r="B9" s="5" t="inlineStr">
        <is>
          <t>Emulsify</t>
        </is>
      </c>
      <c r="C9" s="10" t="inlineStr">
        <is>
          <t>Slowly pour the water phase into the oil phase while mixing. Mix 2-3 minutes, rest 1 minute, then mix again until glossy and even.</t>
        </is>
      </c>
      <c r="D9" s="2" t="n"/>
      <c r="E9" s="2" t="n"/>
      <c r="F9" s="2" t="n"/>
      <c r="G9" s="2" t="n"/>
      <c r="H9" s="2" t="n"/>
    </row>
    <row r="10" ht="34" customHeight="1">
      <c r="A10" s="26" t="inlineStr">
        <is>
          <t>6</t>
        </is>
      </c>
      <c r="B10" s="5" t="inlineStr">
        <is>
          <t>Cool with stirring</t>
        </is>
      </c>
      <c r="C10" s="10" t="inlineStr">
        <is>
          <t>Stir occasionally while cooling. Do not add fragrance or preservative while too hot; heat can damage them.</t>
        </is>
      </c>
      <c r="D10" s="2" t="n"/>
      <c r="E10" s="2" t="n"/>
      <c r="F10" s="2" t="n"/>
      <c r="G10" s="2" t="n"/>
      <c r="H10" s="2" t="n"/>
    </row>
    <row r="11" ht="34" customHeight="1">
      <c r="A11" s="26" t="inlineStr">
        <is>
          <t>7</t>
        </is>
      </c>
      <c r="B11" s="5" t="inlineStr">
        <is>
          <t>Add preservative</t>
        </is>
      </c>
      <c r="C11" s="10" t="inlineStr">
        <is>
          <t>Below the preservative supplier's maximum temperature, add the broad-spectrum preservative and mix thoroughly. This is required.</t>
        </is>
      </c>
      <c r="D11" s="2" t="n"/>
      <c r="E11" s="2" t="n"/>
      <c r="F11" s="2" t="n"/>
      <c r="G11" s="2" t="n"/>
      <c r="H11" s="2" t="n"/>
    </row>
    <row r="12" ht="34" customHeight="1">
      <c r="A12" s="26" t="inlineStr">
        <is>
          <t>8</t>
        </is>
      </c>
      <c r="B12" s="5" t="inlineStr">
        <is>
          <t>Add perfume concentrate</t>
        </is>
      </c>
      <c r="C12" s="10" t="inlineStr">
        <is>
          <t>At cool-down, add perfume concentrate at 1.0% default. Do not exceed 1.2% for leave-on cream unless you verify safety limits.</t>
        </is>
      </c>
      <c r="D12" s="2" t="n"/>
      <c r="E12" s="2" t="n"/>
      <c r="F12" s="2" t="n"/>
      <c r="G12" s="2" t="n"/>
      <c r="H12" s="2" t="n"/>
    </row>
    <row r="13" ht="34" customHeight="1">
      <c r="A13" s="26" t="inlineStr">
        <is>
          <t>9</t>
        </is>
      </c>
      <c r="B13" s="5" t="inlineStr">
        <is>
          <t>Final mix</t>
        </is>
      </c>
      <c r="C13" s="10" t="inlineStr">
        <is>
          <t>Mix gently but completely, scraping sides and bottom. Avoid whipping in air. Check that the texture is smooth and uniform.</t>
        </is>
      </c>
      <c r="D13" s="2" t="n"/>
      <c r="E13" s="2" t="n"/>
      <c r="F13" s="2" t="n"/>
      <c r="G13" s="2" t="n"/>
      <c r="H13" s="2" t="n"/>
    </row>
    <row r="14" ht="34" customHeight="1">
      <c r="A14" s="26" t="inlineStr">
        <is>
          <t>10</t>
        </is>
      </c>
      <c r="B14" s="5" t="inlineStr">
        <is>
          <t>Jar and cure</t>
        </is>
      </c>
      <c r="C14" s="10" t="inlineStr">
        <is>
          <t>Fill a clean jar, tap to remove air pockets, cap, and label. Let stand 24 hours before judging final texture.</t>
        </is>
      </c>
      <c r="D14" s="2" t="n"/>
      <c r="E14" s="2" t="n"/>
      <c r="F14" s="2" t="n"/>
      <c r="G14" s="2" t="n"/>
      <c r="H14" s="2" t="n"/>
    </row>
    <row r="15" ht="34" customHeight="1">
      <c r="A15" s="26" t="inlineStr">
        <is>
          <t>11</t>
        </is>
      </c>
      <c r="B15" s="5" t="inlineStr">
        <is>
          <t>Use guidance</t>
        </is>
      </c>
      <c r="C15" s="10" t="inlineStr">
        <is>
          <t>Patch-test before use. Do not use on irritated skin. Discard if odor, color, gas, separation, or mold appears.</t>
        </is>
      </c>
      <c r="D15" s="2" t="n"/>
      <c r="E15" s="2" t="n"/>
      <c r="F15" s="2" t="n"/>
      <c r="G15" s="2" t="n"/>
      <c r="H15" s="2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ASMR</dc:creator>
  <dc:title xmlns:dc="http://purl.org/dc/elements/1.1/">ASMR Cream 007</dc:title>
  <dcterms:created xmlns:dcterms="http://purl.org/dc/terms/" xmlns:xsi="http://www.w3.org/2001/XMLSchema-instance" xsi:type="dcterms:W3CDTF">2026-07-12T20:22:11Z</dcterms:created>
  <dcterms:modified xmlns:dcterms="http://purl.org/dc/terms/" xmlns:xsi="http://www.w3.org/2001/XMLSchema-instance" xsi:type="dcterms:W3CDTF">2026-07-12T20:22:11Z</dcterms:modified>
</cp:coreProperties>
</file>