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Inventory &amp; Links" sheetId="2" state="visible" r:id="rId2"/>
    <sheet xmlns:r="http://schemas.openxmlformats.org/officeDocument/2006/relationships" name="Step-by-S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g&quot;"/>
    <numFmt numFmtId="165" formatCode="0.0%"/>
    <numFmt numFmtId="166" formatCode="&quot;SAR &quot;#,##0.00"/>
  </numFmts>
  <fonts count="9">
    <font>
      <name val="Calibri"/>
      <family val="2"/>
      <color theme="1"/>
      <sz val="11"/>
      <scheme val="minor"/>
    </font>
    <font>
      <name val="Arial"/>
      <b val="1"/>
      <color rgb="00404040"/>
      <sz val="18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404040"/>
      <sz val="9"/>
    </font>
    <font>
      <name val="Arial"/>
      <b val="1"/>
      <color rgb="001F4E79"/>
      <sz val="9"/>
    </font>
    <font>
      <name val="Arial"/>
      <color rgb="00404040"/>
      <sz val="9"/>
    </font>
    <font>
      <name val="Arial"/>
      <color rgb="00666666"/>
      <sz val="8"/>
    </font>
    <font>
      <name val="Arial"/>
      <color rgb="001155CC"/>
      <sz val="8"/>
      <u val="single"/>
    </font>
  </fonts>
  <fills count="7">
    <fill>
      <patternFill/>
    </fill>
    <fill>
      <patternFill patternType="gray125"/>
    </fill>
    <fill>
      <patternFill patternType="solid">
        <fgColor rgb="00C9A961"/>
      </patternFill>
    </fill>
    <fill>
      <patternFill patternType="solid">
        <fgColor rgb="00FFF8D8"/>
      </patternFill>
    </fill>
    <fill>
      <patternFill patternType="solid">
        <fgColor rgb="002F2F2F"/>
      </patternFill>
    </fill>
    <fill>
      <patternFill patternType="solid">
        <fgColor rgb="00EBDFC6"/>
      </patternFill>
    </fill>
    <fill>
      <patternFill patternType="solid">
        <fgColor rgb="00F3EBDD"/>
      </patternFill>
    </fill>
  </fills>
  <borders count="3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  <border>
      <left style="thin">
        <color rgb="00C9A961"/>
      </left>
      <right style="thin">
        <color rgb="00C9A961"/>
      </right>
      <top style="thin">
        <color rgb="00C9A961"/>
      </top>
      <bottom style="thin">
        <color rgb="00C9A96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5" fillId="3" borderId="2" applyAlignment="1" applyProtection="1" pivotButton="0" quotePrefix="0" xfId="0">
      <alignment horizontal="center" vertical="center"/>
      <protection locked="0" hidden="0"/>
    </xf>
    <xf numFmtId="165" fontId="5" fillId="3" borderId="2" applyAlignment="1" applyProtection="1" pivotButton="0" quotePrefix="0" xfId="0">
      <alignment horizontal="center" vertical="center"/>
      <protection locked="0" hidden="0"/>
    </xf>
    <xf numFmtId="166" fontId="5" fillId="3" borderId="2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0">
      <alignment horizontal="center" vertical="center"/>
      <protection locked="0" hidden="0"/>
    </xf>
    <xf numFmtId="2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4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terji.com/perfumery-ingredients/other-ingredients/alcohol-190-proof-sda-40b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6" customWidth="1" min="4" max="4"/>
    <col width="15" customWidth="1" min="5" max="5"/>
    <col width="58" customWidth="1" min="6" max="6"/>
    <col width="18" customWidth="1" min="7" max="7"/>
    <col width="18" customWidth="1" min="8" max="8"/>
  </cols>
  <sheetData>
    <row r="1" ht="28" customHeight="1">
      <c r="A1" s="1" t="inlineStr">
        <is>
          <t>ASMR Body Spray 007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Alcohol body spray, default 100 g at 5% fragrance.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1 · LIVE ASSUMPTIONS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Batch size (g)</t>
        </is>
      </c>
      <c r="B5" s="6" t="n">
        <v>100</v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Fragrance %</t>
        </is>
      </c>
      <c r="B6" s="7" t="n">
        <v>0.05</v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Alcohol %</t>
        </is>
      </c>
      <c r="B7" s="7" t="n">
        <v>0.95</v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Concentrate cost/g</t>
        </is>
      </c>
      <c r="B8" s="8" t="n">
        <v>4.708220504366127</v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Alcohol cost/g</t>
        </is>
      </c>
      <c r="B9" s="8" t="n">
        <v>0.1852</v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2 · FORMULA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9" t="inlineStr">
        <is>
          <t>Component</t>
        </is>
      </c>
      <c r="B13" s="9" t="inlineStr">
        <is>
          <t>Percent</t>
        </is>
      </c>
      <c r="C13" s="9" t="inlineStr">
        <is>
          <t>Grams</t>
        </is>
      </c>
      <c r="D13" s="9" t="inlineStr">
        <is>
          <t>Cost/g</t>
        </is>
      </c>
      <c r="E13" s="9" t="inlineStr">
        <is>
          <t>Cost</t>
        </is>
      </c>
      <c r="F13" s="9" t="inlineStr">
        <is>
          <t>How to use this material</t>
        </is>
      </c>
      <c r="G13" s="2" t="n"/>
      <c r="H13" s="2" t="n"/>
    </row>
    <row r="14">
      <c r="A14" s="10" t="inlineStr">
        <is>
          <t>Perfume concentrate</t>
        </is>
      </c>
      <c r="B14" s="11">
        <f>B6</f>
        <v/>
      </c>
      <c r="C14" s="12">
        <f>B5*B14</f>
        <v/>
      </c>
      <c r="D14" s="13">
        <f>B8</f>
        <v/>
      </c>
      <c r="E14" s="13">
        <f>C14*D14</f>
        <v/>
      </c>
      <c r="F14" s="10" t="inlineStr">
        <is>
          <t>Finished concentrate from the main suite. Weigh it first into the beaker; do not rebuild the perfume formula here.</t>
        </is>
      </c>
      <c r="G14" s="2" t="n"/>
      <c r="H14" s="2" t="n"/>
    </row>
    <row r="15">
      <c r="A15" s="10" t="inlineStr">
        <is>
          <t>Alcohol 190 proof SDA 40B</t>
        </is>
      </c>
      <c r="B15" s="11">
        <f>B7</f>
        <v/>
      </c>
      <c r="C15" s="12">
        <f>B5*B15</f>
        <v/>
      </c>
      <c r="D15" s="13">
        <f>B9</f>
        <v/>
      </c>
      <c r="E15" s="13">
        <f>C15*D15</f>
        <v/>
      </c>
      <c r="F15" s="10" t="inlineStr">
        <is>
          <t>Add slowly in portions while stirring. Alcohol carries the spray and self-preserves the product. Never use SDA 39C.</t>
        </is>
      </c>
      <c r="G15" s="2" t="n"/>
      <c r="H15" s="2" t="n"/>
    </row>
    <row r="16">
      <c r="A16" s="14" t="inlineStr">
        <is>
          <t>TOTAL</t>
        </is>
      </c>
      <c r="B16" s="15">
        <f>SUM(B14:B15)</f>
        <v/>
      </c>
      <c r="C16" s="16">
        <f>SUM(C14:C15)</f>
        <v/>
      </c>
      <c r="D16" s="17" t="inlineStr"/>
      <c r="E16" s="17">
        <f>SUM(E14:E15)</f>
        <v/>
      </c>
      <c r="F16" s="14" t="inlineStr">
        <is>
          <t>Must equal the batch size. If you change fragrance %, alcohol automatically balances.</t>
        </is>
      </c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4" t="inlineStr">
        <is>
          <t>3 · COST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Total batch cost</t>
        </is>
      </c>
      <c r="B20" s="18">
        <f>E16</f>
        <v/>
      </c>
      <c r="C20" s="2" t="n"/>
      <c r="D20" s="2" t="n"/>
      <c r="E20" s="2" t="n"/>
      <c r="F20" s="2" t="n"/>
      <c r="G20" s="2" t="n"/>
      <c r="H20" s="2" t="n"/>
    </row>
    <row r="21">
      <c r="A21" s="5" t="inlineStr">
        <is>
          <t>Cost per gram</t>
        </is>
      </c>
      <c r="B21" s="18">
        <f>B20/B5</f>
        <v/>
      </c>
      <c r="C21" s="2" t="n"/>
      <c r="D21" s="2" t="n"/>
      <c r="E21" s="2" t="n"/>
      <c r="F21" s="2" t="n"/>
      <c r="G21" s="2" t="n"/>
      <c r="H21" s="2" t="n"/>
    </row>
    <row r="22">
      <c r="A22" s="5" t="inlineStr">
        <is>
          <t>Cost per 100 ml approx.</t>
        </is>
      </c>
      <c r="B22" s="18">
        <f>B21*100*0.87</f>
        <v/>
      </c>
      <c r="C22" s="2" t="n"/>
      <c r="D22" s="2" t="n"/>
      <c r="E22" s="2" t="n"/>
      <c r="F22" s="2" t="n"/>
      <c r="G22" s="2" t="n"/>
      <c r="H22" s="2" t="n"/>
    </row>
  </sheetData>
  <mergeCells count="5">
    <mergeCell ref="A12:H12"/>
    <mergeCell ref="A4:H4"/>
    <mergeCell ref="A2:H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7" customWidth="1" min="4" max="4"/>
    <col width="11" customWidth="1" min="5" max="5"/>
    <col width="9" customWidth="1" min="6" max="6"/>
    <col width="11" customWidth="1" min="7" max="7"/>
    <col width="22" customWidth="1" min="8" max="8"/>
    <col width="16" customWidth="1" min="9" max="9"/>
    <col width="42" customWidth="1" min="10" max="10"/>
    <col width="34" customWidth="1" min="11" max="11"/>
  </cols>
  <sheetData>
    <row r="1" ht="28" customHeight="1">
      <c r="A1" s="1" t="inlineStr">
        <is>
          <t>Product Materials, Prices &amp;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Only the materials used in this product are listed here. Perfume concentrate is treated as one finished input.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9" t="inlineStr">
        <is>
          <t>Material</t>
        </is>
      </c>
      <c r="B4" s="9" t="inlineStr">
        <is>
          <t>Role</t>
        </is>
      </c>
      <c r="C4" s="9" t="inlineStr">
        <is>
          <t>Pack</t>
        </is>
      </c>
      <c r="D4" s="9" t="inlineStr">
        <is>
          <t>Unit</t>
        </is>
      </c>
      <c r="E4" s="9" t="inlineStr">
        <is>
          <t>Price/pack</t>
        </is>
      </c>
      <c r="F4" s="9" t="inlineStr">
        <is>
          <t>Density</t>
        </is>
      </c>
      <c r="G4" s="9" t="inlineStr">
        <is>
          <t>SAR/g</t>
        </is>
      </c>
      <c r="H4" s="9" t="inlineStr">
        <is>
          <t>Supplier</t>
        </is>
      </c>
      <c r="I4" s="9" t="inlineStr">
        <is>
          <t>Link</t>
        </is>
      </c>
      <c r="J4" s="9" t="inlineStr">
        <is>
          <t>How to use it</t>
        </is>
      </c>
      <c r="K4" s="9" t="inlineStr">
        <is>
          <t>Storage / safety</t>
        </is>
      </c>
    </row>
    <row r="5" ht="44" customHeight="1">
      <c r="A5" s="10" t="inlineStr">
        <is>
          <t>ASMR perfume concentrate</t>
        </is>
      </c>
      <c r="B5" s="19" t="inlineStr">
        <is>
          <t>Fragrance</t>
        </is>
      </c>
      <c r="C5" s="20" t="n">
        <v>1</v>
      </c>
      <c r="D5" s="21" t="inlineStr">
        <is>
          <t>g</t>
        </is>
      </c>
      <c r="E5" s="22" t="n">
        <v>4.708220504366127</v>
      </c>
      <c r="F5" s="23" t="n">
        <v>1</v>
      </c>
      <c r="G5" s="22">
        <f>IF(D5="ml",E5/(C5*F5),E5/C5)</f>
        <v/>
      </c>
      <c r="H5" s="19" t="inlineStr">
        <is>
          <t>Internal</t>
        </is>
      </c>
      <c r="I5" s="21" t="inlineStr">
        <is>
          <t>internal</t>
        </is>
      </c>
      <c r="J5" s="10" t="inlineStr">
        <is>
          <t>Weigh as finished concentrate. Do not rebuild the full perfume formula inside this product file.</t>
        </is>
      </c>
      <c r="K5" s="24" t="inlineStr">
        <is>
          <t>Amber glass, tightly closed, cool dark cabinet.</t>
        </is>
      </c>
    </row>
    <row r="6" ht="44" customHeight="1">
      <c r="A6" s="10" t="inlineStr">
        <is>
          <t>Alcohol 190 proof SDA 40B</t>
        </is>
      </c>
      <c r="B6" s="19" t="inlineStr">
        <is>
          <t>Diluent / carrier</t>
        </is>
      </c>
      <c r="C6" s="20" t="n">
        <v>1000</v>
      </c>
      <c r="D6" s="21" t="inlineStr">
        <is>
          <t>ml</t>
        </is>
      </c>
      <c r="E6" s="22" t="n">
        <v>150.012</v>
      </c>
      <c r="F6" s="23" t="n">
        <v>0.8100000000000001</v>
      </c>
      <c r="G6" s="22">
        <f>IF(D6="ml",E6/(C6*F6),E6/C6)</f>
        <v/>
      </c>
      <c r="H6" s="19" t="inlineStr">
        <is>
          <t>iterji.com</t>
        </is>
      </c>
      <c r="I6" s="25" t="inlineStr">
        <is>
          <t>open</t>
        </is>
      </c>
      <c r="J6" s="10" t="inlineStr">
        <is>
          <t>Use only SDA 40B. Add slowly to concentrate while stirring; keep away from flame.</t>
        </is>
      </c>
      <c r="K6" s="24" t="inlineStr">
        <is>
          <t>Flammable. Keep capped, ventilated, away from heat.</t>
        </is>
      </c>
    </row>
  </sheetData>
  <mergeCells count="2">
    <mergeCell ref="A2:H2"/>
    <mergeCell ref="A1:H1"/>
  </mergeCells>
  <hyperlinks>
    <hyperlink xmlns:r="http://schemas.openxmlformats.org/officeDocument/2006/relationships" ref="I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6" customWidth="1" min="3" max="3"/>
  </cols>
  <sheetData>
    <row r="1" ht="28" customHeight="1">
      <c r="A1" s="1" t="inlineStr">
        <is>
          <t>Detailed Preparation Method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Weigh in grams, keep batch records, patch-test before use.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Step</t>
        </is>
      </c>
      <c r="B4" s="9" t="inlineStr">
        <is>
          <t>Action</t>
        </is>
      </c>
      <c r="C4" s="9" t="inlineStr">
        <is>
          <t>Detail</t>
        </is>
      </c>
      <c r="D4" s="2" t="n"/>
      <c r="E4" s="2" t="n"/>
      <c r="F4" s="2" t="n"/>
      <c r="G4" s="2" t="n"/>
      <c r="H4" s="2" t="n"/>
    </row>
    <row r="5" ht="34" customHeight="1">
      <c r="A5" s="26" t="inlineStr">
        <is>
          <t>1</t>
        </is>
      </c>
      <c r="B5" s="5" t="inlineStr">
        <is>
          <t>Prepare the bench</t>
        </is>
      </c>
      <c r="C5" s="10" t="inlineStr">
        <is>
          <t>Work in ventilation, away from flame or hot tools. Wear gloves. Clean the scale, beaker, stir rod, funnel, and spray bottle with alcohol and let them dry.</t>
        </is>
      </c>
      <c r="D5" s="2" t="n"/>
      <c r="E5" s="2" t="n"/>
      <c r="F5" s="2" t="n"/>
      <c r="G5" s="2" t="n"/>
      <c r="H5" s="2" t="n"/>
    </row>
    <row r="6" ht="34" customHeight="1">
      <c r="A6" s="26" t="inlineStr">
        <is>
          <t>2</t>
        </is>
      </c>
      <c r="B6" s="5" t="inlineStr">
        <is>
          <t>Tare and weigh concentrate</t>
        </is>
      </c>
      <c r="C6" s="10" t="inlineStr">
        <is>
          <t>Place a clean glass beaker on the scale and tare to zero. Weigh the exact perfume concentrate grams from the Recipe sheet. Do not count drops.</t>
        </is>
      </c>
      <c r="D6" s="2" t="n"/>
      <c r="E6" s="2" t="n"/>
      <c r="F6" s="2" t="n"/>
      <c r="G6" s="2" t="n"/>
      <c r="H6" s="2" t="n"/>
    </row>
    <row r="7" ht="34" customHeight="1">
      <c r="A7" s="26" t="inlineStr">
        <is>
          <t>3</t>
        </is>
      </c>
      <c r="B7" s="5" t="inlineStr">
        <is>
          <t>Pre-mix the concentrate</t>
        </is>
      </c>
      <c r="C7" s="10" t="inlineStr">
        <is>
          <t>Stir the concentrate for 30-60 seconds. If it contains any visible crystals or haze, warm the closed concentrate bottle gently in a warm-water bath, then stir again.</t>
        </is>
      </c>
      <c r="D7" s="2" t="n"/>
      <c r="E7" s="2" t="n"/>
      <c r="F7" s="2" t="n"/>
      <c r="G7" s="2" t="n"/>
      <c r="H7" s="2" t="n"/>
    </row>
    <row r="8" ht="34" customHeight="1">
      <c r="A8" s="26" t="inlineStr">
        <is>
          <t>4</t>
        </is>
      </c>
      <c r="B8" s="5" t="inlineStr">
        <is>
          <t>Add alcohol in portions</t>
        </is>
      </c>
      <c r="C8" s="10" t="inlineStr">
        <is>
          <t>Weigh SDA 40B alcohol in 3-4 small additions. Stir after each addition so the perfume concentrate opens into the alcohol evenly. Never use SDA 39C.</t>
        </is>
      </c>
      <c r="D8" s="2" t="n"/>
      <c r="E8" s="2" t="n"/>
      <c r="F8" s="2" t="n"/>
      <c r="G8" s="2" t="n"/>
      <c r="H8" s="2" t="n"/>
    </row>
    <row r="9" ht="34" customHeight="1">
      <c r="A9" s="26" t="inlineStr">
        <is>
          <t>5</t>
        </is>
      </c>
      <c r="B9" s="5" t="inlineStr">
        <is>
          <t>Clarity check</t>
        </is>
      </c>
      <c r="C9" s="10" t="inlineStr">
        <is>
          <t>The liquid should be clear or lightly opalescent. If cloudy, cap the beaker or bottle and rest 12-24 hours, then check again before filtering.</t>
        </is>
      </c>
      <c r="D9" s="2" t="n"/>
      <c r="E9" s="2" t="n"/>
      <c r="F9" s="2" t="n"/>
      <c r="G9" s="2" t="n"/>
      <c r="H9" s="2" t="n"/>
    </row>
    <row r="10" ht="34" customHeight="1">
      <c r="A10" s="26" t="inlineStr">
        <is>
          <t>6</t>
        </is>
      </c>
      <c r="B10" s="5" t="inlineStr">
        <is>
          <t>Bottle</t>
        </is>
      </c>
      <c r="C10" s="10" t="inlineStr">
        <is>
          <t>Use a funnel or pipette to transfer into the spray bottle. Leave headspace so the pump can work. Cap immediately to reduce alcohol loss.</t>
        </is>
      </c>
      <c r="D10" s="2" t="n"/>
      <c r="E10" s="2" t="n"/>
      <c r="F10" s="2" t="n"/>
      <c r="G10" s="2" t="n"/>
      <c r="H10" s="2" t="n"/>
    </row>
    <row r="11" ht="34" customHeight="1">
      <c r="A11" s="26" t="inlineStr">
        <is>
          <t>7</t>
        </is>
      </c>
      <c r="B11" s="5" t="inlineStr">
        <is>
          <t>Rest / macerate</t>
        </is>
      </c>
      <c r="C11" s="10" t="inlineStr">
        <is>
          <t>Minimum rest is 48 hours. Better: 1-2 weeks in a cool dark place. Shake gently once per day for the first 3 days.</t>
        </is>
      </c>
      <c r="D11" s="2" t="n"/>
      <c r="E11" s="2" t="n"/>
      <c r="F11" s="2" t="n"/>
      <c r="G11" s="2" t="n"/>
      <c r="H11" s="2" t="n"/>
    </row>
    <row r="12" ht="34" customHeight="1">
      <c r="A12" s="26" t="inlineStr">
        <is>
          <t>8</t>
        </is>
      </c>
      <c r="B12" s="5" t="inlineStr">
        <is>
          <t>Label and record</t>
        </is>
      </c>
      <c r="C12" s="10" t="inlineStr">
        <is>
          <t>Label product name, body spray strength, batch ID, date, grams made, and alcohol warning. Record the batch before use or gifting.</t>
        </is>
      </c>
      <c r="D12" s="2" t="n"/>
      <c r="E12" s="2" t="n"/>
      <c r="F12" s="2" t="n"/>
      <c r="G12" s="2" t="n"/>
      <c r="H12" s="2" t="n"/>
    </row>
    <row r="13" ht="34" customHeight="1">
      <c r="A13" s="26" t="inlineStr">
        <is>
          <t>9</t>
        </is>
      </c>
      <c r="B13" s="5" t="inlineStr">
        <is>
          <t>Use guidance</t>
        </is>
      </c>
      <c r="C13" s="10" t="inlineStr">
        <is>
          <t>Spray on clothes or body from distance. Avoid eyes, broken skin, heat, flame, and children. Patch-test first.</t>
        </is>
      </c>
      <c r="D13" s="2" t="n"/>
      <c r="E13" s="2" t="n"/>
      <c r="F13" s="2" t="n"/>
      <c r="G13" s="2" t="n"/>
      <c r="H13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ASMR</dc:creator>
  <dc:title xmlns:dc="http://purl.org/dc/elements/1.1/">ASMR Body Spray 007</dc:title>
  <dcterms:created xmlns:dcterms="http://purl.org/dc/terms/" xmlns:xsi="http://www.w3.org/2001/XMLSchema-instance" xsi:type="dcterms:W3CDTF">2026-07-12T20:22:10Z</dcterms:created>
  <dcterms:modified xmlns:dcterms="http://purl.org/dc/terms/" xmlns:xsi="http://www.w3.org/2001/XMLSchema-instance" xsi:type="dcterms:W3CDTF">2026-07-12T20:22:10Z</dcterms:modified>
</cp:coreProperties>
</file>