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F746C377-63DD-4117-B11F-5BDDCC1BA747}"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Production Log" sheetId="6" r:id="rId6"/>
    <sheet name="Maceration Tracker" sheetId="7" r:id="rId7"/>
    <sheet name="Cost Analysis" sheetId="8" r:id="rId8"/>
    <sheet name="Yield &amp; Capacity" sheetId="9" r:id="rId9"/>
    <sheet name="Pricing &amp; Sales" sheetId="10" r:id="rId10"/>
    <sheet name="Process Reference" sheetId="11" r:id="rId11"/>
    <sheet name="Safety Notes" sheetId="12" r:id="rId12"/>
    <sheet name="Lists" sheetId="13" state="hidden" r:id="rId13"/>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Inventory!$F$4:$F$31</definedName>
    <definedName name="Inv_LowJoined">Inventory!$O$31</definedName>
    <definedName name="Inv_LowNames">Inventory!$N$4:$N$31</definedName>
    <definedName name="Inv_Mat">Inventory!$A$4:$A$31</definedName>
    <definedName name="Inv_OnHand">Inventory!$K$4:$K$31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0" l="1"/>
  <c r="D13" i="10"/>
  <c r="D12" i="10"/>
  <c r="B51" i="9"/>
  <c r="A51" i="9"/>
  <c r="B50" i="9"/>
  <c r="A50" i="9"/>
  <c r="B49" i="9"/>
  <c r="A49" i="9"/>
  <c r="B48" i="9"/>
  <c r="A48" i="9"/>
  <c r="B47" i="9"/>
  <c r="A47" i="9"/>
  <c r="B46" i="9"/>
  <c r="A46" i="9"/>
  <c r="B45" i="9"/>
  <c r="A45" i="9"/>
  <c r="B44" i="9"/>
  <c r="A44" i="9"/>
  <c r="B43" i="9"/>
  <c r="A43" i="9"/>
  <c r="B42" i="9"/>
  <c r="A42" i="9"/>
  <c r="B41" i="9"/>
  <c r="A41" i="9"/>
  <c r="B40" i="9"/>
  <c r="A40" i="9"/>
  <c r="B39" i="9"/>
  <c r="A39" i="9"/>
  <c r="B38" i="9"/>
  <c r="A38" i="9"/>
  <c r="B37" i="9"/>
  <c r="A37" i="9"/>
  <c r="B36" i="9"/>
  <c r="A36" i="9"/>
  <c r="B35" i="9"/>
  <c r="A35" i="9"/>
  <c r="B34" i="9"/>
  <c r="A34" i="9"/>
  <c r="B33" i="9"/>
  <c r="A33" i="9"/>
  <c r="B32" i="9"/>
  <c r="A32" i="9"/>
  <c r="B31" i="9"/>
  <c r="A31" i="9"/>
  <c r="B30" i="9"/>
  <c r="A30" i="9"/>
  <c r="B29" i="9"/>
  <c r="A29" i="9"/>
  <c r="B28" i="9"/>
  <c r="A28" i="9"/>
  <c r="B27" i="9"/>
  <c r="A27" i="9"/>
  <c r="C21" i="9"/>
  <c r="B21" i="9"/>
  <c r="C20" i="9"/>
  <c r="B20" i="9"/>
  <c r="C19" i="9"/>
  <c r="B19" i="9"/>
  <c r="C18" i="9"/>
  <c r="B18" i="9"/>
  <c r="C17" i="9"/>
  <c r="B17" i="9"/>
  <c r="C16" i="9"/>
  <c r="B16" i="9"/>
  <c r="A14" i="9"/>
  <c r="E37" i="8"/>
  <c r="G37" i="8" s="1"/>
  <c r="E36" i="8"/>
  <c r="G36" i="8" s="1"/>
  <c r="E35" i="8"/>
  <c r="G35" i="8" s="1"/>
  <c r="E34" i="8"/>
  <c r="G34" i="8" s="1"/>
  <c r="E33" i="8"/>
  <c r="G33" i="8" s="1"/>
  <c r="E32" i="8"/>
  <c r="G32" i="8" s="1"/>
  <c r="E31" i="8"/>
  <c r="G31" i="8" s="1"/>
  <c r="E30" i="8"/>
  <c r="G30" i="8" s="1"/>
  <c r="H44" i="7"/>
  <c r="C44" i="7"/>
  <c r="B44" i="7"/>
  <c r="A44" i="7"/>
  <c r="I44" i="7" s="1"/>
  <c r="H43" i="7"/>
  <c r="C43" i="7"/>
  <c r="B43" i="7"/>
  <c r="A43" i="7"/>
  <c r="I43" i="7" s="1"/>
  <c r="H42" i="7"/>
  <c r="C42" i="7"/>
  <c r="B42" i="7"/>
  <c r="A42" i="7"/>
  <c r="I42" i="7" s="1"/>
  <c r="H41" i="7"/>
  <c r="C41" i="7"/>
  <c r="B41" i="7"/>
  <c r="A41" i="7"/>
  <c r="I41" i="7" s="1"/>
  <c r="H40" i="7"/>
  <c r="C40" i="7"/>
  <c r="B40" i="7"/>
  <c r="A40" i="7"/>
  <c r="I40" i="7" s="1"/>
  <c r="H39" i="7"/>
  <c r="C39" i="7"/>
  <c r="B39" i="7"/>
  <c r="A39" i="7"/>
  <c r="I39" i="7" s="1"/>
  <c r="H38" i="7"/>
  <c r="C38" i="7"/>
  <c r="B38" i="7"/>
  <c r="A38" i="7"/>
  <c r="I38" i="7" s="1"/>
  <c r="H37" i="7"/>
  <c r="C37" i="7"/>
  <c r="B37" i="7"/>
  <c r="A37" i="7"/>
  <c r="I37" i="7" s="1"/>
  <c r="H36" i="7"/>
  <c r="C36" i="7"/>
  <c r="B36" i="7"/>
  <c r="A36" i="7"/>
  <c r="I36" i="7" s="1"/>
  <c r="H35" i="7"/>
  <c r="C35" i="7"/>
  <c r="B35" i="7"/>
  <c r="A35" i="7"/>
  <c r="I35" i="7" s="1"/>
  <c r="H34" i="7"/>
  <c r="C34" i="7"/>
  <c r="B34" i="7"/>
  <c r="A34" i="7"/>
  <c r="I34" i="7" s="1"/>
  <c r="H33" i="7"/>
  <c r="C33" i="7"/>
  <c r="B33" i="7"/>
  <c r="A33" i="7"/>
  <c r="I33" i="7" s="1"/>
  <c r="H32" i="7"/>
  <c r="C32" i="7"/>
  <c r="B32" i="7"/>
  <c r="A32" i="7"/>
  <c r="I32" i="7" s="1"/>
  <c r="H31" i="7"/>
  <c r="C31" i="7"/>
  <c r="B31" i="7"/>
  <c r="A31" i="7"/>
  <c r="I31" i="7" s="1"/>
  <c r="H30" i="7"/>
  <c r="C30" i="7"/>
  <c r="B30" i="7"/>
  <c r="A30" i="7"/>
  <c r="I30" i="7" s="1"/>
  <c r="H29" i="7"/>
  <c r="C29" i="7"/>
  <c r="B29" i="7"/>
  <c r="A29" i="7"/>
  <c r="I29" i="7" s="1"/>
  <c r="H28" i="7"/>
  <c r="C28" i="7"/>
  <c r="B28" i="7"/>
  <c r="A28" i="7"/>
  <c r="I28" i="7" s="1"/>
  <c r="H27" i="7"/>
  <c r="C27" i="7"/>
  <c r="B27" i="7"/>
  <c r="A27" i="7"/>
  <c r="I27" i="7" s="1"/>
  <c r="H26" i="7"/>
  <c r="C26" i="7"/>
  <c r="B26" i="7"/>
  <c r="A26" i="7"/>
  <c r="I26" i="7" s="1"/>
  <c r="H25" i="7"/>
  <c r="C25" i="7"/>
  <c r="B25" i="7"/>
  <c r="A25" i="7"/>
  <c r="I25" i="7" s="1"/>
  <c r="H24" i="7"/>
  <c r="C24" i="7"/>
  <c r="B24" i="7"/>
  <c r="A24" i="7"/>
  <c r="I24" i="7" s="1"/>
  <c r="H23" i="7"/>
  <c r="C23" i="7"/>
  <c r="B23" i="7"/>
  <c r="A23" i="7"/>
  <c r="I23" i="7" s="1"/>
  <c r="H22" i="7"/>
  <c r="C22" i="7"/>
  <c r="B22" i="7"/>
  <c r="A22" i="7"/>
  <c r="I22" i="7" s="1"/>
  <c r="H21" i="7"/>
  <c r="C21" i="7"/>
  <c r="B21" i="7"/>
  <c r="A21" i="7"/>
  <c r="I21" i="7" s="1"/>
  <c r="H20" i="7"/>
  <c r="C20" i="7"/>
  <c r="B20" i="7"/>
  <c r="A20" i="7"/>
  <c r="I20" i="7" s="1"/>
  <c r="H19" i="7"/>
  <c r="C19" i="7"/>
  <c r="B19" i="7"/>
  <c r="A19" i="7"/>
  <c r="I19" i="7" s="1"/>
  <c r="H18" i="7"/>
  <c r="C18" i="7"/>
  <c r="B18" i="7"/>
  <c r="A18" i="7"/>
  <c r="I18" i="7" s="1"/>
  <c r="H17" i="7"/>
  <c r="C17" i="7"/>
  <c r="B17" i="7"/>
  <c r="A17" i="7"/>
  <c r="I17" i="7" s="1"/>
  <c r="H16" i="7"/>
  <c r="C16" i="7"/>
  <c r="B16" i="7"/>
  <c r="A16" i="7"/>
  <c r="I16" i="7" s="1"/>
  <c r="H15" i="7"/>
  <c r="C15" i="7"/>
  <c r="B15" i="7"/>
  <c r="A15" i="7"/>
  <c r="I15" i="7" s="1"/>
  <c r="H14" i="7"/>
  <c r="C14" i="7"/>
  <c r="B14" i="7"/>
  <c r="A14" i="7"/>
  <c r="I14" i="7" s="1"/>
  <c r="H13" i="7"/>
  <c r="C13" i="7"/>
  <c r="B13" i="7"/>
  <c r="A13" i="7"/>
  <c r="I13" i="7" s="1"/>
  <c r="H12" i="7"/>
  <c r="C12" i="7"/>
  <c r="B12" i="7"/>
  <c r="A12" i="7"/>
  <c r="I12" i="7" s="1"/>
  <c r="H11" i="7"/>
  <c r="C11" i="7"/>
  <c r="B11" i="7"/>
  <c r="A11" i="7"/>
  <c r="I11" i="7" s="1"/>
  <c r="H10" i="7"/>
  <c r="C10" i="7"/>
  <c r="B10" i="7"/>
  <c r="A10" i="7"/>
  <c r="I10" i="7" s="1"/>
  <c r="H9" i="7"/>
  <c r="C9" i="7"/>
  <c r="B9" i="7"/>
  <c r="A9" i="7"/>
  <c r="I9" i="7" s="1"/>
  <c r="H8" i="7"/>
  <c r="C8" i="7"/>
  <c r="B8" i="7"/>
  <c r="A8" i="7"/>
  <c r="I8" i="7" s="1"/>
  <c r="H7" i="7"/>
  <c r="C7" i="7"/>
  <c r="B7" i="7"/>
  <c r="A7" i="7"/>
  <c r="I7" i="7" s="1"/>
  <c r="H6" i="7"/>
  <c r="C6" i="7"/>
  <c r="B6" i="7"/>
  <c r="A6" i="7"/>
  <c r="I6" i="7" s="1"/>
  <c r="H5" i="7"/>
  <c r="C5" i="7"/>
  <c r="B5" i="7"/>
  <c r="A5" i="7"/>
  <c r="I5" i="7" s="1"/>
  <c r="M44" i="6"/>
  <c r="J44" i="6"/>
  <c r="D44" i="7" s="1"/>
  <c r="F44" i="7" s="1"/>
  <c r="M43" i="6"/>
  <c r="J43" i="6"/>
  <c r="D43" i="7" s="1"/>
  <c r="F43" i="7" s="1"/>
  <c r="M42" i="6"/>
  <c r="J42" i="6"/>
  <c r="D42" i="7" s="1"/>
  <c r="F42" i="7" s="1"/>
  <c r="M41" i="6"/>
  <c r="J41" i="6"/>
  <c r="D41" i="7" s="1"/>
  <c r="F41" i="7" s="1"/>
  <c r="M40" i="6"/>
  <c r="J40" i="6"/>
  <c r="D40" i="7" s="1"/>
  <c r="F40" i="7" s="1"/>
  <c r="M39" i="6"/>
  <c r="J39" i="6"/>
  <c r="D39" i="7" s="1"/>
  <c r="F39" i="7" s="1"/>
  <c r="M38" i="6"/>
  <c r="J38" i="6"/>
  <c r="D38" i="7" s="1"/>
  <c r="F38" i="7" s="1"/>
  <c r="M37" i="6"/>
  <c r="J37" i="6"/>
  <c r="D37" i="7" s="1"/>
  <c r="F37" i="7" s="1"/>
  <c r="M36" i="6"/>
  <c r="J36" i="6"/>
  <c r="D36" i="7" s="1"/>
  <c r="F36" i="7" s="1"/>
  <c r="M35" i="6"/>
  <c r="J35" i="6"/>
  <c r="D35" i="7" s="1"/>
  <c r="F35" i="7" s="1"/>
  <c r="M34" i="6"/>
  <c r="J34" i="6"/>
  <c r="D34" i="7" s="1"/>
  <c r="F34" i="7" s="1"/>
  <c r="M33" i="6"/>
  <c r="J33" i="6"/>
  <c r="D33" i="7" s="1"/>
  <c r="F33" i="7" s="1"/>
  <c r="M32" i="6"/>
  <c r="J32" i="6"/>
  <c r="D32" i="7" s="1"/>
  <c r="F32" i="7" s="1"/>
  <c r="M31" i="6"/>
  <c r="J31" i="6"/>
  <c r="D31" i="7" s="1"/>
  <c r="F31" i="7" s="1"/>
  <c r="M30" i="6"/>
  <c r="J30" i="6"/>
  <c r="D30" i="7" s="1"/>
  <c r="F30" i="7" s="1"/>
  <c r="M29" i="6"/>
  <c r="J29" i="6"/>
  <c r="D29" i="7" s="1"/>
  <c r="F29" i="7" s="1"/>
  <c r="M28" i="6"/>
  <c r="J28" i="6"/>
  <c r="D28" i="7" s="1"/>
  <c r="F28" i="7" s="1"/>
  <c r="M27" i="6"/>
  <c r="J27" i="6"/>
  <c r="D27" i="7" s="1"/>
  <c r="F27" i="7" s="1"/>
  <c r="M26" i="6"/>
  <c r="J26" i="6"/>
  <c r="D26" i="7" s="1"/>
  <c r="F26" i="7" s="1"/>
  <c r="M25" i="6"/>
  <c r="J25" i="6"/>
  <c r="D25" i="7" s="1"/>
  <c r="F25" i="7" s="1"/>
  <c r="M24" i="6"/>
  <c r="J24" i="6"/>
  <c r="D24" i="7" s="1"/>
  <c r="F24" i="7" s="1"/>
  <c r="M23" i="6"/>
  <c r="J23" i="6"/>
  <c r="D23" i="7" s="1"/>
  <c r="F23" i="7" s="1"/>
  <c r="M22" i="6"/>
  <c r="J22" i="6"/>
  <c r="D22" i="7" s="1"/>
  <c r="F22" i="7" s="1"/>
  <c r="M21" i="6"/>
  <c r="J21" i="6"/>
  <c r="D21" i="7" s="1"/>
  <c r="F21" i="7" s="1"/>
  <c r="M20" i="6"/>
  <c r="J20" i="6"/>
  <c r="D20" i="7" s="1"/>
  <c r="F20" i="7" s="1"/>
  <c r="M19" i="6"/>
  <c r="J19" i="6"/>
  <c r="D19" i="7" s="1"/>
  <c r="F19" i="7" s="1"/>
  <c r="M18" i="6"/>
  <c r="J18" i="6"/>
  <c r="D18" i="7" s="1"/>
  <c r="F18" i="7" s="1"/>
  <c r="M17" i="6"/>
  <c r="J17" i="6"/>
  <c r="D17" i="7" s="1"/>
  <c r="F17" i="7" s="1"/>
  <c r="M16" i="6"/>
  <c r="J16" i="6"/>
  <c r="D16" i="7" s="1"/>
  <c r="F16" i="7" s="1"/>
  <c r="M15" i="6"/>
  <c r="J15" i="6"/>
  <c r="D15" i="7" s="1"/>
  <c r="F15" i="7" s="1"/>
  <c r="M14" i="6"/>
  <c r="J14" i="6"/>
  <c r="D14" i="7" s="1"/>
  <c r="F14" i="7" s="1"/>
  <c r="M13" i="6"/>
  <c r="J13" i="6"/>
  <c r="D13" i="7" s="1"/>
  <c r="F13" i="7" s="1"/>
  <c r="M12" i="6"/>
  <c r="J12" i="6"/>
  <c r="D12" i="7" s="1"/>
  <c r="F12" i="7" s="1"/>
  <c r="M11" i="6"/>
  <c r="J11" i="6"/>
  <c r="D11" i="7" s="1"/>
  <c r="F11" i="7" s="1"/>
  <c r="M10" i="6"/>
  <c r="J10" i="6"/>
  <c r="D10" i="7" s="1"/>
  <c r="F10" i="7" s="1"/>
  <c r="M9" i="6"/>
  <c r="J9" i="6"/>
  <c r="D9" i="7" s="1"/>
  <c r="F9" i="7" s="1"/>
  <c r="M8" i="6"/>
  <c r="J8" i="6"/>
  <c r="D8" i="7" s="1"/>
  <c r="F8" i="7" s="1"/>
  <c r="M7" i="6"/>
  <c r="J7" i="6"/>
  <c r="D7" i="7" s="1"/>
  <c r="F7" i="7" s="1"/>
  <c r="M6" i="6"/>
  <c r="J6" i="6"/>
  <c r="D6" i="7" s="1"/>
  <c r="F6" i="7" s="1"/>
  <c r="M5" i="6"/>
  <c r="J5" i="6"/>
  <c r="D5" i="7" s="1"/>
  <c r="F5" i="7" s="1"/>
  <c r="I3" i="6"/>
  <c r="J31" i="5" s="1"/>
  <c r="F3" i="6"/>
  <c r="H31" i="5"/>
  <c r="F31" i="5"/>
  <c r="H30" i="5"/>
  <c r="F30" i="5"/>
  <c r="H29" i="5"/>
  <c r="F29" i="5"/>
  <c r="H28" i="5"/>
  <c r="F28" i="5"/>
  <c r="H27" i="5"/>
  <c r="F27" i="5"/>
  <c r="H26" i="5"/>
  <c r="F26" i="5"/>
  <c r="H25" i="5"/>
  <c r="F25" i="5"/>
  <c r="H24" i="5"/>
  <c r="F24" i="5"/>
  <c r="H23" i="5"/>
  <c r="F23" i="5"/>
  <c r="H22" i="5"/>
  <c r="F22" i="5"/>
  <c r="H21" i="5"/>
  <c r="F21" i="5"/>
  <c r="H20" i="5"/>
  <c r="F20" i="5"/>
  <c r="H19" i="5"/>
  <c r="F19" i="5"/>
  <c r="I19" i="5" s="1"/>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F30" i="2"/>
  <c r="F29" i="2"/>
  <c r="F28" i="2"/>
  <c r="F27" i="2"/>
  <c r="F26" i="2"/>
  <c r="F25" i="2"/>
  <c r="F24" i="2"/>
  <c r="F23" i="2"/>
  <c r="F22" i="2"/>
  <c r="F21" i="2"/>
  <c r="F20" i="2"/>
  <c r="F19" i="2"/>
  <c r="F18" i="2"/>
  <c r="F17" i="2"/>
  <c r="F16" i="2"/>
  <c r="F15" i="2"/>
  <c r="F14" i="2"/>
  <c r="F13" i="2"/>
  <c r="F12" i="2"/>
  <c r="F11" i="2"/>
  <c r="F10" i="2"/>
  <c r="F9" i="2"/>
  <c r="F8" i="2"/>
  <c r="F7" i="2"/>
  <c r="I4" i="2"/>
  <c r="I3" i="2"/>
  <c r="G15" i="1"/>
  <c r="G14" i="1"/>
  <c r="G13" i="1"/>
  <c r="G12" i="1"/>
  <c r="G11" i="1"/>
  <c r="C11" i="1"/>
  <c r="G10" i="1"/>
  <c r="C10" i="1"/>
  <c r="F7" i="1"/>
  <c r="E7" i="1"/>
  <c r="E39" i="7" l="1"/>
  <c r="G39" i="7"/>
  <c r="E28" i="7"/>
  <c r="G28" i="7"/>
  <c r="E22" i="7"/>
  <c r="G22" i="7"/>
  <c r="L28" i="5"/>
  <c r="L29" i="5"/>
  <c r="L26" i="5"/>
  <c r="L25" i="5"/>
  <c r="C31" i="9"/>
  <c r="E31" i="9" s="1"/>
  <c r="D53" i="3"/>
  <c r="C30" i="9"/>
  <c r="E30" i="9" s="1"/>
  <c r="D52" i="3"/>
  <c r="C29" i="9"/>
  <c r="E29" i="9" s="1"/>
  <c r="D51" i="3"/>
  <c r="E44" i="7"/>
  <c r="G44" i="7"/>
  <c r="E43" i="7"/>
  <c r="G43" i="7"/>
  <c r="G42" i="7"/>
  <c r="E42" i="7"/>
  <c r="G41" i="7"/>
  <c r="E41" i="7"/>
  <c r="E40" i="7"/>
  <c r="G40" i="7"/>
  <c r="E38" i="7"/>
  <c r="G38" i="7"/>
  <c r="E37" i="7"/>
  <c r="G37" i="7"/>
  <c r="E36" i="7"/>
  <c r="G36" i="7"/>
  <c r="E35" i="7"/>
  <c r="G35" i="7"/>
  <c r="E34" i="7"/>
  <c r="G34" i="7"/>
  <c r="G33" i="7"/>
  <c r="E33" i="7"/>
  <c r="E32" i="7"/>
  <c r="G32" i="7"/>
  <c r="E31" i="7"/>
  <c r="G31" i="7"/>
  <c r="G30" i="7"/>
  <c r="E30" i="7"/>
  <c r="E29" i="7"/>
  <c r="G29" i="7"/>
  <c r="G27" i="7"/>
  <c r="E27" i="7"/>
  <c r="G26" i="7"/>
  <c r="E26" i="7"/>
  <c r="G25" i="7"/>
  <c r="E25" i="7"/>
  <c r="E24" i="7"/>
  <c r="G24" i="7"/>
  <c r="E23" i="7"/>
  <c r="G23" i="7"/>
  <c r="E21" i="7"/>
  <c r="G21" i="7"/>
  <c r="G20" i="7"/>
  <c r="E20" i="7"/>
  <c r="E19" i="7"/>
  <c r="G19" i="7"/>
  <c r="G18" i="7"/>
  <c r="E18" i="7"/>
  <c r="G17" i="7"/>
  <c r="E17" i="7"/>
  <c r="E16" i="7"/>
  <c r="G16" i="7"/>
  <c r="E15" i="7"/>
  <c r="G15" i="7"/>
  <c r="G14" i="7"/>
  <c r="E14" i="7"/>
  <c r="E13" i="7"/>
  <c r="G13" i="7"/>
  <c r="E12" i="7"/>
  <c r="G12" i="7"/>
  <c r="G11" i="7"/>
  <c r="E11" i="7"/>
  <c r="E10" i="7"/>
  <c r="G10" i="7"/>
  <c r="G9" i="7"/>
  <c r="E9" i="7"/>
  <c r="G8" i="7"/>
  <c r="E8" i="7"/>
  <c r="G7" i="7"/>
  <c r="E7" i="7"/>
  <c r="G6" i="7"/>
  <c r="E6" i="7"/>
  <c r="E5" i="7"/>
  <c r="G5" i="7"/>
  <c r="J26" i="5"/>
  <c r="J15" i="5"/>
  <c r="J14" i="5"/>
  <c r="J28" i="5"/>
  <c r="J13" i="5"/>
  <c r="J12" i="5"/>
  <c r="J11" i="5"/>
  <c r="J10" i="5"/>
  <c r="K10" i="5" s="1"/>
  <c r="J4" i="5"/>
  <c r="K4" i="5" s="1"/>
  <c r="J9" i="5"/>
  <c r="K9" i="5" s="1"/>
  <c r="J29" i="5"/>
  <c r="J8" i="5"/>
  <c r="K8" i="5" s="1"/>
  <c r="J7" i="5"/>
  <c r="K7" i="5" s="1"/>
  <c r="J25" i="5"/>
  <c r="J6" i="5"/>
  <c r="K6" i="5" s="1"/>
  <c r="J30" i="5"/>
  <c r="J5" i="5"/>
  <c r="K5" i="5" s="1"/>
  <c r="J24" i="5"/>
  <c r="J23" i="5"/>
  <c r="K23" i="5" s="1"/>
  <c r="J22" i="5"/>
  <c r="K22" i="5" s="1"/>
  <c r="J21" i="5"/>
  <c r="K21" i="5" s="1"/>
  <c r="J20" i="5"/>
  <c r="K20" i="5" s="1"/>
  <c r="J19" i="5"/>
  <c r="K19" i="5" s="1"/>
  <c r="J18" i="5"/>
  <c r="K18" i="5" s="1"/>
  <c r="J17" i="5"/>
  <c r="K17" i="5" s="1"/>
  <c r="J16" i="5"/>
  <c r="K16" i="5" s="1"/>
  <c r="K31" i="5"/>
  <c r="I31" i="5"/>
  <c r="K30" i="5"/>
  <c r="I30" i="5"/>
  <c r="C10" i="8" s="1"/>
  <c r="H15" i="2" s="1"/>
  <c r="K29" i="5"/>
  <c r="I29" i="5"/>
  <c r="H31" i="2" s="1"/>
  <c r="K28" i="5"/>
  <c r="I28" i="5"/>
  <c r="H11" i="2" s="1"/>
  <c r="K27" i="5"/>
  <c r="I27" i="5"/>
  <c r="K26" i="5"/>
  <c r="I26" i="5"/>
  <c r="H7" i="2" s="1"/>
  <c r="H32" i="5"/>
  <c r="C4" i="8"/>
  <c r="K25" i="5"/>
  <c r="I25" i="5"/>
  <c r="H10" i="2" s="1"/>
  <c r="K24" i="5"/>
  <c r="I24" i="5"/>
  <c r="H8" i="2" s="1"/>
  <c r="I23" i="5"/>
  <c r="H13" i="2" s="1"/>
  <c r="I22" i="5"/>
  <c r="H9" i="2" s="1"/>
  <c r="I21" i="5"/>
  <c r="H17" i="2" s="1"/>
  <c r="I20" i="5"/>
  <c r="H16" i="2" s="1"/>
  <c r="I18" i="5"/>
  <c r="H14" i="2" s="1"/>
  <c r="I17" i="5"/>
  <c r="H30" i="2" s="1"/>
  <c r="I16" i="5"/>
  <c r="H29" i="2" s="1"/>
  <c r="K15" i="5"/>
  <c r="I15" i="5"/>
  <c r="I14" i="5"/>
  <c r="H22" i="2" s="1"/>
  <c r="K14" i="5"/>
  <c r="K13" i="5"/>
  <c r="I13" i="5"/>
  <c r="H21" i="2" s="1"/>
  <c r="I12" i="5"/>
  <c r="H20" i="2" s="1"/>
  <c r="K12" i="5"/>
  <c r="K11" i="5"/>
  <c r="I11" i="5"/>
  <c r="H28" i="2" s="1"/>
  <c r="I10" i="5"/>
  <c r="H27" i="2" s="1"/>
  <c r="I9" i="5"/>
  <c r="H26" i="2" s="1"/>
  <c r="I8" i="5"/>
  <c r="H25" i="2" s="1"/>
  <c r="I7" i="5"/>
  <c r="H24" i="2" s="1"/>
  <c r="I6" i="5"/>
  <c r="H19" i="2" s="1"/>
  <c r="I5" i="5"/>
  <c r="H18" i="2" s="1"/>
  <c r="I4" i="5"/>
  <c r="H12" i="2" s="1"/>
  <c r="L15" i="5"/>
  <c r="L14" i="5"/>
  <c r="L12" i="5"/>
  <c r="L11" i="5"/>
  <c r="L10" i="5"/>
  <c r="L9" i="5"/>
  <c r="L8" i="5"/>
  <c r="L6" i="5"/>
  <c r="L5" i="5"/>
  <c r="L4" i="5"/>
  <c r="L13" i="5"/>
  <c r="L24" i="5"/>
  <c r="L23" i="5"/>
  <c r="L22" i="5"/>
  <c r="L21" i="5"/>
  <c r="L20" i="5"/>
  <c r="L19" i="5"/>
  <c r="L18" i="5"/>
  <c r="L17" i="5"/>
  <c r="L16" i="5"/>
  <c r="L7" i="5"/>
  <c r="C23" i="3"/>
  <c r="D58" i="3" s="1"/>
  <c r="C13" i="1" s="1"/>
  <c r="D59" i="3"/>
  <c r="D42" i="3"/>
  <c r="C51" i="9"/>
  <c r="E51" i="9" s="1"/>
  <c r="D41" i="3"/>
  <c r="C50" i="9"/>
  <c r="E50" i="9" s="1"/>
  <c r="D40" i="3"/>
  <c r="C49" i="9"/>
  <c r="E49" i="9" s="1"/>
  <c r="D39" i="3"/>
  <c r="C48" i="9"/>
  <c r="E48" i="9" s="1"/>
  <c r="D38" i="3"/>
  <c r="C47" i="9"/>
  <c r="E47" i="9" s="1"/>
  <c r="D37" i="3"/>
  <c r="C46" i="9"/>
  <c r="E46" i="9" s="1"/>
  <c r="C45" i="9"/>
  <c r="E45" i="9" s="1"/>
  <c r="D36" i="3"/>
  <c r="D35" i="3"/>
  <c r="C44" i="9"/>
  <c r="E44" i="9" s="1"/>
  <c r="C43" i="9"/>
  <c r="E43" i="9" s="1"/>
  <c r="D34" i="3"/>
  <c r="D33" i="3"/>
  <c r="C42" i="9"/>
  <c r="E42" i="9" s="1"/>
  <c r="C41" i="9"/>
  <c r="E41" i="9" s="1"/>
  <c r="D32" i="3"/>
  <c r="D31" i="3"/>
  <c r="C40" i="9"/>
  <c r="E40" i="9" s="1"/>
  <c r="C39" i="9"/>
  <c r="E39" i="9" s="1"/>
  <c r="D30" i="3"/>
  <c r="D29" i="3"/>
  <c r="C38" i="9"/>
  <c r="E38" i="9" s="1"/>
  <c r="D48" i="3"/>
  <c r="C37" i="9"/>
  <c r="E37" i="9" s="1"/>
  <c r="D47" i="3"/>
  <c r="C36" i="9"/>
  <c r="E36" i="9" s="1"/>
  <c r="D46" i="3"/>
  <c r="C35" i="9"/>
  <c r="E35" i="9" s="1"/>
  <c r="C34" i="9"/>
  <c r="E34" i="9" s="1"/>
  <c r="D45" i="3"/>
  <c r="C33" i="9"/>
  <c r="E33" i="9" s="1"/>
  <c r="D44" i="3"/>
  <c r="C32" i="9"/>
  <c r="E32" i="9" s="1"/>
  <c r="D43" i="3"/>
  <c r="C28" i="9"/>
  <c r="E28" i="9" s="1"/>
  <c r="D50" i="3"/>
  <c r="F33" i="2"/>
  <c r="A34" i="2" s="1"/>
  <c r="C27" i="9"/>
  <c r="E27" i="9" s="1"/>
  <c r="D49" i="3"/>
  <c r="E52" i="9"/>
  <c r="L30" i="5"/>
  <c r="C52" i="9"/>
  <c r="H23" i="2" l="1"/>
  <c r="C11" i="8" s="1"/>
  <c r="M19" i="5"/>
  <c r="N19" i="5"/>
  <c r="D35" i="9"/>
  <c r="F35" i="9" s="1"/>
  <c r="G35" i="9" s="1"/>
  <c r="M31" i="5"/>
  <c r="N31" i="5"/>
  <c r="D11" i="9"/>
  <c r="M30" i="5"/>
  <c r="N30" i="5"/>
  <c r="E11" i="9"/>
  <c r="D52" i="9" s="1"/>
  <c r="F52" i="9" s="1"/>
  <c r="G52" i="9" s="1"/>
  <c r="D51" i="9"/>
  <c r="F51" i="9" s="1"/>
  <c r="G51" i="9" s="1"/>
  <c r="M29" i="5"/>
  <c r="N29" i="5"/>
  <c r="D31" i="9"/>
  <c r="F31" i="9" s="1"/>
  <c r="G31" i="9" s="1"/>
  <c r="M28" i="5"/>
  <c r="N28" i="5"/>
  <c r="M27" i="5"/>
  <c r="N27" i="5"/>
  <c r="D27" i="9"/>
  <c r="F27" i="9" s="1"/>
  <c r="M26" i="5"/>
  <c r="N26" i="5"/>
  <c r="C6" i="8"/>
  <c r="B7" i="1" s="1"/>
  <c r="C7" i="8"/>
  <c r="D30" i="9"/>
  <c r="F30" i="9" s="1"/>
  <c r="G30" i="9" s="1"/>
  <c r="M25" i="5"/>
  <c r="N25" i="5"/>
  <c r="M24" i="5"/>
  <c r="N24" i="5"/>
  <c r="D28" i="9"/>
  <c r="F28" i="9" s="1"/>
  <c r="G28" i="9" s="1"/>
  <c r="D33" i="9"/>
  <c r="F33" i="9" s="1"/>
  <c r="G33" i="9" s="1"/>
  <c r="M23" i="5"/>
  <c r="N23" i="5"/>
  <c r="D29" i="9"/>
  <c r="F29" i="9" s="1"/>
  <c r="M22" i="5"/>
  <c r="N22" i="5"/>
  <c r="D37" i="9"/>
  <c r="F37" i="9" s="1"/>
  <c r="G37" i="9" s="1"/>
  <c r="M21" i="5"/>
  <c r="N21" i="5"/>
  <c r="D36" i="9"/>
  <c r="F36" i="9" s="1"/>
  <c r="G36" i="9" s="1"/>
  <c r="M20" i="5"/>
  <c r="N20" i="5"/>
  <c r="D34" i="9"/>
  <c r="F34" i="9" s="1"/>
  <c r="G34" i="9" s="1"/>
  <c r="M18" i="5"/>
  <c r="N18" i="5"/>
  <c r="D50" i="9"/>
  <c r="F50" i="9" s="1"/>
  <c r="G50" i="9" s="1"/>
  <c r="M17" i="5"/>
  <c r="N17" i="5"/>
  <c r="D49" i="9"/>
  <c r="F49" i="9" s="1"/>
  <c r="G49" i="9" s="1"/>
  <c r="M16" i="5"/>
  <c r="N16" i="5"/>
  <c r="D43" i="9"/>
  <c r="F43" i="9" s="1"/>
  <c r="G43" i="9" s="1"/>
  <c r="M15" i="5"/>
  <c r="N15" i="5"/>
  <c r="D42" i="9"/>
  <c r="F42" i="9" s="1"/>
  <c r="G42" i="9" s="1"/>
  <c r="M14" i="5"/>
  <c r="N14" i="5"/>
  <c r="D41" i="9"/>
  <c r="F41" i="9" s="1"/>
  <c r="G41" i="9" s="1"/>
  <c r="M13" i="5"/>
  <c r="N13" i="5"/>
  <c r="D40" i="9"/>
  <c r="F40" i="9" s="1"/>
  <c r="G40" i="9" s="1"/>
  <c r="M12" i="5"/>
  <c r="N12" i="5"/>
  <c r="D48" i="9"/>
  <c r="F48" i="9" s="1"/>
  <c r="G48" i="9" s="1"/>
  <c r="M11" i="5"/>
  <c r="N11" i="5"/>
  <c r="D47" i="9"/>
  <c r="F47" i="9" s="1"/>
  <c r="G47" i="9" s="1"/>
  <c r="M10" i="5"/>
  <c r="N10" i="5"/>
  <c r="D46" i="9"/>
  <c r="F46" i="9" s="1"/>
  <c r="G46" i="9" s="1"/>
  <c r="M9" i="5"/>
  <c r="N9" i="5"/>
  <c r="D45" i="9"/>
  <c r="F45" i="9" s="1"/>
  <c r="G45" i="9" s="1"/>
  <c r="M8" i="5"/>
  <c r="N8" i="5"/>
  <c r="D44" i="9"/>
  <c r="F44" i="9" s="1"/>
  <c r="G44" i="9" s="1"/>
  <c r="M7" i="5"/>
  <c r="N7" i="5"/>
  <c r="D39" i="9"/>
  <c r="F39" i="9" s="1"/>
  <c r="G39" i="9" s="1"/>
  <c r="M6" i="5"/>
  <c r="N6" i="5"/>
  <c r="M5" i="5"/>
  <c r="N5" i="5"/>
  <c r="D38" i="9"/>
  <c r="F38" i="9" s="1"/>
  <c r="G38" i="9" s="1"/>
  <c r="D32" i="9"/>
  <c r="F32" i="9" s="1"/>
  <c r="G32" i="9" s="1"/>
  <c r="M4" i="5"/>
  <c r="N4" i="5"/>
  <c r="O4" i="5" s="1"/>
  <c r="G7" i="1"/>
  <c r="B18" i="1" s="1"/>
  <c r="C40" i="8"/>
  <c r="E34" i="3"/>
  <c r="G34" i="3" s="1"/>
  <c r="E36" i="3"/>
  <c r="G36" i="3" s="1"/>
  <c r="E41" i="3"/>
  <c r="G41" i="3" s="1"/>
  <c r="E44" i="3"/>
  <c r="G44" i="3" s="1"/>
  <c r="E31" i="3"/>
  <c r="G31" i="3" s="1"/>
  <c r="E35" i="3"/>
  <c r="G35" i="3" s="1"/>
  <c r="E43" i="3"/>
  <c r="G43" i="3" s="1"/>
  <c r="E42" i="3"/>
  <c r="G42" i="3" s="1"/>
  <c r="E45" i="3"/>
  <c r="G45" i="3" s="1"/>
  <c r="E32" i="3"/>
  <c r="G32" i="3" s="1"/>
  <c r="E50" i="3"/>
  <c r="G50" i="3" s="1"/>
  <c r="D69" i="3"/>
  <c r="E69" i="3" s="1"/>
  <c r="E53" i="3"/>
  <c r="G53" i="3" s="1"/>
  <c r="E29" i="3"/>
  <c r="E33" i="3"/>
  <c r="G33" i="3" s="1"/>
  <c r="E37" i="3"/>
  <c r="G37" i="3" s="1"/>
  <c r="E39" i="3"/>
  <c r="G39" i="3" s="1"/>
  <c r="E46" i="3"/>
  <c r="G46" i="3" s="1"/>
  <c r="E47" i="3"/>
  <c r="G47" i="3" s="1"/>
  <c r="E49" i="3"/>
  <c r="G49" i="3" s="1"/>
  <c r="C12" i="1"/>
  <c r="E30" i="3"/>
  <c r="G30" i="3" s="1"/>
  <c r="E38" i="3"/>
  <c r="G38" i="3" s="1"/>
  <c r="E40" i="3"/>
  <c r="G40" i="3" s="1"/>
  <c r="E48" i="3"/>
  <c r="G48" i="3" s="1"/>
  <c r="E51" i="3"/>
  <c r="G51" i="3" s="1"/>
  <c r="E52" i="3"/>
  <c r="G52" i="3" s="1"/>
  <c r="G27" i="9"/>
  <c r="E19" i="9" l="1"/>
  <c r="E20" i="9"/>
  <c r="E21" i="9"/>
  <c r="E16" i="9"/>
  <c r="E17" i="9"/>
  <c r="E18" i="9"/>
  <c r="C12" i="8"/>
  <c r="C16" i="8"/>
  <c r="C41" i="8"/>
  <c r="C7" i="1"/>
  <c r="G29" i="3"/>
  <c r="G54" i="3" s="1"/>
  <c r="E54" i="3"/>
  <c r="F54" i="3" s="1"/>
  <c r="O5" i="5"/>
  <c r="O6" i="5" s="1"/>
  <c r="O7" i="5" s="1"/>
  <c r="O8" i="5" s="1"/>
  <c r="O9" i="5" s="1"/>
  <c r="O10" i="5" s="1"/>
  <c r="O11" i="5" s="1"/>
  <c r="O12" i="5" s="1"/>
  <c r="O13" i="5" s="1"/>
  <c r="O14" i="5" s="1"/>
  <c r="O15" i="5" s="1"/>
  <c r="O16" i="5" s="1"/>
  <c r="O17" i="5" s="1"/>
  <c r="O18" i="5" s="1"/>
  <c r="O19" i="5" s="1"/>
  <c r="O20" i="5" s="1"/>
  <c r="O21" i="5" s="1"/>
  <c r="O22" i="5" s="1"/>
  <c r="O23" i="5" s="1"/>
  <c r="O24" i="5" s="1"/>
  <c r="O25" i="5" s="1"/>
  <c r="O26" i="5" s="1"/>
  <c r="O27" i="5" s="1"/>
  <c r="O28" i="5" s="1"/>
  <c r="O29" i="5" s="1"/>
  <c r="O30" i="5" s="1"/>
  <c r="O31" i="5" s="1"/>
  <c r="G29" i="9"/>
  <c r="B11" i="9"/>
  <c r="C11" i="9" s="1"/>
  <c r="F11" i="9"/>
  <c r="A22" i="9" s="1"/>
  <c r="C24" i="3" l="1"/>
  <c r="G21" i="9"/>
  <c r="G20" i="9"/>
  <c r="G19" i="9"/>
  <c r="G18" i="9"/>
  <c r="G17" i="9"/>
  <c r="G16" i="9"/>
  <c r="D7" i="1"/>
  <c r="B14" i="10"/>
  <c r="E14" i="10" s="1"/>
  <c r="F14" i="10" s="1"/>
  <c r="B13" i="10"/>
  <c r="E13" i="10" s="1"/>
  <c r="B12" i="10"/>
  <c r="E12" i="10" s="1"/>
  <c r="F12" i="10" s="1"/>
  <c r="H37" i="8"/>
  <c r="I37" i="8" s="1"/>
  <c r="H36" i="8"/>
  <c r="I36" i="8" s="1"/>
  <c r="H35" i="8"/>
  <c r="I35" i="8" s="1"/>
  <c r="H34" i="8"/>
  <c r="I34" i="8" s="1"/>
  <c r="H33" i="8"/>
  <c r="I33" i="8" s="1"/>
  <c r="H32" i="8"/>
  <c r="I32" i="8" s="1"/>
  <c r="H31" i="8"/>
  <c r="I31" i="8" s="1"/>
  <c r="H30" i="8"/>
  <c r="I30" i="8" s="1"/>
  <c r="D21" i="9"/>
  <c r="D20" i="9"/>
  <c r="D19" i="9"/>
  <c r="D18" i="9"/>
  <c r="D17" i="9"/>
  <c r="D16" i="9"/>
  <c r="C14" i="1" l="1"/>
  <c r="C25" i="3"/>
  <c r="C15" i="1" s="1"/>
  <c r="G14" i="10"/>
  <c r="H14" i="10"/>
  <c r="I14" i="10"/>
  <c r="F13" i="10"/>
  <c r="B18" i="10"/>
  <c r="C18" i="10"/>
  <c r="D18" i="10"/>
  <c r="E18" i="10"/>
  <c r="F18" i="10"/>
  <c r="C23" i="10"/>
  <c r="C25" i="10"/>
  <c r="G12" i="10"/>
  <c r="H12" i="10"/>
  <c r="I12" i="10"/>
  <c r="I21" i="9"/>
  <c r="F21" i="9"/>
  <c r="H21" i="9" s="1"/>
  <c r="I20" i="9"/>
  <c r="F20" i="9"/>
  <c r="H20" i="9" s="1"/>
  <c r="I19" i="9"/>
  <c r="F19" i="9"/>
  <c r="H19" i="9" s="1"/>
  <c r="I18" i="9"/>
  <c r="F18" i="9"/>
  <c r="H18" i="9" s="1"/>
  <c r="I17" i="9"/>
  <c r="F17" i="9"/>
  <c r="H17" i="9" s="1"/>
  <c r="F16" i="9"/>
  <c r="H16" i="9" s="1"/>
  <c r="I16" i="9"/>
  <c r="G13" i="10" l="1"/>
  <c r="H13" i="10"/>
  <c r="I13" i="10"/>
  <c r="C22" i="10"/>
  <c r="C2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 ref="B15" authorId="0" shapeId="0" xr:uid="{00000000-0006-0000-0100-000003000000}">
      <text>
        <r>
          <rPr>
            <sz val="11"/>
            <color theme="1"/>
            <rFont val="Calibri"/>
            <family val="2"/>
            <scheme val="minor"/>
          </rPr>
          <t>OPTIONAL — the ONE precious luxury in the heart (orris/iris butter).
Expected result if INCLUDED: a buttery, powdery, suede-like violet-orris depth that reads as 'expensive' and haute-parfumerie. It rounds the heart and makes the drydown feel refined.
If you LEAVE IT OUT: Methyl Alpha Ionone still carries the powdery-violet direction — the heart is simply a touch less deep. Set the toggle in C4 to NO and the workbook renormalises everything else to 100% automatically.</t>
        </r>
      </text>
    </comment>
    <comment ref="B21" authorId="0" shapeId="0" xr:uid="{00000000-0006-0000-0100-000004000000}">
      <text>
        <r>
          <rPr>
            <sz val="11"/>
            <color theme="1"/>
            <rFont val="Calibri"/>
            <family val="2"/>
            <scheme val="minor"/>
          </rPr>
          <t>SANDALWOOD ACCORD (1 of 3): this natural EO is the anchor. Sandalore adds smooth volume; Javanol (optional) adds radiance. Overlapping on purpose for a full, natural-leaning sandalwood.</t>
        </r>
      </text>
    </comment>
    <comment ref="B22" authorId="0" shapeId="0" xr:uid="{00000000-0006-0000-0100-000005000000}">
      <text>
        <r>
          <rPr>
            <sz val="11"/>
            <color theme="1"/>
            <rFont val="Calibri"/>
            <family val="2"/>
            <scheme val="minor"/>
          </rPr>
          <t>SANDALWOOD ACCORD (2 of 3): overlaps Javanol (both creamy sandalwood synthetics). Intentional layering. If you ever simplify, drop Javanol (optional) first — keep this + the natural EO.</t>
        </r>
      </text>
    </comment>
    <comment ref="B23" authorId="0" shapeId="0" xr:uid="{00000000-0006-0000-0100-000006000000}">
      <text>
        <r>
          <rPr>
            <sz val="11"/>
            <color theme="1"/>
            <rFont val="Calibri"/>
            <family val="2"/>
            <scheme val="minor"/>
          </rPr>
          <t>OPTIONAL — a radiance booster in the sandalwood accord.
Expected result if INCLUDED: a big lift of creamy, milky, glowing sandalwood — more 'aura' and a modern sandal signature that projects softly.
If you LEAVE IT OUT: natural Sandalwood EO + Sandalore still give a rounded, creamy sandalwood — just with less radiant push. Toggle C4 = NO renormalises automatically.</t>
        </r>
      </text>
    </comment>
    <comment ref="B24" authorId="0" shapeId="0" xr:uid="{00000000-0006-0000-0100-000007000000}">
      <text>
        <r>
          <rPr>
            <sz val="11"/>
            <color theme="1"/>
            <rFont val="Calibri"/>
            <family val="2"/>
            <scheme val="minor"/>
          </rPr>
          <t>MUSK ACCORD: this and Exaltolide Total are both macrocyclic-lactone musks (very close smell). Kept together for a rounder, longer skin-musk trail — this is the effect you asked for ('still here after I leave').</t>
        </r>
      </text>
    </comment>
    <comment ref="B28" authorId="0" shapeId="0" xr:uid="{00000000-0006-0000-0100-000008000000}">
      <text>
        <r>
          <rPr>
            <sz val="11"/>
            <color theme="1"/>
            <rFont val="Calibri"/>
            <family val="2"/>
            <scheme val="minor"/>
          </rPr>
          <t>MUSK ACCORD: overlaps Globalide (both macrocyclic-lactone musks). If you want to cut cost/complexity later, these two are the pair to review — but together they build the lingering trail.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27" authorId="0" shapeId="0" xr:uid="{00000000-0006-0000-0400-000004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5000000}">
      <text>
        <r>
          <rPr>
            <sz val="11"/>
            <color theme="1"/>
            <rFont val="Calibri"/>
            <family val="2"/>
            <scheme val="minor"/>
          </rPr>
          <t>Fabric use only — track manually.</t>
        </r>
      </text>
    </comment>
    <comment ref="B30" authorId="0" shapeId="0" xr:uid="{00000000-0006-0000-0400-000006000000}">
      <text>
        <r>
          <rPr>
            <sz val="11"/>
            <color theme="1"/>
            <rFont val="Calibri"/>
            <family val="2"/>
            <scheme val="minor"/>
          </rPr>
          <t>ASSUMED pack content — edit to the real amount.</t>
        </r>
      </text>
    </comment>
    <comment ref="B31" authorId="0" shapeId="0" xr:uid="{00000000-0006-0000-0400-000007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500-000001000000}">
      <text>
        <r>
          <rPr>
            <sz val="11"/>
            <color theme="1"/>
            <rFont val="Calibri"/>
            <family val="2"/>
            <scheme val="minor"/>
          </rPr>
          <t>Target end = maceration start + this many days. 42 days = 6 weeks (ready window is 4–8 weeks).</t>
        </r>
      </text>
    </comment>
    <comment ref="B4" authorId="0" shapeId="0" xr:uid="{00000000-0006-0000-0500-000002000000}">
      <text>
        <r>
          <rPr>
            <sz val="11"/>
            <color theme="1"/>
            <rFont val="Calibri"/>
            <family val="2"/>
            <scheme val="minor"/>
          </rPr>
          <t>Suggested ID: ASMR-YYYYMMDD-01</t>
        </r>
      </text>
    </comment>
    <comment ref="J5" authorId="0" shapeId="0" xr:uid="{00000000-0006-0000-05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9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<sst xmlns="http://schemas.openxmlformats.org/spreadsheetml/2006/main" count="636" uniqueCount="417">
  <si>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</si>
  <si>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</si>
  <si>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</si>
  <si>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</si>
  <si>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</si>
  <si>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</si>
  <si>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</si>
  <si>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</si>
  <si>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</si>
  <si>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</si>
  <si>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</si>
  <si>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</si>
  <si>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</si>
  <si>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</si>
  <si>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</si>
  <si>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</si>
  <si>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</si>
  <si>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</si>
  <si>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</si>
  <si>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</si>
  <si>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</si>
  <si>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</si>
  <si>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</si>
  <si>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</si>
  <si>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</si>
  <si>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</si>
  <si>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</si>
  <si>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</si>
  <si>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</si>
  <si>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</si>
  <si>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</si>
  <si>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</si>
  <si>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</si>
  <si>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</si>
  <si>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</si>
  <si>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</si>
  <si>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</si>
  <si>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</si>
  <si>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</si>
  <si>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</si>
  <si>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</si>
  <si>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</si>
  <si>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</si>
  <si>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</si>
  <si>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</si>
  <si>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</si>
  <si>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</si>
  <si>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</si>
  <si>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</si>
  <si>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</si>
  <si>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</si>
  <si>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</si>
  <si>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</si>
  <si>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</si>
  <si>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</si>
  <si>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</si>
  <si>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</si>
  <si>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</si>
  <si>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</si>
  <si>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</si>
  <si>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</si>
  <si>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</si>
  <si>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</si>
  <si>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</si>
  <si>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</si>
  <si>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</si>
  <si>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</si>
  <si>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</si>
  <si>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</si>
  <si>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</si>
  <si>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</si>
  <si>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</si>
  <si>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</si>
  <si>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</si>
  <si>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</si>
  <si>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</si>
  <si>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</si>
  <si>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</si>
  <si>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</si>
  <si>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</si>
  <si>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</si>
  <si>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</si>
  <si>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</si>
  <si>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</si>
  <si>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</si>
  <si>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</si>
  <si>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</si>
  <si>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</si>
  <si>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</si>
  <si>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</si>
  <si>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</si>
  <si>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</si>
  <si>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</si>
  <si>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</si>
  <si>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</si>
  <si>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</si>
  <si>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</si>
  <si>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</si>
  <si>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</si>
  <si>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</si>
  <si>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</si>
  <si>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</si>
  <si>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</si>
  <si>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</si>
  <si>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</si>
  <si>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</si>
  <si>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</si>
  <si>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</si>
  <si>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</si>
  <si>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</si>
  <si>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</si>
  <si>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</si>
  <si>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</si>
  <si>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</si>
  <si>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</si>
  <si>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</si>
  <si>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</si>
  <si>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</si>
  <si>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</si>
  <si>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</si>
  <si>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</si>
  <si>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</si>
  <si>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</si>
  <si>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</si>
  <si>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</si>
  <si>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</si>
  <si>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</si>
  <si>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</si>
  <si>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</si>
  <si>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</si>
  <si>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</si>
  <si>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</si>
  <si>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</si>
  <si>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</si>
  <si>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</si>
  <si>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</si>
  <si>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</si>
  <si>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</si>
  <si>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</si>
  <si>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</si>
  <si>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</si>
  <si>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</si>
  <si>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</si>
  <si>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</si>
  <si>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</si>
  <si>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</si>
  <si>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</si>
  <si>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</si>
  <si>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</si>
  <si>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</si>
  <si>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</si>
  <si>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</si>
  <si>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</si>
  <si>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</si>
  <si>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</si>
  <si>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</si>
  <si>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</si>
  <si>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</si>
  <si>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</si>
  <si>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</si>
  <si>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</si>
  <si>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</si>
  <si>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</si>
  <si>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</si>
  <si>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</si>
  <si>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</si>
  <si>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</si>
  <si>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</si>
  <si>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</si>
  <si>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</si>
  <si>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</si>
  <si>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</si>
  <si>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</si>
  <si>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</si>
  <si>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</si>
  <si>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</si>
  <si>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</si>
  <si>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</si>
  <si>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</si>
  <si>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</si>
  <si>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</si>
  <si>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</si>
  <si>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</si>
  <si>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</si>
  <si>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</si>
  <si>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</si>
  <si>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</si>
  <si>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</si>
  <si>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</si>
  <si>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</si>
  <si>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</si>
  <si>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</si>
  <si>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</si>
  <si>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</si>
  <si>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</si>
  <si>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</si>
  <si>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</si>
  <si>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</si>
  <si>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</si>
  <si>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</si>
  <si>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</si>
  <si>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t>
  </si>
  <si>
    <t>Conc / batch (g):</t>
  </si>
  <si>
    <t>Alcohol / batch (g):</t>
  </si>
  <si>
    <t>Pack</t>
  </si>
  <si>
    <t>Unit</t>
  </si>
  <si>
    <t>Packs</t>
  </si>
  <si>
    <t>Density g/ml</t>
  </si>
  <si>
    <t>Grams bought</t>
  </si>
  <si>
    <t>Price/pack SAR</t>
  </si>
  <si>
    <t>Paid SAR</t>
  </si>
  <si>
    <t>SAR/g</t>
  </si>
  <si>
    <t>Used (g)</t>
  </si>
  <si>
    <t>On hand (g)</t>
  </si>
  <si>
    <t>Alert &lt; (g)</t>
  </si>
  <si>
    <t>Status</t>
  </si>
  <si>
    <t>g</t>
  </si>
  <si>
    <t>Bergamot Essential Oil</t>
  </si>
  <si>
    <t>DPG (Dipropylene Glycol)</t>
  </si>
  <si>
    <t>TOTAL PAID (SAR)</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</si>
  <si>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</si>
  <si>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</si>
  <si>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</si>
  <si>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</si>
  <si>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</si>
  <si>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</si>
  <si>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</si>
  <si>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</si>
  <si>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</si>
  <si>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</si>
  <si>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</si>
  <si>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</si>
  <si>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</si>
  <si>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</si>
  <si>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</si>
  <si>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</si>
  <si>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</si>
  <si>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</si>
  <si>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</si>
  <si>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</si>
  <si>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</si>
  <si>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</si>
  <si>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</si>
  <si>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</si>
  <si>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</si>
  <si>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</si>
  <si>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</si>
  <si>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</si>
  <si>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</si>
  <si>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</si>
  <si>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</si>
  <si>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</si>
  <si>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</si>
  <si>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</si>
  <si>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</si>
  <si>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</si>
  <si>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</si>
  <si>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</si>
  <si>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</si>
  <si>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</si>
  <si>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</si>
  <si>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</si>
  <si>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</si>
  <si>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</si>
  <si>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</si>
  <si>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</si>
  <si>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</si>
  <si>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</si>
  <si>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</si>
  <si>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</si>
  <si>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</si>
  <si>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</si>
  <si>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</si>
  <si>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</si>
  <si>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</si>
  <si>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</si>
  <si>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</si>
  <si>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</si>
  <si>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</si>
  <si>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</si>
  <si>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</si>
  <si>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</si>
  <si>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</si>
  <si>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</si>
  <si>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</si>
  <si>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</si>
  <si>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</si>
  <si>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</si>
  <si>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</si>
  <si>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</si>
  <si>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</si>
  <si>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</si>
  <si>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</si>
  <si>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</si>
  <si>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</si>
  <si>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</si>
  <si>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</si>
  <si>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</si>
  <si>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</si>
  <si>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</si>
  <si>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</si>
  <si>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</si>
  <si>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</si>
  <si>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</si>
  <si>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</si>
  <si>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</si>
  <si>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bottles</t>
  </si>
  <si>
    <t>carrier</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</si>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</sst>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6"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5">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28">
    <xf numFmtId="0" fontId="0" fillId="0" borderId="0" xfId="0"/>
    <xf numFmtId="0" fontId="0" fillId="10" borderId="0" xfId="0" applyFill="1"/>
    <xf numFmtId="0" fontId="4" fillId="0" borderId="0" xfId="0" applyFont="1" applyAlignment="1">
      <alignment horizontal="center" vertical="center"/>
    </xf>
    <xf numFmtId="4" fontId="11" fillId="4" borderId="3" xfId="0" applyNumberFormat="1" applyFont="1" applyFill="1" applyBorder="1" applyAlignment="1">
      <alignment horizontal="center" vertical="center"/>
    </xf>
    <xf numFmtId="1" fontId="11" fillId="4" borderId="3" xfId="0" applyNumberFormat="1" applyFont="1" applyFill="1" applyBorder="1" applyAlignment="1">
      <alignment horizontal="center" vertical="center"/>
    </xf>
    <xf numFmtId="0" fontId="5" fillId="0" borderId="0" xfId="0" applyFont="1" applyAlignment="1">
      <alignment vertical="center"/>
    </xf>
    <xf numFmtId="0" fontId="3" fillId="4" borderId="3" xfId="0" applyFont="1" applyFill="1" applyBorder="1" applyAlignment="1">
      <alignment horizontal="center" vertical="center"/>
    </xf>
    <xf numFmtId="4" fontId="3" fillId="4" borderId="3" xfId="0" applyNumberFormat="1" applyFont="1" applyFill="1" applyBorder="1" applyAlignment="1">
      <alignment horizontal="center" vertical="center"/>
    </xf>
    <xf numFmtId="1" fontId="3" fillId="4" borderId="3" xfId="0" applyNumberFormat="1" applyFont="1" applyFill="1" applyBorder="1" applyAlignment="1">
      <alignment horizontal="center" vertical="center"/>
    </xf>
    <xf numFmtId="166" fontId="3" fillId="4" borderId="3" xfId="0" applyNumberFormat="1" applyFont="1" applyFill="1" applyBorder="1" applyAlignment="1">
      <alignment horizontal="center" vertical="center"/>
    </xf>
    <xf numFmtId="0" fontId="7" fillId="0" borderId="0" xfId="0" applyFont="1" applyAlignment="1">
      <alignment vertical="center"/>
    </xf>
    <xf numFmtId="0" fontId="0" fillId="0" borderId="1" xfId="0" applyBorder="1"/>
    <xf numFmtId="0" fontId="4" fillId="0" borderId="0" xfId="0" applyFont="1" applyAlignment="1">
      <alignment horizontal="right" vertical="center"/>
    </xf>
    <xf numFmtId="10" fontId="5" fillId="0" borderId="0" xfId="0" applyNumberFormat="1" applyFont="1" applyAlignment="1">
      <alignment horizontal="center" vertical="center"/>
    </xf>
    <xf numFmtId="0" fontId="3" fillId="0" borderId="0" xfId="0" applyFont="1" applyAlignment="1">
      <alignment vertical="center"/>
    </xf>
    <xf numFmtId="0" fontId="3" fillId="2" borderId="2" xfId="0" applyFont="1" applyFill="1" applyBorder="1" applyAlignment="1" applyProtection="1">
      <alignment horizontal="center" vertical="center"/>
      <protection locked="0"/>
    </xf>
    <xf numFmtId="0" fontId="6" fillId="3"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5" fillId="4" borderId="3" xfId="0" applyFont="1" applyFill="1" applyBorder="1" applyAlignment="1">
      <alignment vertical="center"/>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lignment horizontal="center" vertical="center"/>
    </xf>
    <xf numFmtId="10" fontId="5" fillId="4" borderId="3" xfId="0" applyNumberFormat="1" applyFont="1" applyFill="1" applyBorder="1" applyAlignment="1">
      <alignment horizontal="center" vertical="center"/>
    </xf>
    <xf numFmtId="0" fontId="7" fillId="4" borderId="3" xfId="0" applyFont="1" applyFill="1" applyBorder="1" applyAlignment="1">
      <alignment vertical="center"/>
    </xf>
    <xf numFmtId="4" fontId="5" fillId="0" borderId="3" xfId="0" applyNumberFormat="1" applyFont="1" applyBorder="1" applyAlignment="1">
      <alignment horizontal="center" vertical="center"/>
    </xf>
    <xf numFmtId="0" fontId="7" fillId="5" borderId="3" xfId="0" applyFont="1" applyFill="1" applyBorder="1" applyAlignment="1">
      <alignment horizontal="center" vertical="center"/>
    </xf>
    <xf numFmtId="0" fontId="5" fillId="5" borderId="3" xfId="0" applyFont="1" applyFill="1" applyBorder="1" applyAlignment="1">
      <alignment vertical="center"/>
    </xf>
    <xf numFmtId="0" fontId="8" fillId="5" borderId="3" xfId="0" applyFont="1" applyFill="1" applyBorder="1" applyAlignment="1">
      <alignment horizontal="center" vertical="center"/>
    </xf>
    <xf numFmtId="10" fontId="5" fillId="5" borderId="3" xfId="0" applyNumberFormat="1" applyFont="1" applyFill="1" applyBorder="1" applyAlignment="1">
      <alignment horizontal="center" vertical="center"/>
    </xf>
    <xf numFmtId="0" fontId="7" fillId="5" borderId="3" xfId="0" applyFont="1" applyFill="1" applyBorder="1" applyAlignment="1">
      <alignment vertical="center"/>
    </xf>
    <xf numFmtId="0" fontId="7" fillId="6" borderId="3" xfId="0" applyFont="1" applyFill="1" applyBorder="1" applyAlignment="1">
      <alignment horizontal="center" vertical="center"/>
    </xf>
    <xf numFmtId="0" fontId="5" fillId="6" borderId="3" xfId="0" applyFont="1" applyFill="1" applyBorder="1" applyAlignment="1">
      <alignment vertical="center"/>
    </xf>
    <xf numFmtId="0" fontId="8" fillId="6" borderId="3" xfId="0" applyFont="1" applyFill="1" applyBorder="1" applyAlignment="1">
      <alignment horizontal="center" vertical="center"/>
    </xf>
    <xf numFmtId="10" fontId="5" fillId="6" borderId="3" xfId="0" applyNumberFormat="1" applyFont="1" applyFill="1" applyBorder="1" applyAlignment="1">
      <alignment horizontal="center" vertical="center"/>
    </xf>
    <xf numFmtId="0" fontId="7" fillId="6" borderId="3" xfId="0" applyFont="1" applyFill="1" applyBorder="1" applyAlignment="1">
      <alignment vertical="center"/>
    </xf>
    <xf numFmtId="0" fontId="7" fillId="7" borderId="3" xfId="0" applyFont="1" applyFill="1" applyBorder="1" applyAlignment="1">
      <alignment horizontal="center" vertical="center"/>
    </xf>
    <xf numFmtId="0" fontId="5" fillId="7" borderId="3" xfId="0" applyFont="1" applyFill="1" applyBorder="1" applyAlignment="1">
      <alignment vertical="center"/>
    </xf>
    <xf numFmtId="0" fontId="8" fillId="7" borderId="3" xfId="0" applyFont="1" applyFill="1" applyBorder="1" applyAlignment="1">
      <alignment horizontal="center" vertical="center"/>
    </xf>
    <xf numFmtId="10" fontId="5" fillId="7" borderId="3" xfId="0" applyNumberFormat="1" applyFont="1" applyFill="1" applyBorder="1" applyAlignment="1">
      <alignment horizontal="center" vertical="center"/>
    </xf>
    <xf numFmtId="0" fontId="7" fillId="7" borderId="3" xfId="0" applyFont="1" applyFill="1" applyBorder="1" applyAlignment="1">
      <alignment vertical="center"/>
    </xf>
    <xf numFmtId="0" fontId="3" fillId="0" borderId="0" xfId="0" applyFont="1" applyAlignment="1">
      <alignment horizontal="right" vertical="center"/>
    </xf>
    <xf numFmtId="10" fontId="3" fillId="0" borderId="1" xfId="0" applyNumberFormat="1" applyFont="1" applyBorder="1" applyAlignment="1">
      <alignment horizontal="center" vertical="center"/>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lignment horizontal="center" vertical="center"/>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lignment horizontal="center" vertical="center"/>
    </xf>
    <xf numFmtId="0" fontId="0" fillId="0" borderId="3" xfId="0" applyBorder="1"/>
    <xf numFmtId="167" fontId="7" fillId="4" borderId="3" xfId="0" applyNumberFormat="1" applyFont="1" applyFill="1" applyBorder="1" applyAlignment="1">
      <alignment horizontal="center" vertical="center"/>
    </xf>
    <xf numFmtId="0" fontId="5" fillId="4" borderId="3" xfId="0" applyFont="1" applyFill="1" applyBorder="1" applyAlignment="1" applyProtection="1">
      <alignment vertical="center"/>
      <protection locked="0"/>
    </xf>
    <xf numFmtId="166" fontId="3" fillId="5" borderId="3" xfId="0" applyNumberFormat="1" applyFont="1" applyFill="1" applyBorder="1" applyAlignment="1">
      <alignment horizontal="center" vertical="center"/>
    </xf>
    <xf numFmtId="167" fontId="7" fillId="5" borderId="3" xfId="0" applyNumberFormat="1" applyFont="1" applyFill="1" applyBorder="1" applyAlignment="1">
      <alignment horizontal="center" vertical="center"/>
    </xf>
    <xf numFmtId="0" fontId="5" fillId="5" borderId="3" xfId="0" applyFont="1" applyFill="1" applyBorder="1" applyAlignment="1" applyProtection="1">
      <alignment vertical="center"/>
      <protection locked="0"/>
    </xf>
    <xf numFmtId="4" fontId="3" fillId="9" borderId="3" xfId="0" applyNumberFormat="1" applyFont="1" applyFill="1" applyBorder="1" applyAlignment="1">
      <alignment horizontal="center" vertical="center"/>
    </xf>
    <xf numFmtId="0" fontId="3" fillId="0" borderId="3" xfId="0" applyFont="1" applyBorder="1" applyAlignment="1">
      <alignment horizontal="center" vertical="center"/>
    </xf>
    <xf numFmtId="167" fontId="7" fillId="0" borderId="3" xfId="0" applyNumberFormat="1" applyFont="1" applyBorder="1" applyAlignment="1">
      <alignment horizontal="center" vertical="center"/>
    </xf>
    <xf numFmtId="0" fontId="5" fillId="0" borderId="3" xfId="0" applyFont="1" applyBorder="1" applyAlignment="1">
      <alignment vertical="center"/>
    </xf>
    <xf numFmtId="0" fontId="7" fillId="0" borderId="3" xfId="0" applyFont="1" applyBorder="1" applyAlignment="1">
      <alignment vertical="center"/>
    </xf>
    <xf numFmtId="0" fontId="7" fillId="0" borderId="0" xfId="0" applyFont="1" applyAlignment="1">
      <alignment horizontal="right" vertical="center"/>
    </xf>
    <xf numFmtId="0" fontId="5" fillId="0" borderId="7" xfId="0" applyFont="1" applyBorder="1" applyAlignment="1" applyProtection="1">
      <alignment vertical="center"/>
      <protection locked="0"/>
    </xf>
    <xf numFmtId="4" fontId="3" fillId="0" borderId="3" xfId="0" applyNumberFormat="1" applyFont="1" applyBorder="1" applyAlignment="1">
      <alignment horizontal="center" vertical="center"/>
    </xf>
    <xf numFmtId="168" fontId="5" fillId="0" borderId="3" xfId="0" applyNumberFormat="1" applyFont="1" applyBorder="1" applyAlignment="1" applyProtection="1">
      <alignment horizontal="center" vertical="center"/>
      <protection locked="0"/>
    </xf>
    <xf numFmtId="4" fontId="5" fillId="0" borderId="3" xfId="0" applyNumberFormat="1" applyFont="1" applyBorder="1" applyAlignment="1" applyProtection="1">
      <alignment horizontal="center" vertical="center"/>
      <protection locked="0"/>
    </xf>
    <xf numFmtId="4" fontId="8" fillId="0" borderId="1" xfId="0" applyNumberFormat="1" applyFont="1" applyBorder="1" applyAlignment="1">
      <alignment horizontal="center" vertical="center"/>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lignment horizontal="center" vertical="center"/>
    </xf>
    <xf numFmtId="0" fontId="5" fillId="11" borderId="3" xfId="0" applyFont="1" applyFill="1" applyBorder="1" applyAlignment="1">
      <alignment vertical="center"/>
    </xf>
    <xf numFmtId="1" fontId="3" fillId="12" borderId="2" xfId="0" applyNumberFormat="1" applyFont="1" applyFill="1" applyBorder="1" applyAlignment="1" applyProtection="1">
      <alignment horizontal="center" vertical="center"/>
      <protection locked="0"/>
    </xf>
    <xf numFmtId="4" fontId="3" fillId="0" borderId="1" xfId="0" applyNumberFormat="1" applyFont="1" applyBorder="1" applyAlignment="1">
      <alignment horizontal="center" vertical="center"/>
    </xf>
    <xf numFmtId="4" fontId="8" fillId="0" borderId="0" xfId="0" applyNumberFormat="1" applyFont="1" applyAlignment="1">
      <alignment horizontal="center" vertical="center"/>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164" fontId="5" fillId="0" borderId="3" xfId="0" applyNumberFormat="1" applyFont="1" applyBorder="1" applyAlignment="1" applyProtection="1">
      <alignment horizontal="center" vertical="center"/>
      <protection locked="0"/>
    </xf>
    <xf numFmtId="0" fontId="5" fillId="0" borderId="3" xfId="0" applyFont="1" applyBorder="1" applyAlignment="1">
      <alignment horizontal="center" vertic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165" fontId="5" fillId="0" borderId="3" xfId="0" applyNumberFormat="1" applyFont="1" applyBorder="1" applyAlignment="1">
      <alignment horizontal="center" vertical="center"/>
    </xf>
    <xf numFmtId="169" fontId="3" fillId="5"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1" fontId="3" fillId="5" borderId="3" xfId="0" applyNumberFormat="1" applyFont="1" applyFill="1" applyBorder="1" applyAlignment="1">
      <alignment horizontal="center" vertical="center"/>
    </xf>
    <xf numFmtId="1" fontId="11" fillId="9" borderId="3" xfId="0" applyNumberFormat="1" applyFont="1" applyFill="1" applyBorder="1" applyAlignment="1">
      <alignment horizontal="center" vertical="center"/>
    </xf>
    <xf numFmtId="10" fontId="5" fillId="0" borderId="3" xfId="0" applyNumberFormat="1" applyFont="1" applyBorder="1" applyAlignment="1">
      <alignment horizontal="center" vertical="center"/>
    </xf>
    <xf numFmtId="167" fontId="5" fillId="0" borderId="3" xfId="0" applyNumberFormat="1" applyFont="1" applyBorder="1" applyAlignment="1">
      <alignment horizontal="center" vertical="center"/>
    </xf>
    <xf numFmtId="1" fontId="7" fillId="0" borderId="3" xfId="0" applyNumberFormat="1" applyFont="1" applyBorder="1" applyAlignment="1">
      <alignment horizontal="center" vertical="center"/>
    </xf>
    <xf numFmtId="170" fontId="3" fillId="2" borderId="2" xfId="0" applyNumberFormat="1" applyFont="1" applyFill="1" applyBorder="1" applyAlignment="1" applyProtection="1">
      <alignment horizontal="center" vertical="center"/>
      <protection locked="0"/>
    </xf>
    <xf numFmtId="164" fontId="5" fillId="0" borderId="3" xfId="0" applyNumberFormat="1" applyFont="1" applyBorder="1" applyAlignment="1">
      <alignment horizontal="center" vertical="center"/>
    </xf>
    <xf numFmtId="0" fontId="3" fillId="0" borderId="3" xfId="0" applyFont="1" applyBorder="1" applyAlignment="1">
      <alignment vertical="center"/>
    </xf>
    <xf numFmtId="0" fontId="13" fillId="13" borderId="0" xfId="0" applyFont="1" applyFill="1" applyAlignment="1">
      <alignment horizontal="center" vertical="center"/>
    </xf>
    <xf numFmtId="0" fontId="10" fillId="10" borderId="0" xfId="0" applyFont="1" applyFill="1" applyAlignment="1">
      <alignment horizontal="center" vertical="center"/>
    </xf>
    <xf numFmtId="0" fontId="6" fillId="14" borderId="0" xfId="0" applyFont="1" applyFill="1" applyAlignment="1">
      <alignment horizontal="center" vertical="center"/>
    </xf>
    <xf numFmtId="0" fontId="14" fillId="0" borderId="0" xfId="0" applyFont="1" applyAlignment="1">
      <alignment horizontal="center" vertical="center"/>
    </xf>
    <xf numFmtId="0" fontId="0" fillId="0" borderId="0" xfId="0"/>
    <xf numFmtId="0" fontId="5" fillId="0" borderId="0" xfId="0" applyFont="1" applyAlignment="1">
      <alignment vertical="center"/>
    </xf>
    <xf numFmtId="4" fontId="3" fillId="4" borderId="3" xfId="0" applyNumberFormat="1" applyFont="1" applyFill="1" applyBorder="1" applyAlignment="1">
      <alignment horizontal="center" vertical="center"/>
    </xf>
    <xf numFmtId="0" fontId="9" fillId="8" borderId="4" xfId="0" applyFont="1" applyFill="1" applyBorder="1" applyAlignment="1">
      <alignment vertical="center" indent="1"/>
    </xf>
    <xf numFmtId="0" fontId="0" fillId="8" borderId="4" xfId="0" applyFill="1" applyBorder="1"/>
    <xf numFmtId="0" fontId="7" fillId="0" borderId="0" xfId="0" applyFont="1" applyAlignment="1">
      <alignment vertical="center"/>
    </xf>
    <xf numFmtId="0" fontId="3" fillId="4" borderId="3" xfId="0" applyFont="1" applyFill="1" applyBorder="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vertical="center"/>
    </xf>
    <xf numFmtId="166" fontId="3" fillId="4" borderId="3" xfId="0" applyNumberFormat="1" applyFont="1" applyFill="1" applyBorder="1" applyAlignment="1">
      <alignment horizontal="center" vertical="center"/>
    </xf>
    <xf numFmtId="0" fontId="3" fillId="4" borderId="3" xfId="0" applyFont="1" applyFill="1" applyBorder="1" applyAlignment="1">
      <alignment horizontal="center" vertical="center" wrapText="1"/>
    </xf>
    <xf numFmtId="0" fontId="3" fillId="0" borderId="0" xfId="0" applyFont="1" applyAlignment="1">
      <alignment vertical="center"/>
    </xf>
    <xf numFmtId="0" fontId="2" fillId="0" borderId="1" xfId="0" applyFont="1" applyBorder="1" applyAlignment="1">
      <alignment vertical="center"/>
    </xf>
    <xf numFmtId="0" fontId="0" fillId="0" borderId="1" xfId="0" applyBorder="1"/>
    <xf numFmtId="0" fontId="7" fillId="0" borderId="0" xfId="0" applyFont="1" applyAlignment="1">
      <alignment vertical="center" wrapText="1"/>
    </xf>
    <xf numFmtId="0" fontId="1" fillId="0" borderId="0" xfId="0" applyFont="1" applyAlignment="1">
      <alignment vertical="center"/>
    </xf>
    <xf numFmtId="0" fontId="3" fillId="0" borderId="0" xfId="0" applyFont="1" applyAlignment="1">
      <alignment horizontal="center" vertical="center"/>
    </xf>
    <xf numFmtId="0" fontId="7" fillId="0" borderId="3" xfId="0" applyFont="1" applyBorder="1" applyAlignment="1">
      <alignment vertical="center"/>
    </xf>
    <xf numFmtId="0" fontId="0" fillId="0" borderId="3" xfId="0" applyBorder="1"/>
    <xf numFmtId="0" fontId="5" fillId="4" borderId="3" xfId="0" applyFont="1" applyFill="1" applyBorder="1" applyAlignment="1">
      <alignment vertical="center"/>
    </xf>
    <xf numFmtId="0" fontId="6" fillId="3" borderId="3" xfId="0" applyFont="1" applyFill="1" applyBorder="1" applyAlignment="1">
      <alignment horizontal="center" vertical="center" wrapText="1"/>
    </xf>
    <xf numFmtId="0" fontId="0" fillId="0" borderId="5" xfId="0" applyBorder="1"/>
    <xf numFmtId="0" fontId="0" fillId="0" borderId="6" xfId="0" applyBorder="1"/>
    <xf numFmtId="0" fontId="5" fillId="0" borderId="3" xfId="0" applyFont="1" applyBorder="1" applyAlignment="1">
      <alignment vertical="center"/>
    </xf>
    <xf numFmtId="0" fontId="3" fillId="0" borderId="0" xfId="0" applyFont="1" applyAlignment="1">
      <alignment horizontal="right" vertical="center"/>
    </xf>
    <xf numFmtId="0" fontId="10" fillId="10" borderId="4" xfId="0" applyFont="1" applyFill="1" applyBorder="1" applyAlignment="1">
      <alignment vertical="center" indent="1"/>
    </xf>
    <xf numFmtId="0" fontId="0" fillId="10" borderId="4" xfId="0" applyFill="1" applyBorder="1"/>
    <xf numFmtId="0" fontId="5" fillId="5" borderId="3" xfId="0" applyFont="1" applyFill="1" applyBorder="1" applyAlignment="1">
      <alignment vertical="center"/>
    </xf>
    <xf numFmtId="0" fontId="4" fillId="9" borderId="0" xfId="0" applyFont="1" applyFill="1" applyAlignment="1">
      <alignment horizontal="center" vertical="center"/>
    </xf>
    <xf numFmtId="0" fontId="4" fillId="0" borderId="1" xfId="0" applyFont="1" applyBorder="1" applyAlignment="1">
      <alignment horizontal="right" vertical="center"/>
    </xf>
    <xf numFmtId="0" fontId="0" fillId="0" borderId="8" xfId="0" applyBorder="1"/>
    <xf numFmtId="0" fontId="4" fillId="0" borderId="0" xfId="0" applyFont="1" applyAlignment="1">
      <alignment horizontal="right" vertical="center"/>
    </xf>
    <xf numFmtId="0" fontId="6" fillId="3" borderId="3" xfId="0" applyFont="1" applyFill="1" applyBorder="1" applyAlignment="1">
      <alignment vertical="center"/>
    </xf>
    <xf numFmtId="0" fontId="8" fillId="9" borderId="3" xfId="0" applyFont="1" applyFill="1" applyBorder="1" applyAlignment="1">
      <alignment horizontal="center" vertical="center"/>
    </xf>
    <xf numFmtId="0" fontId="6" fillId="3" borderId="3" xfId="0" applyFont="1" applyFill="1" applyBorder="1" applyAlignment="1">
      <alignment horizontal="center" vertical="center"/>
    </xf>
    <xf numFmtId="0" fontId="12" fillId="13" borderId="4" xfId="0" applyFont="1" applyFill="1" applyBorder="1" applyAlignment="1">
      <alignment vertical="center" indent="1"/>
    </xf>
    <xf numFmtId="0" fontId="0" fillId="13" borderId="4" xfId="0" applyFill="1" applyBorder="1"/>
    <xf numFmtId="0" fontId="5" fillId="0" borderId="0" xfId="0" applyFont="1" applyAlignment="1">
      <alignment vertical="center" wrapText="1"/>
    </xf>
  </cellXfs>
  <cellStyles count="1">
    <cellStyle name="Normal" xfId="0" builtinId="0"/>
  </cellStyles>
  <dxfs count="10">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B2:G25"/>
  <sheetViews>
    <sheetView showGridLines="0" tabSelected="1" workbookViewId="0"/>
  </sheetViews>
  <sheetFormatPr defaultRowHeight="14.5" x14ac:dyDescent="0.35"/>
  <cols>
    <col min="1" max="1" width="2.453125" customWidth="1"/>
    <col min="2" max="7" width="19" customWidth="1"/>
    <col min="8" max="8" width="2.453125" customWidth="1"/>
  </cols>
  <sheetData>
    <row r="2" spans="2:7" ht="34" customHeight="1" x14ac:dyDescent="0.35">
      <c r="B2" s="89" t="s">
        <v>0</v>
      </c>
      <c r="C2" s="90"/>
      <c r="D2" s="90"/>
      <c r="E2" s="90"/>
      <c r="F2" s="90"/>
      <c r="G2" s="90"/>
    </row>
    <row r="3" spans="2:7" x14ac:dyDescent="0.35">
      <c r="B3" s="98" t="s">
        <v>1</v>
      </c>
      <c r="C3" s="90"/>
      <c r="D3" s="90"/>
      <c r="E3" s="90"/>
      <c r="F3" s="90"/>
      <c r="G3" s="90"/>
    </row>
    <row r="4" spans="2:7" ht="3" customHeight="1" x14ac:dyDescent="0.35">
      <c r="B4" s="1"/>
      <c r="C4" s="1"/>
      <c r="D4" s="1"/>
      <c r="E4" s="1"/>
      <c r="F4" s="1"/>
      <c r="G4" s="1"/>
    </row>
    <row r="6" spans="2:7" x14ac:dyDescent="0.35">
      <c r="B6" s="2" t="s">
        <v>2</v>
      </c>
      <c r="C6" s="2" t="s">
        <v>3</v>
      </c>
      <c r="D6" s="2" t="s">
        <v>4</v>
      </c>
      <c r="E6" s="2" t="s">
        <v>5</v>
      </c>
      <c r="F6" s="2" t="s">
        <v>6</v>
      </c>
      <c r="G6" s="2" t="s">
        <v>7</v>
      </c>
    </row>
    <row r="7" spans="2:7" ht="26" customHeight="1" x14ac:dyDescent="0.35">
      <c r="B7" s="3">
        <f>TotalCapital</f>
        <v>2467.1000000000004</v>
      </c>
      <c r="C7" s="3">
        <f>StockValueSAR</f>
        <v>2116.1000000000004</v>
      </c>
      <c r="D7" s="3">
        <f>ConcCostPerGLoaded</f>
        <v>5.2924344301711566</v>
      </c>
      <c r="E7" s="4">
        <f>SUMPRODUCT((LogID&lt;&gt;"")*1)</f>
        <v>0</v>
      </c>
      <c r="F7" s="4">
        <f>COUNTIF(LogStatus,"Macerating")</f>
        <v>0</v>
      </c>
      <c r="G7" s="4">
        <f>SUMPRODUCT((Inv_OnHand&lt;Inv_Threshold)*1)</f>
        <v>0</v>
      </c>
    </row>
    <row r="9" spans="2:7" ht="18" customHeight="1" x14ac:dyDescent="0.35">
      <c r="B9" s="93" t="s">
        <v>8</v>
      </c>
      <c r="C9" s="94"/>
      <c r="D9" s="94"/>
      <c r="E9" s="93" t="s">
        <v>9</v>
      </c>
      <c r="F9" s="94"/>
      <c r="G9" s="94"/>
    </row>
    <row r="10" spans="2:7" x14ac:dyDescent="0.35">
      <c r="B10" s="5" t="s">
        <v>10</v>
      </c>
      <c r="C10" s="96" t="str">
        <f>BatchFormat</f>
        <v>Extrait de Parfum</v>
      </c>
      <c r="D10" s="90"/>
      <c r="E10" s="91" t="s">
        <v>11</v>
      </c>
      <c r="F10" s="90"/>
      <c r="G10" s="6" t="str">
        <f>IF(COUNTIFS(LogStatus,"Macerating",LogStart,"&lt;&gt;")=0,"—",TEXT(MIN(LogMacStart)+28,"yyyy-mm-dd"))</f>
        <v>—</v>
      </c>
    </row>
    <row r="11" spans="2:7" x14ac:dyDescent="0.35">
      <c r="B11" s="5" t="s">
        <v>12</v>
      </c>
      <c r="C11" s="96" t="str">
        <f>BatchSize&amp;" "&amp;BatchUnit</f>
        <v>50 ml</v>
      </c>
      <c r="D11" s="90"/>
      <c r="E11" s="91" t="s">
        <v>13</v>
      </c>
      <c r="F11" s="90"/>
      <c r="G11" s="6" t="str">
        <f>IF(COUNTIFS(LogStatus,"Macerating",LogStart,"&lt;&gt;")=0,"—",TEXT(MIN(LogMacStart)+MacDays,"yyyy-mm-dd"))</f>
        <v>—</v>
      </c>
    </row>
    <row r="12" spans="2:7" x14ac:dyDescent="0.35">
      <c r="B12" s="5" t="s">
        <v>14</v>
      </c>
      <c r="C12" s="92">
        <f>ConcG</f>
        <v>11.9</v>
      </c>
      <c r="D12" s="90"/>
      <c r="E12" s="91" t="s">
        <v>15</v>
      </c>
      <c r="F12" s="90"/>
      <c r="G12" s="8">
        <f ca="1">SUMPRODUCT((LogStatus="Macerating")*(LogStart&lt;&gt;"")*((TODAY()-LogStart)&gt;=28))</f>
        <v>0</v>
      </c>
    </row>
    <row r="13" spans="2:7" x14ac:dyDescent="0.35">
      <c r="B13" s="5" t="s">
        <v>16</v>
      </c>
      <c r="C13" s="99">
        <f>AlcoholG</f>
        <v>30.6</v>
      </c>
      <c r="D13" s="90"/>
      <c r="E13" s="91" t="s">
        <v>17</v>
      </c>
      <c r="F13" s="90"/>
      <c r="G13" s="7">
        <f>TotalConcUsedG</f>
        <v>0</v>
      </c>
    </row>
    <row r="14" spans="2:7" x14ac:dyDescent="0.35">
      <c r="B14" s="5" t="s">
        <v>18</v>
      </c>
      <c r="C14" s="92">
        <f>BatchCostSAR</f>
        <v>69.586573061663927</v>
      </c>
      <c r="D14" s="90"/>
      <c r="E14" s="91" t="s">
        <v>19</v>
      </c>
      <c r="F14" s="90"/>
      <c r="G14" s="7">
        <f>AlcoholUsedG</f>
        <v>0</v>
      </c>
    </row>
    <row r="15" spans="2:7" x14ac:dyDescent="0.35">
      <c r="B15" s="5" t="s">
        <v>20</v>
      </c>
      <c r="C15" s="92">
        <f>CostPerMl</f>
        <v>1.3917314612332785</v>
      </c>
      <c r="D15" s="90"/>
      <c r="E15" s="91" t="s">
        <v>21</v>
      </c>
      <c r="F15" s="90"/>
      <c r="G15" s="8">
        <f>MacDays</f>
        <v>42</v>
      </c>
    </row>
    <row r="17" spans="2:7" ht="18" customHeight="1" x14ac:dyDescent="0.35">
      <c r="B17" s="93" t="s">
        <v>22</v>
      </c>
      <c r="C17" s="94"/>
      <c r="D17" s="94"/>
      <c r="E17" s="94"/>
      <c r="F17" s="94"/>
      <c r="G17" s="94"/>
    </row>
    <row r="18" spans="2:7" ht="30" customHeight="1" x14ac:dyDescent="0.35">
      <c r="B18" s="100" t="str">
        <f>IF($G$7=0,"✓ All materials stocked for at least two default batches.","⚠ Low stock — reorder:  "&amp;Inv_LowJoined)</f>
        <v>✓ All materials stocked for at least two default batches.</v>
      </c>
      <c r="C18" s="90"/>
      <c r="D18" s="90"/>
      <c r="E18" s="90"/>
      <c r="F18" s="90"/>
      <c r="G18" s="90"/>
    </row>
    <row r="20" spans="2:7" ht="18" customHeight="1" x14ac:dyDescent="0.35">
      <c r="B20" s="93" t="s">
        <v>23</v>
      </c>
      <c r="C20" s="94"/>
      <c r="D20" s="94"/>
      <c r="E20" s="94"/>
      <c r="F20" s="94"/>
      <c r="G20" s="94"/>
    </row>
    <row r="21" spans="2:7" x14ac:dyDescent="0.35">
      <c r="B21" s="95" t="s">
        <v>24</v>
      </c>
      <c r="C21" s="90"/>
      <c r="D21" s="90"/>
      <c r="E21" s="90"/>
      <c r="F21" s="90"/>
      <c r="G21" s="90"/>
    </row>
    <row r="22" spans="2:7" x14ac:dyDescent="0.35">
      <c r="B22" s="95" t="s">
        <v>25</v>
      </c>
      <c r="C22" s="90"/>
      <c r="D22" s="90"/>
      <c r="E22" s="90"/>
      <c r="F22" s="90"/>
      <c r="G22" s="90"/>
    </row>
    <row r="23" spans="2:7" x14ac:dyDescent="0.35">
      <c r="B23" s="95" t="s">
        <v>26</v>
      </c>
      <c r="C23" s="90"/>
      <c r="D23" s="90"/>
      <c r="E23" s="90"/>
      <c r="F23" s="90"/>
      <c r="G23" s="90"/>
    </row>
    <row r="25" spans="2:7" x14ac:dyDescent="0.35">
      <c r="B25" s="97" t="s">
        <v>27</v>
      </c>
      <c r="C25" s="90"/>
      <c r="D25" s="90"/>
      <c r="E25" s="90"/>
      <c r="F25" s="90"/>
      <c r="G25" s="90"/>
    </row>
  </sheetData>
  <sheetProtection sheet="1" formatCells="0" formatColumns="0" formatRows="0"/>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9" priority="2">
      <formula>$G$7&gt;0</formula>
    </cfRule>
  </conditionalFormatting>
  <conditionalFormatting sqref="G7">
    <cfRule type="expression" dxfId="8"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5" t="s">
        <v>28</v>
      </c>
      <c r="B1" s="90"/>
      <c r="C1" s="90"/>
      <c r="D1" s="90"/>
      <c r="E1" s="90"/>
      <c r="F1" s="90"/>
      <c r="G1" s="90"/>
      <c r="H1" s="90"/>
      <c r="I1" s="90"/>
    </row>
    <row r="2" spans="1:9" x14ac:dyDescent="0.35">
      <c r="A2" s="102" t="s">
        <v>29</v>
      </c>
      <c r="B2" s="103"/>
      <c r="C2" s="103"/>
      <c r="D2" s="103"/>
      <c r="E2" s="103"/>
      <c r="F2" s="103"/>
      <c r="G2" s="103"/>
      <c r="H2" s="103"/>
      <c r="I2" s="103"/>
    </row>
    <row r="3" spans="1:9" x14ac:dyDescent="0.35">
      <c r="H3" s="12" t="s">
        <v>30</v>
      </c>
      <c r="I3" s="13">
        <f>SUMIF($E$7:$E$31,"OPT",$C$7:$C$31)</f>
        <v>1.4999999999999999E-2</v>
      </c>
    </row>
    <row r="4" spans="1:9" x14ac:dyDescent="0.35">
      <c r="A4" s="101" t="s">
        <v>31</v>
      </c>
      <c r="B4" s="90"/>
      <c r="C4" s="15" t="s">
        <v>32</v>
      </c>
      <c r="H4" s="12" t="s">
        <v>33</v>
      </c>
      <c r="I4" s="13">
        <f>SUMIF($D$7:$D$31,"D10",$F$7:$F$31)</f>
        <v>3.5000000000000003E-2</v>
      </c>
    </row>
    <row r="6" spans="1:9" ht="24" customHeight="1" x14ac:dyDescent="0.35">
      <c r="A6" s="16" t="s">
        <v>34</v>
      </c>
      <c r="B6" s="16" t="s">
        <v>35</v>
      </c>
      <c r="C6" s="16" t="s">
        <v>36</v>
      </c>
      <c r="D6" s="16" t="s">
        <v>37</v>
      </c>
      <c r="E6" s="16" t="s">
        <v>38</v>
      </c>
      <c r="F6" s="16" t="s">
        <v>39</v>
      </c>
      <c r="G6" s="16" t="s">
        <v>40</v>
      </c>
      <c r="H6" s="16" t="s">
        <v>41</v>
      </c>
    </row>
    <row r="7" spans="1:9" x14ac:dyDescent="0.35">
      <c r="A7" s="17" t="s">
        <v>42</v>
      </c>
      <c r="B7" s="18" t="s">
        <v>43</v>
      </c>
      <c r="C7" s="19">
        <v>0.09</v>
      </c>
      <c r="D7" s="20"/>
      <c r="E7" s="20"/>
      <c r="F7" s="21">
        <f t="shared" ref="F7:F31" si="0">IF(IncludeOptionals="YES",C7,IF($E7="OPT",0,C7/(1-OptPctSum)))</f>
        <v>0.09</v>
      </c>
      <c r="G7" s="22" t="s">
        <v>44</v>
      </c>
      <c r="H7" s="23">
        <f t="shared" ref="H7:H31" si="1">IF($D7="D10",0.1*INDEX(Inv_PricePerG,MATCH($B7,Inv_Mat,0))+0.9*DPGPricePerG,INDEX(Inv_PricePerG,MATCH($B7,Inv_Mat,0)))</f>
        <v>2.0833333333333335</v>
      </c>
    </row>
    <row r="8" spans="1:9" x14ac:dyDescent="0.35">
      <c r="A8" s="17" t="s">
        <v>42</v>
      </c>
      <c r="B8" s="18" t="s">
        <v>45</v>
      </c>
      <c r="C8" s="19">
        <v>1.4999999999999999E-2</v>
      </c>
      <c r="D8" s="20"/>
      <c r="E8" s="20"/>
      <c r="F8" s="21">
        <f t="shared" si="0"/>
        <v>1.4999999999999999E-2</v>
      </c>
      <c r="G8" s="22" t="s">
        <v>46</v>
      </c>
      <c r="H8" s="23">
        <f t="shared" si="1"/>
        <v>4.8611111111111107</v>
      </c>
    </row>
    <row r="9" spans="1:9" x14ac:dyDescent="0.35">
      <c r="A9" s="17" t="s">
        <v>42</v>
      </c>
      <c r="B9" s="18" t="s">
        <v>47</v>
      </c>
      <c r="C9" s="19">
        <v>0.01</v>
      </c>
      <c r="D9" s="20"/>
      <c r="E9" s="20"/>
      <c r="F9" s="21">
        <f t="shared" si="0"/>
        <v>0.01</v>
      </c>
      <c r="G9" s="22" t="s">
        <v>48</v>
      </c>
      <c r="H9" s="23">
        <f t="shared" si="1"/>
        <v>6.0422222222222226</v>
      </c>
    </row>
    <row r="10" spans="1:9" x14ac:dyDescent="0.35">
      <c r="A10" s="17" t="s">
        <v>42</v>
      </c>
      <c r="B10" s="18" t="s">
        <v>49</v>
      </c>
      <c r="C10" s="19">
        <v>5.0000000000000001E-3</v>
      </c>
      <c r="D10" s="20" t="s">
        <v>37</v>
      </c>
      <c r="E10" s="20"/>
      <c r="F10" s="21">
        <f t="shared" si="0"/>
        <v>5.0000000000000001E-3</v>
      </c>
      <c r="G10" s="22" t="s">
        <v>50</v>
      </c>
      <c r="H10" s="23">
        <f t="shared" si="1"/>
        <v>1.6594444444444447</v>
      </c>
    </row>
    <row r="11" spans="1:9" x14ac:dyDescent="0.35">
      <c r="A11" s="17" t="s">
        <v>42</v>
      </c>
      <c r="B11" s="18" t="s">
        <v>51</v>
      </c>
      <c r="C11" s="19">
        <v>5.0000000000000001E-3</v>
      </c>
      <c r="D11" s="20" t="s">
        <v>37</v>
      </c>
      <c r="E11" s="20"/>
      <c r="F11" s="21">
        <f t="shared" si="0"/>
        <v>5.0000000000000001E-3</v>
      </c>
      <c r="G11" s="22" t="s">
        <v>52</v>
      </c>
      <c r="H11" s="23">
        <f t="shared" si="1"/>
        <v>0.37</v>
      </c>
    </row>
    <row r="12" spans="1:9" x14ac:dyDescent="0.35">
      <c r="A12" s="24" t="s">
        <v>53</v>
      </c>
      <c r="B12" s="25" t="s">
        <v>54</v>
      </c>
      <c r="C12" s="19">
        <v>0.2</v>
      </c>
      <c r="D12" s="26"/>
      <c r="E12" s="26"/>
      <c r="F12" s="27">
        <f t="shared" si="0"/>
        <v>0.2</v>
      </c>
      <c r="G12" s="28" t="s">
        <v>55</v>
      </c>
      <c r="H12" s="23">
        <f t="shared" si="1"/>
        <v>0.88518518518518519</v>
      </c>
    </row>
    <row r="13" spans="1:9" x14ac:dyDescent="0.35">
      <c r="A13" s="24" t="s">
        <v>53</v>
      </c>
      <c r="B13" s="25" t="s">
        <v>56</v>
      </c>
      <c r="C13" s="19">
        <v>2.5000000000000001E-2</v>
      </c>
      <c r="D13" s="26"/>
      <c r="E13" s="26"/>
      <c r="F13" s="27">
        <f t="shared" si="0"/>
        <v>2.5000000000000001E-2</v>
      </c>
      <c r="G13" s="28" t="s">
        <v>57</v>
      </c>
      <c r="H13" s="23">
        <f t="shared" si="1"/>
        <v>43.5</v>
      </c>
    </row>
    <row r="14" spans="1:9" x14ac:dyDescent="0.35">
      <c r="A14" s="24" t="s">
        <v>53</v>
      </c>
      <c r="B14" s="25" t="s">
        <v>58</v>
      </c>
      <c r="C14" s="19">
        <v>0.04</v>
      </c>
      <c r="D14" s="26"/>
      <c r="E14" s="26"/>
      <c r="F14" s="27">
        <f t="shared" si="0"/>
        <v>0.04</v>
      </c>
      <c r="G14" s="28" t="s">
        <v>59</v>
      </c>
      <c r="H14" s="23">
        <f t="shared" si="1"/>
        <v>1.9400000000000002</v>
      </c>
    </row>
    <row r="15" spans="1:9" x14ac:dyDescent="0.35">
      <c r="A15" s="29" t="s">
        <v>53</v>
      </c>
      <c r="B15" s="30" t="s">
        <v>60</v>
      </c>
      <c r="C15" s="19">
        <v>0.01</v>
      </c>
      <c r="D15" s="31" t="s">
        <v>37</v>
      </c>
      <c r="E15" s="31" t="s">
        <v>61</v>
      </c>
      <c r="F15" s="32">
        <f t="shared" si="0"/>
        <v>0.01</v>
      </c>
      <c r="G15" s="33" t="s">
        <v>62</v>
      </c>
      <c r="H15" s="23">
        <f t="shared" si="1"/>
        <v>2.25</v>
      </c>
    </row>
    <row r="16" spans="1:9" x14ac:dyDescent="0.35">
      <c r="A16" s="24" t="s">
        <v>53</v>
      </c>
      <c r="B16" s="25" t="s">
        <v>63</v>
      </c>
      <c r="C16" s="19">
        <v>0.03</v>
      </c>
      <c r="D16" s="26"/>
      <c r="E16" s="26"/>
      <c r="F16" s="27">
        <f t="shared" si="0"/>
        <v>0.03</v>
      </c>
      <c r="G16" s="28" t="s">
        <v>64</v>
      </c>
      <c r="H16" s="23">
        <f t="shared" si="1"/>
        <v>1.24</v>
      </c>
    </row>
    <row r="17" spans="1:8" x14ac:dyDescent="0.35">
      <c r="A17" s="24" t="s">
        <v>53</v>
      </c>
      <c r="B17" s="25" t="s">
        <v>65</v>
      </c>
      <c r="C17" s="19">
        <v>0.01</v>
      </c>
      <c r="D17" s="26"/>
      <c r="E17" s="26"/>
      <c r="F17" s="27">
        <f t="shared" si="0"/>
        <v>0.01</v>
      </c>
      <c r="G17" s="28" t="s">
        <v>66</v>
      </c>
      <c r="H17" s="23">
        <f t="shared" si="1"/>
        <v>1.8599999999999999</v>
      </c>
    </row>
    <row r="18" spans="1:8" x14ac:dyDescent="0.35">
      <c r="A18" s="17" t="s">
        <v>67</v>
      </c>
      <c r="B18" s="18" t="s">
        <v>68</v>
      </c>
      <c r="C18" s="19">
        <v>0.15</v>
      </c>
      <c r="D18" s="20"/>
      <c r="E18" s="20"/>
      <c r="F18" s="21">
        <f t="shared" si="0"/>
        <v>0.15</v>
      </c>
      <c r="G18" s="22" t="s">
        <v>69</v>
      </c>
      <c r="H18" s="23">
        <f t="shared" si="1"/>
        <v>1.5111111111111111</v>
      </c>
    </row>
    <row r="19" spans="1:8" x14ac:dyDescent="0.35">
      <c r="A19" s="17" t="s">
        <v>67</v>
      </c>
      <c r="B19" s="18" t="s">
        <v>70</v>
      </c>
      <c r="C19" s="19">
        <v>0.08</v>
      </c>
      <c r="D19" s="20"/>
      <c r="E19" s="20"/>
      <c r="F19" s="21">
        <f t="shared" si="0"/>
        <v>0.08</v>
      </c>
      <c r="G19" s="22" t="s">
        <v>71</v>
      </c>
      <c r="H19" s="23">
        <f t="shared" si="1"/>
        <v>8.1</v>
      </c>
    </row>
    <row r="20" spans="1:8" x14ac:dyDescent="0.35">
      <c r="A20" s="17" t="s">
        <v>67</v>
      </c>
      <c r="B20" s="18" t="s">
        <v>72</v>
      </c>
      <c r="C20" s="19">
        <v>2.5000000000000001E-2</v>
      </c>
      <c r="D20" s="20"/>
      <c r="E20" s="20"/>
      <c r="F20" s="21">
        <f t="shared" si="0"/>
        <v>2.5000000000000001E-2</v>
      </c>
      <c r="G20" s="22" t="s">
        <v>73</v>
      </c>
      <c r="H20" s="23">
        <f t="shared" si="1"/>
        <v>6.206666666666667</v>
      </c>
    </row>
    <row r="21" spans="1:8" x14ac:dyDescent="0.35">
      <c r="A21" s="34" t="s">
        <v>67</v>
      </c>
      <c r="B21" s="35" t="s">
        <v>74</v>
      </c>
      <c r="C21" s="19">
        <v>0.04</v>
      </c>
      <c r="D21" s="36"/>
      <c r="E21" s="36"/>
      <c r="F21" s="37">
        <f t="shared" si="0"/>
        <v>0.04</v>
      </c>
      <c r="G21" s="38" t="s">
        <v>75</v>
      </c>
      <c r="H21" s="23">
        <f t="shared" si="1"/>
        <v>17.899999999999999</v>
      </c>
    </row>
    <row r="22" spans="1:8" x14ac:dyDescent="0.35">
      <c r="A22" s="34" t="s">
        <v>67</v>
      </c>
      <c r="B22" s="35" t="s">
        <v>76</v>
      </c>
      <c r="C22" s="19">
        <v>0.03</v>
      </c>
      <c r="D22" s="36"/>
      <c r="E22" s="36"/>
      <c r="F22" s="37">
        <f t="shared" si="0"/>
        <v>0.03</v>
      </c>
      <c r="G22" s="38" t="s">
        <v>77</v>
      </c>
      <c r="H22" s="23">
        <f t="shared" si="1"/>
        <v>2.6155555555555554</v>
      </c>
    </row>
    <row r="23" spans="1:8" x14ac:dyDescent="0.35">
      <c r="A23" s="29" t="s">
        <v>67</v>
      </c>
      <c r="B23" s="30" t="s">
        <v>78</v>
      </c>
      <c r="C23" s="19">
        <v>5.0000000000000001E-3</v>
      </c>
      <c r="D23" s="31" t="s">
        <v>37</v>
      </c>
      <c r="E23" s="31" t="s">
        <v>61</v>
      </c>
      <c r="F23" s="32">
        <f t="shared" si="0"/>
        <v>5.0000000000000001E-3</v>
      </c>
      <c r="G23" s="33" t="s">
        <v>79</v>
      </c>
      <c r="H23" s="23">
        <f t="shared" si="1"/>
        <v>0.9</v>
      </c>
    </row>
    <row r="24" spans="1:8" x14ac:dyDescent="0.35">
      <c r="A24" s="34" t="s">
        <v>67</v>
      </c>
      <c r="B24" s="35" t="s">
        <v>80</v>
      </c>
      <c r="C24" s="19">
        <v>6.5000000000000002E-2</v>
      </c>
      <c r="D24" s="36"/>
      <c r="E24" s="36"/>
      <c r="F24" s="37">
        <f t="shared" si="0"/>
        <v>6.5000000000000002E-2</v>
      </c>
      <c r="G24" s="38" t="s">
        <v>81</v>
      </c>
      <c r="H24" s="23">
        <f t="shared" si="1"/>
        <v>3</v>
      </c>
    </row>
    <row r="25" spans="1:8" x14ac:dyDescent="0.35">
      <c r="A25" s="17" t="s">
        <v>67</v>
      </c>
      <c r="B25" s="18" t="s">
        <v>82</v>
      </c>
      <c r="C25" s="19">
        <v>0.05</v>
      </c>
      <c r="D25" s="20"/>
      <c r="E25" s="20"/>
      <c r="F25" s="21">
        <f t="shared" si="0"/>
        <v>0.05</v>
      </c>
      <c r="G25" s="22" t="s">
        <v>83</v>
      </c>
      <c r="H25" s="23">
        <f t="shared" si="1"/>
        <v>5.5</v>
      </c>
    </row>
    <row r="26" spans="1:8" x14ac:dyDescent="0.35">
      <c r="A26" s="17" t="s">
        <v>67</v>
      </c>
      <c r="B26" s="18" t="s">
        <v>84</v>
      </c>
      <c r="C26" s="19">
        <v>2.5000000000000001E-2</v>
      </c>
      <c r="D26" s="20"/>
      <c r="E26" s="20"/>
      <c r="F26" s="21">
        <f t="shared" si="0"/>
        <v>2.5000000000000001E-2</v>
      </c>
      <c r="G26" s="22" t="s">
        <v>85</v>
      </c>
      <c r="H26" s="23">
        <f t="shared" si="1"/>
        <v>10.229999999999999</v>
      </c>
    </row>
    <row r="27" spans="1:8" x14ac:dyDescent="0.35">
      <c r="A27" s="17" t="s">
        <v>67</v>
      </c>
      <c r="B27" s="18" t="s">
        <v>86</v>
      </c>
      <c r="C27" s="19">
        <v>3.5000000000000003E-2</v>
      </c>
      <c r="D27" s="20"/>
      <c r="E27" s="20"/>
      <c r="F27" s="21">
        <f t="shared" si="0"/>
        <v>3.5000000000000003E-2</v>
      </c>
      <c r="G27" s="22" t="s">
        <v>87</v>
      </c>
      <c r="H27" s="23">
        <f t="shared" si="1"/>
        <v>1.1233333333333333</v>
      </c>
    </row>
    <row r="28" spans="1:8" x14ac:dyDescent="0.35">
      <c r="A28" s="34" t="s">
        <v>67</v>
      </c>
      <c r="B28" s="35" t="s">
        <v>88</v>
      </c>
      <c r="C28" s="19">
        <v>0.02</v>
      </c>
      <c r="D28" s="36"/>
      <c r="E28" s="36"/>
      <c r="F28" s="37">
        <f t="shared" si="0"/>
        <v>0.02</v>
      </c>
      <c r="G28" s="38" t="s">
        <v>89</v>
      </c>
      <c r="H28" s="23">
        <f t="shared" si="1"/>
        <v>3.0588888888888892</v>
      </c>
    </row>
    <row r="29" spans="1:8" x14ac:dyDescent="0.35">
      <c r="A29" s="17" t="s">
        <v>67</v>
      </c>
      <c r="B29" s="18" t="s">
        <v>90</v>
      </c>
      <c r="C29" s="19">
        <v>0.02</v>
      </c>
      <c r="D29" s="20"/>
      <c r="E29" s="20"/>
      <c r="F29" s="21">
        <f t="shared" si="0"/>
        <v>0.02</v>
      </c>
      <c r="G29" s="22" t="s">
        <v>91</v>
      </c>
      <c r="H29" s="23">
        <f t="shared" si="1"/>
        <v>3.1</v>
      </c>
    </row>
    <row r="30" spans="1:8" x14ac:dyDescent="0.35">
      <c r="A30" s="17" t="s">
        <v>67</v>
      </c>
      <c r="B30" s="18" t="s">
        <v>92</v>
      </c>
      <c r="C30" s="19">
        <v>5.0000000000000001E-3</v>
      </c>
      <c r="D30" s="20"/>
      <c r="E30" s="20"/>
      <c r="F30" s="21">
        <f t="shared" si="0"/>
        <v>5.0000000000000001E-3</v>
      </c>
      <c r="G30" s="22" t="s">
        <v>93</v>
      </c>
      <c r="H30" s="23">
        <f t="shared" si="1"/>
        <v>12.4</v>
      </c>
    </row>
    <row r="31" spans="1:8" x14ac:dyDescent="0.35">
      <c r="A31" s="17" t="s">
        <v>67</v>
      </c>
      <c r="B31" s="18" t="s">
        <v>94</v>
      </c>
      <c r="C31" s="19">
        <v>0.01</v>
      </c>
      <c r="D31" s="20" t="s">
        <v>37</v>
      </c>
      <c r="E31" s="20"/>
      <c r="F31" s="21">
        <f t="shared" si="0"/>
        <v>0.01</v>
      </c>
      <c r="G31" s="22" t="s">
        <v>95</v>
      </c>
      <c r="H31" s="23">
        <f t="shared" si="1"/>
        <v>0.9</v>
      </c>
    </row>
    <row r="33" spans="1:8" x14ac:dyDescent="0.35">
      <c r="B33" s="39" t="s">
        <v>96</v>
      </c>
      <c r="C33" s="40">
        <f>SUM(C7:C31)</f>
        <v>1.0000000000000002</v>
      </c>
      <c r="F33" s="40">
        <f>SUM(F7:F31)</f>
        <v>1.0000000000000002</v>
      </c>
    </row>
    <row r="34" spans="1:8" ht="20" customHeight="1" x14ac:dyDescent="0.35">
      <c r="A34" s="106" t="str">
        <f>IF(AND(ROUND(C33,6)=1,ROUND(F33,6)=1),"✓ BALANCED — input Σ = "&amp;TEXT(C33,"0.00%")&amp;"   ·   active Σ = "&amp;TEXT(F33,"0.00%"),"⚠ FORMULA DOES NOT SUM TO 100% — check the Input % column")</f>
        <v>✓ BALANCED — input Σ = 100.00%   ·   active Σ = 100.00%</v>
      </c>
      <c r="B34" s="90"/>
      <c r="C34" s="90"/>
      <c r="D34" s="90"/>
      <c r="E34" s="90"/>
      <c r="F34" s="90"/>
      <c r="G34" s="90"/>
      <c r="H34" s="90"/>
    </row>
    <row r="36" spans="1:8" x14ac:dyDescent="0.35">
      <c r="A36" s="14" t="s">
        <v>97</v>
      </c>
      <c r="B36" s="29" t="s">
        <v>98</v>
      </c>
      <c r="C36" s="95" t="s">
        <v>99</v>
      </c>
      <c r="D36" s="90"/>
    </row>
    <row r="37" spans="1:8" x14ac:dyDescent="0.35">
      <c r="B37" s="34" t="s">
        <v>100</v>
      </c>
      <c r="C37" s="95" t="s">
        <v>101</v>
      </c>
      <c r="D37" s="90"/>
      <c r="E37" s="90"/>
      <c r="F37" s="90"/>
      <c r="G37" s="90"/>
    </row>
    <row r="38" spans="1:8" ht="24" customHeight="1" x14ac:dyDescent="0.35">
      <c r="A38" s="104" t="s">
        <v>102</v>
      </c>
      <c r="B38" s="90"/>
      <c r="C38" s="90"/>
      <c r="D38" s="90"/>
      <c r="E38" s="90"/>
      <c r="F38" s="90"/>
      <c r="G38" s="90"/>
      <c r="H38" s="90"/>
    </row>
  </sheetData>
  <sheetProtection sheet="1" formatCells="0" formatColumns="0" formatRows="0"/>
  <mergeCells count="7">
    <mergeCell ref="A4:B4"/>
    <mergeCell ref="A2:I2"/>
    <mergeCell ref="A38:H38"/>
    <mergeCell ref="A1:I1"/>
    <mergeCell ref="C36:D36"/>
    <mergeCell ref="C37:G37"/>
    <mergeCell ref="A34:H34"/>
  </mergeCells>
  <conditionalFormatting sqref="A34:H34">
    <cfRule type="expression" dxfId="7" priority="1" stopIfTrue="1">
      <formula>LEFT($A$34,1)="✓"</formula>
    </cfRule>
    <cfRule type="expression" dxfId="6"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5" t="s">
        <v>103</v>
      </c>
      <c r="B1" s="90"/>
      <c r="C1" s="90"/>
      <c r="D1" s="90"/>
      <c r="E1" s="90"/>
      <c r="F1" s="90"/>
      <c r="G1" s="90"/>
      <c r="H1" s="90"/>
    </row>
    <row r="2" spans="1:8" x14ac:dyDescent="0.35">
      <c r="A2" s="102" t="s">
        <v>104</v>
      </c>
      <c r="B2" s="103"/>
      <c r="C2" s="103"/>
      <c r="D2" s="103"/>
      <c r="E2" s="103"/>
      <c r="F2" s="103"/>
      <c r="G2" s="103"/>
      <c r="H2" s="103"/>
    </row>
    <row r="3" spans="1:8" ht="18" customHeight="1" x14ac:dyDescent="0.35">
      <c r="A3" s="93" t="s">
        <v>105</v>
      </c>
      <c r="B3" s="94"/>
      <c r="C3" s="94"/>
      <c r="D3" s="94"/>
      <c r="E3" s="94"/>
      <c r="F3" s="94"/>
      <c r="G3" s="94"/>
      <c r="H3" s="94"/>
    </row>
    <row r="4" spans="1:8" x14ac:dyDescent="0.35">
      <c r="A4" s="101" t="s">
        <v>106</v>
      </c>
      <c r="B4" s="90"/>
      <c r="C4" s="15" t="s">
        <v>107</v>
      </c>
      <c r="D4" s="95" t="s">
        <v>108</v>
      </c>
      <c r="E4" s="90"/>
      <c r="F4" s="90"/>
      <c r="G4" s="90"/>
      <c r="H4" s="90"/>
    </row>
    <row r="5" spans="1:8" x14ac:dyDescent="0.35">
      <c r="A5" s="101" t="s">
        <v>109</v>
      </c>
      <c r="B5" s="90"/>
      <c r="C5" s="41">
        <v>50</v>
      </c>
      <c r="D5" s="95" t="s">
        <v>110</v>
      </c>
      <c r="E5" s="90"/>
      <c r="F5" s="90"/>
      <c r="G5" s="90"/>
      <c r="H5" s="90"/>
    </row>
    <row r="6" spans="1:8" x14ac:dyDescent="0.35">
      <c r="A6" s="101" t="s">
        <v>111</v>
      </c>
      <c r="B6" s="90"/>
      <c r="C6" s="15" t="s">
        <v>112</v>
      </c>
      <c r="D6" s="95" t="s">
        <v>113</v>
      </c>
      <c r="E6" s="90"/>
      <c r="F6" s="90"/>
      <c r="G6" s="90"/>
      <c r="H6" s="90"/>
    </row>
    <row r="7" spans="1:8" x14ac:dyDescent="0.35">
      <c r="A7" s="101" t="s">
        <v>114</v>
      </c>
      <c r="B7" s="90"/>
      <c r="C7" s="19">
        <v>0.28000000000000003</v>
      </c>
      <c r="D7" s="95" t="str">
        <f>"Suggested for this format: "&amp;TEXT(VLOOKUP(BatchFormat,FormatDefaults,2,FALSE),"0.0%")&amp;"   (range "&amp;TEXT(VLOOKUP(BatchFormat,FormatDefaults,3,FALSE),"0.0%")&amp;" – "&amp;TEXT(VLOOKUP(BatchFormat,FormatDefaults,4,FALSE),"0.0%")&amp;")"</f>
        <v>Suggested for this format: 28.0%   (range 20.0% – 35.0%)</v>
      </c>
      <c r="E7" s="90"/>
      <c r="F7" s="90"/>
      <c r="G7" s="90"/>
      <c r="H7" s="90"/>
    </row>
    <row r="8" spans="1:8" x14ac:dyDescent="0.35">
      <c r="A8" s="101" t="s">
        <v>115</v>
      </c>
      <c r="B8" s="90"/>
      <c r="C8" s="42">
        <v>0.85</v>
      </c>
      <c r="D8" s="95" t="str">
        <f>"Typical for this format: "&amp;TEXT(VLOOKUP(BatchFormat,FormatDefaults,5,FALSE),"0.00")&amp;" g/ml"</f>
        <v>Typical for this format: 0.85 g/ml</v>
      </c>
      <c r="E8" s="90"/>
      <c r="F8" s="90"/>
      <c r="G8" s="90"/>
      <c r="H8" s="90"/>
    </row>
    <row r="9" spans="1:8" x14ac:dyDescent="0.35">
      <c r="A9" s="101" t="s">
        <v>116</v>
      </c>
      <c r="B9" s="90"/>
      <c r="C9" s="43" t="str">
        <f>IncludeOptionals</f>
        <v>YES</v>
      </c>
      <c r="D9" s="95" t="s">
        <v>117</v>
      </c>
      <c r="E9" s="90"/>
      <c r="F9" s="90"/>
      <c r="G9" s="90"/>
      <c r="H9" s="90"/>
    </row>
    <row r="11" spans="1:8" ht="18" customHeight="1" x14ac:dyDescent="0.35">
      <c r="A11" s="93" t="s">
        <v>118</v>
      </c>
      <c r="B11" s="94"/>
      <c r="C11" s="94"/>
      <c r="D11" s="94"/>
      <c r="E11" s="94"/>
      <c r="F11" s="94"/>
      <c r="G11" s="94"/>
      <c r="H11" s="94"/>
    </row>
    <row r="12" spans="1:8" x14ac:dyDescent="0.35">
      <c r="A12" s="91" t="s">
        <v>119</v>
      </c>
      <c r="B12" s="90"/>
      <c r="C12" s="19">
        <v>0</v>
      </c>
      <c r="D12" s="10" t="s">
        <v>120</v>
      </c>
      <c r="E12" s="118" t="s">
        <v>121</v>
      </c>
      <c r="F12" s="90"/>
      <c r="G12" s="90"/>
    </row>
    <row r="13" spans="1:8" x14ac:dyDescent="0.35">
      <c r="A13" s="91" t="s">
        <v>122</v>
      </c>
      <c r="B13" s="90"/>
      <c r="C13" s="19">
        <v>0.02</v>
      </c>
      <c r="D13" s="10" t="s">
        <v>123</v>
      </c>
      <c r="E13" s="91" t="s">
        <v>124</v>
      </c>
      <c r="F13" s="90"/>
      <c r="G13" s="19">
        <v>0.03</v>
      </c>
    </row>
    <row r="14" spans="1:8" x14ac:dyDescent="0.35">
      <c r="A14" s="91" t="s">
        <v>125</v>
      </c>
      <c r="B14" s="90"/>
      <c r="C14" s="19">
        <v>0.05</v>
      </c>
      <c r="D14" s="10" t="s">
        <v>126</v>
      </c>
      <c r="E14" s="91" t="s">
        <v>127</v>
      </c>
      <c r="F14" s="90"/>
      <c r="G14" s="19">
        <v>0.05</v>
      </c>
    </row>
    <row r="15" spans="1:8" x14ac:dyDescent="0.35">
      <c r="A15" s="91" t="s">
        <v>128</v>
      </c>
      <c r="B15" s="90"/>
      <c r="C15" s="44">
        <v>4</v>
      </c>
      <c r="D15" s="10" t="s">
        <v>129</v>
      </c>
      <c r="E15" s="91" t="s">
        <v>130</v>
      </c>
      <c r="F15" s="90"/>
      <c r="G15" s="19">
        <v>0.02</v>
      </c>
    </row>
    <row r="16" spans="1:8" x14ac:dyDescent="0.35">
      <c r="A16" s="91" t="s">
        <v>131</v>
      </c>
      <c r="B16" s="90"/>
      <c r="C16" s="19">
        <v>2.5000000000000001E-2</v>
      </c>
      <c r="D16" s="10" t="s">
        <v>132</v>
      </c>
      <c r="E16" s="91" t="s">
        <v>133</v>
      </c>
      <c r="F16" s="90"/>
      <c r="G16" s="19">
        <v>0.15</v>
      </c>
    </row>
    <row r="17" spans="1:8" x14ac:dyDescent="0.35">
      <c r="A17" s="91" t="s">
        <v>134</v>
      </c>
      <c r="B17" s="90"/>
      <c r="C17" s="19">
        <v>8.0000000000000002E-3</v>
      </c>
      <c r="D17" s="10" t="s">
        <v>135</v>
      </c>
      <c r="E17" s="91" t="s">
        <v>136</v>
      </c>
      <c r="F17" s="90"/>
      <c r="G17" s="19">
        <v>0.05</v>
      </c>
    </row>
    <row r="18" spans="1:8" x14ac:dyDescent="0.35">
      <c r="A18" s="91" t="s">
        <v>137</v>
      </c>
      <c r="B18" s="90"/>
      <c r="C18" s="19">
        <v>5.0000000000000001E-3</v>
      </c>
      <c r="D18" s="10" t="s">
        <v>138</v>
      </c>
      <c r="E18" s="91" t="s">
        <v>139</v>
      </c>
      <c r="F18" s="90"/>
      <c r="G18" s="19">
        <v>0.01</v>
      </c>
    </row>
    <row r="20" spans="1:8" ht="18" customHeight="1" x14ac:dyDescent="0.35">
      <c r="A20" s="93" t="s">
        <v>140</v>
      </c>
      <c r="B20" s="94"/>
      <c r="C20" s="94"/>
      <c r="D20" s="94"/>
      <c r="E20" s="94"/>
      <c r="F20" s="94"/>
      <c r="G20" s="94"/>
      <c r="H20" s="94"/>
    </row>
    <row r="21" spans="1:8" x14ac:dyDescent="0.35">
      <c r="A21" s="101" t="s">
        <v>141</v>
      </c>
      <c r="B21" s="90"/>
      <c r="C21" s="45">
        <f>IF(BatchUnit="g",BatchSize,BatchSize*FinishedDensity)</f>
        <v>42.5</v>
      </c>
      <c r="D21" s="95" t="s">
        <v>142</v>
      </c>
      <c r="E21" s="90"/>
      <c r="F21" s="90"/>
      <c r="G21" s="90"/>
      <c r="H21" s="90"/>
    </row>
    <row r="22" spans="1:8" x14ac:dyDescent="0.35">
      <c r="A22" s="101" t="s">
        <v>143</v>
      </c>
      <c r="B22" s="90"/>
      <c r="C22" s="45">
        <f>IF(BatchUnit="ml",BatchSize,BatchSize/FinishedDensity)</f>
        <v>50</v>
      </c>
      <c r="D22" s="95" t="s">
        <v>144</v>
      </c>
      <c r="E22" s="90"/>
      <c r="F22" s="90"/>
      <c r="G22" s="90"/>
      <c r="H22" s="90"/>
    </row>
    <row r="23" spans="1:8" x14ac:dyDescent="0.35">
      <c r="A23" s="101" t="s">
        <v>145</v>
      </c>
      <c r="B23" s="90"/>
      <c r="C23" s="45">
        <f>TotalMassG*ConcPct</f>
        <v>11.9</v>
      </c>
      <c r="D23" s="95" t="s">
        <v>146</v>
      </c>
      <c r="E23" s="90"/>
      <c r="F23" s="90"/>
      <c r="G23" s="90"/>
      <c r="H23" s="90"/>
    </row>
    <row r="24" spans="1:8" x14ac:dyDescent="0.35">
      <c r="A24" s="101" t="s">
        <v>147</v>
      </c>
      <c r="B24" s="90"/>
      <c r="C24" s="45">
        <f>ConcG*ConcCostPerGLoaded+SUMPRODUCT(AuxGrams,AuxCostPerG)</f>
        <v>69.586573061663927</v>
      </c>
      <c r="D24" s="95" t="s">
        <v>148</v>
      </c>
      <c r="E24" s="90"/>
      <c r="F24" s="90"/>
      <c r="G24" s="90"/>
      <c r="H24" s="90"/>
    </row>
    <row r="25" spans="1:8" x14ac:dyDescent="0.35">
      <c r="A25" s="101" t="s">
        <v>20</v>
      </c>
      <c r="B25" s="90"/>
      <c r="C25" s="45">
        <f>IF(BatchVolMl=0,"",BatchCostSAR/BatchVolMl)</f>
        <v>1.3917314612332785</v>
      </c>
      <c r="D25" s="95"/>
      <c r="E25" s="90"/>
      <c r="F25" s="90"/>
      <c r="G25" s="90"/>
      <c r="H25" s="90"/>
    </row>
    <row r="27" spans="1:8" ht="18" customHeight="1" x14ac:dyDescent="0.35">
      <c r="A27" s="93" t="s">
        <v>149</v>
      </c>
      <c r="B27" s="94"/>
      <c r="C27" s="94"/>
      <c r="D27" s="94"/>
      <c r="E27" s="94"/>
      <c r="F27" s="94"/>
      <c r="G27" s="94"/>
      <c r="H27" s="94"/>
    </row>
    <row r="28" spans="1:8" ht="24" customHeight="1" x14ac:dyDescent="0.35">
      <c r="A28" s="16" t="s">
        <v>34</v>
      </c>
      <c r="B28" s="16" t="s">
        <v>35</v>
      </c>
      <c r="C28" s="16"/>
      <c r="D28" s="16" t="s">
        <v>150</v>
      </c>
      <c r="E28" s="16" t="s">
        <v>151</v>
      </c>
      <c r="F28" s="16" t="s">
        <v>152</v>
      </c>
      <c r="G28" s="16" t="s">
        <v>153</v>
      </c>
      <c r="H28" s="16" t="s">
        <v>154</v>
      </c>
    </row>
    <row r="29" spans="1:8" x14ac:dyDescent="0.35">
      <c r="A29" s="17" t="s">
        <v>67</v>
      </c>
      <c r="B29" s="109" t="s">
        <v>68</v>
      </c>
      <c r="C29" s="108"/>
      <c r="D29" s="21">
        <f t="shared" ref="D29:D53" si="0">INDEX(FM_Active,MATCH($B29,FM_Mat,0))</f>
        <v>0.15</v>
      </c>
      <c r="E29" s="9">
        <f t="shared" ref="E29:E53" si="1">ConcG*D29</f>
        <v>1.7849999999999999</v>
      </c>
      <c r="F29" s="17" t="str">
        <f t="shared" ref="F29:F53" si="2">IF(INDEX(FM_D10,MATCH($B29,FM_Mat,0))="D10","10% in DPG","neat")</f>
        <v>neat</v>
      </c>
      <c r="G29" s="47">
        <f t="shared" ref="G29:G53" si="3">E29*IF(INDEX(FM_D10,MATCH($B29,FM_Mat,0))="D10",0.1,1)</f>
        <v>1.7849999999999999</v>
      </c>
      <c r="H29" s="48"/>
    </row>
    <row r="30" spans="1:8" x14ac:dyDescent="0.35">
      <c r="A30" s="17" t="s">
        <v>67</v>
      </c>
      <c r="B30" s="109" t="s">
        <v>70</v>
      </c>
      <c r="C30" s="108"/>
      <c r="D30" s="21">
        <f t="shared" si="0"/>
        <v>0.08</v>
      </c>
      <c r="E30" s="9">
        <f t="shared" si="1"/>
        <v>0.95200000000000007</v>
      </c>
      <c r="F30" s="17" t="str">
        <f t="shared" si="2"/>
        <v>neat</v>
      </c>
      <c r="G30" s="47">
        <f t="shared" si="3"/>
        <v>0.95200000000000007</v>
      </c>
      <c r="H30" s="48"/>
    </row>
    <row r="31" spans="1:8" x14ac:dyDescent="0.35">
      <c r="A31" s="17" t="s">
        <v>67</v>
      </c>
      <c r="B31" s="109" t="s">
        <v>72</v>
      </c>
      <c r="C31" s="108"/>
      <c r="D31" s="21">
        <f t="shared" si="0"/>
        <v>2.5000000000000001E-2</v>
      </c>
      <c r="E31" s="9">
        <f t="shared" si="1"/>
        <v>0.29750000000000004</v>
      </c>
      <c r="F31" s="17" t="str">
        <f t="shared" si="2"/>
        <v>neat</v>
      </c>
      <c r="G31" s="47">
        <f t="shared" si="3"/>
        <v>0.29750000000000004</v>
      </c>
      <c r="H31" s="48"/>
    </row>
    <row r="32" spans="1:8" x14ac:dyDescent="0.35">
      <c r="A32" s="17" t="s">
        <v>67</v>
      </c>
      <c r="B32" s="109" t="s">
        <v>74</v>
      </c>
      <c r="C32" s="108"/>
      <c r="D32" s="21">
        <f t="shared" si="0"/>
        <v>0.04</v>
      </c>
      <c r="E32" s="9">
        <f t="shared" si="1"/>
        <v>0.47600000000000003</v>
      </c>
      <c r="F32" s="17" t="str">
        <f t="shared" si="2"/>
        <v>neat</v>
      </c>
      <c r="G32" s="47">
        <f t="shared" si="3"/>
        <v>0.47600000000000003</v>
      </c>
      <c r="H32" s="48"/>
    </row>
    <row r="33" spans="1:8" x14ac:dyDescent="0.35">
      <c r="A33" s="17" t="s">
        <v>67</v>
      </c>
      <c r="B33" s="109" t="s">
        <v>76</v>
      </c>
      <c r="C33" s="108"/>
      <c r="D33" s="21">
        <f t="shared" si="0"/>
        <v>0.03</v>
      </c>
      <c r="E33" s="9">
        <f t="shared" si="1"/>
        <v>0.35699999999999998</v>
      </c>
      <c r="F33" s="17" t="str">
        <f t="shared" si="2"/>
        <v>neat</v>
      </c>
      <c r="G33" s="47">
        <f t="shared" si="3"/>
        <v>0.35699999999999998</v>
      </c>
      <c r="H33" s="48"/>
    </row>
    <row r="34" spans="1:8" x14ac:dyDescent="0.35">
      <c r="A34" s="17" t="s">
        <v>67</v>
      </c>
      <c r="B34" s="109" t="s">
        <v>78</v>
      </c>
      <c r="C34" s="108"/>
      <c r="D34" s="21">
        <f t="shared" si="0"/>
        <v>5.0000000000000001E-3</v>
      </c>
      <c r="E34" s="9">
        <f t="shared" si="1"/>
        <v>5.9500000000000004E-2</v>
      </c>
      <c r="F34" s="17" t="str">
        <f t="shared" si="2"/>
        <v>10% in DPG</v>
      </c>
      <c r="G34" s="47">
        <f t="shared" si="3"/>
        <v>5.9500000000000004E-3</v>
      </c>
      <c r="H34" s="48"/>
    </row>
    <row r="35" spans="1:8" x14ac:dyDescent="0.35">
      <c r="A35" s="17" t="s">
        <v>67</v>
      </c>
      <c r="B35" s="109" t="s">
        <v>80</v>
      </c>
      <c r="C35" s="108"/>
      <c r="D35" s="21">
        <f t="shared" si="0"/>
        <v>6.5000000000000002E-2</v>
      </c>
      <c r="E35" s="9">
        <f t="shared" si="1"/>
        <v>0.77350000000000008</v>
      </c>
      <c r="F35" s="17" t="str">
        <f t="shared" si="2"/>
        <v>neat</v>
      </c>
      <c r="G35" s="47">
        <f t="shared" si="3"/>
        <v>0.77350000000000008</v>
      </c>
      <c r="H35" s="48"/>
    </row>
    <row r="36" spans="1:8" x14ac:dyDescent="0.35">
      <c r="A36" s="17" t="s">
        <v>67</v>
      </c>
      <c r="B36" s="109" t="s">
        <v>82</v>
      </c>
      <c r="C36" s="108"/>
      <c r="D36" s="21">
        <f t="shared" si="0"/>
        <v>0.05</v>
      </c>
      <c r="E36" s="9">
        <f t="shared" si="1"/>
        <v>0.59500000000000008</v>
      </c>
      <c r="F36" s="17" t="str">
        <f t="shared" si="2"/>
        <v>neat</v>
      </c>
      <c r="G36" s="47">
        <f t="shared" si="3"/>
        <v>0.59500000000000008</v>
      </c>
      <c r="H36" s="48"/>
    </row>
    <row r="37" spans="1:8" x14ac:dyDescent="0.35">
      <c r="A37" s="17" t="s">
        <v>67</v>
      </c>
      <c r="B37" s="109" t="s">
        <v>84</v>
      </c>
      <c r="C37" s="108"/>
      <c r="D37" s="21">
        <f t="shared" si="0"/>
        <v>2.5000000000000001E-2</v>
      </c>
      <c r="E37" s="9">
        <f t="shared" si="1"/>
        <v>0.29750000000000004</v>
      </c>
      <c r="F37" s="17" t="str">
        <f t="shared" si="2"/>
        <v>neat</v>
      </c>
      <c r="G37" s="47">
        <f t="shared" si="3"/>
        <v>0.29750000000000004</v>
      </c>
      <c r="H37" s="48"/>
    </row>
    <row r="38" spans="1:8" x14ac:dyDescent="0.35">
      <c r="A38" s="17" t="s">
        <v>67</v>
      </c>
      <c r="B38" s="109" t="s">
        <v>86</v>
      </c>
      <c r="C38" s="108"/>
      <c r="D38" s="21">
        <f t="shared" si="0"/>
        <v>3.5000000000000003E-2</v>
      </c>
      <c r="E38" s="9">
        <f t="shared" si="1"/>
        <v>0.41650000000000004</v>
      </c>
      <c r="F38" s="17" t="str">
        <f t="shared" si="2"/>
        <v>neat</v>
      </c>
      <c r="G38" s="47">
        <f t="shared" si="3"/>
        <v>0.41650000000000004</v>
      </c>
      <c r="H38" s="48"/>
    </row>
    <row r="39" spans="1:8" x14ac:dyDescent="0.35">
      <c r="A39" s="17" t="s">
        <v>67</v>
      </c>
      <c r="B39" s="109" t="s">
        <v>88</v>
      </c>
      <c r="C39" s="108"/>
      <c r="D39" s="21">
        <f t="shared" si="0"/>
        <v>0.02</v>
      </c>
      <c r="E39" s="9">
        <f t="shared" si="1"/>
        <v>0.23800000000000002</v>
      </c>
      <c r="F39" s="17" t="str">
        <f t="shared" si="2"/>
        <v>neat</v>
      </c>
      <c r="G39" s="47">
        <f t="shared" si="3"/>
        <v>0.23800000000000002</v>
      </c>
      <c r="H39" s="48"/>
    </row>
    <row r="40" spans="1:8" x14ac:dyDescent="0.35">
      <c r="A40" s="17" t="s">
        <v>67</v>
      </c>
      <c r="B40" s="109" t="s">
        <v>90</v>
      </c>
      <c r="C40" s="108"/>
      <c r="D40" s="21">
        <f t="shared" si="0"/>
        <v>0.02</v>
      </c>
      <c r="E40" s="9">
        <f t="shared" si="1"/>
        <v>0.23800000000000002</v>
      </c>
      <c r="F40" s="17" t="str">
        <f t="shared" si="2"/>
        <v>neat</v>
      </c>
      <c r="G40" s="47">
        <f t="shared" si="3"/>
        <v>0.23800000000000002</v>
      </c>
      <c r="H40" s="48"/>
    </row>
    <row r="41" spans="1:8" x14ac:dyDescent="0.35">
      <c r="A41" s="17" t="s">
        <v>67</v>
      </c>
      <c r="B41" s="109" t="s">
        <v>92</v>
      </c>
      <c r="C41" s="108"/>
      <c r="D41" s="21">
        <f t="shared" si="0"/>
        <v>5.0000000000000001E-3</v>
      </c>
      <c r="E41" s="9">
        <f t="shared" si="1"/>
        <v>5.9500000000000004E-2</v>
      </c>
      <c r="F41" s="17" t="str">
        <f t="shared" si="2"/>
        <v>neat</v>
      </c>
      <c r="G41" s="47">
        <f t="shared" si="3"/>
        <v>5.9500000000000004E-2</v>
      </c>
      <c r="H41" s="48"/>
    </row>
    <row r="42" spans="1:8" x14ac:dyDescent="0.35">
      <c r="A42" s="17" t="s">
        <v>67</v>
      </c>
      <c r="B42" s="109" t="s">
        <v>94</v>
      </c>
      <c r="C42" s="108"/>
      <c r="D42" s="21">
        <f t="shared" si="0"/>
        <v>0.01</v>
      </c>
      <c r="E42" s="9">
        <f t="shared" si="1"/>
        <v>0.11900000000000001</v>
      </c>
      <c r="F42" s="17" t="str">
        <f t="shared" si="2"/>
        <v>10% in DPG</v>
      </c>
      <c r="G42" s="47">
        <f t="shared" si="3"/>
        <v>1.1900000000000001E-2</v>
      </c>
      <c r="H42" s="48"/>
    </row>
    <row r="43" spans="1:8" x14ac:dyDescent="0.35">
      <c r="A43" s="24" t="s">
        <v>53</v>
      </c>
      <c r="B43" s="117" t="s">
        <v>54</v>
      </c>
      <c r="C43" s="108"/>
      <c r="D43" s="27">
        <f t="shared" si="0"/>
        <v>0.2</v>
      </c>
      <c r="E43" s="49">
        <f t="shared" si="1"/>
        <v>2.3800000000000003</v>
      </c>
      <c r="F43" s="24" t="str">
        <f t="shared" si="2"/>
        <v>neat</v>
      </c>
      <c r="G43" s="50">
        <f t="shared" si="3"/>
        <v>2.3800000000000003</v>
      </c>
      <c r="H43" s="51"/>
    </row>
    <row r="44" spans="1:8" x14ac:dyDescent="0.35">
      <c r="A44" s="24" t="s">
        <v>53</v>
      </c>
      <c r="B44" s="117" t="s">
        <v>56</v>
      </c>
      <c r="C44" s="108"/>
      <c r="D44" s="27">
        <f t="shared" si="0"/>
        <v>2.5000000000000001E-2</v>
      </c>
      <c r="E44" s="49">
        <f t="shared" si="1"/>
        <v>0.29750000000000004</v>
      </c>
      <c r="F44" s="24" t="str">
        <f t="shared" si="2"/>
        <v>neat</v>
      </c>
      <c r="G44" s="50">
        <f t="shared" si="3"/>
        <v>0.29750000000000004</v>
      </c>
      <c r="H44" s="51"/>
    </row>
    <row r="45" spans="1:8" x14ac:dyDescent="0.35">
      <c r="A45" s="24" t="s">
        <v>53</v>
      </c>
      <c r="B45" s="117" t="s">
        <v>58</v>
      </c>
      <c r="C45" s="108"/>
      <c r="D45" s="27">
        <f t="shared" si="0"/>
        <v>0.04</v>
      </c>
      <c r="E45" s="49">
        <f t="shared" si="1"/>
        <v>0.47600000000000003</v>
      </c>
      <c r="F45" s="24" t="str">
        <f t="shared" si="2"/>
        <v>neat</v>
      </c>
      <c r="G45" s="50">
        <f t="shared" si="3"/>
        <v>0.47600000000000003</v>
      </c>
      <c r="H45" s="51"/>
    </row>
    <row r="46" spans="1:8" x14ac:dyDescent="0.35">
      <c r="A46" s="24" t="s">
        <v>53</v>
      </c>
      <c r="B46" s="117" t="s">
        <v>60</v>
      </c>
      <c r="C46" s="108"/>
      <c r="D46" s="27">
        <f t="shared" si="0"/>
        <v>0.01</v>
      </c>
      <c r="E46" s="49">
        <f t="shared" si="1"/>
        <v>0.11900000000000001</v>
      </c>
      <c r="F46" s="24" t="str">
        <f t="shared" si="2"/>
        <v>10% in DPG</v>
      </c>
      <c r="G46" s="50">
        <f t="shared" si="3"/>
        <v>1.1900000000000001E-2</v>
      </c>
      <c r="H46" s="51"/>
    </row>
    <row r="47" spans="1:8" x14ac:dyDescent="0.35">
      <c r="A47" s="24" t="s">
        <v>53</v>
      </c>
      <c r="B47" s="117" t="s">
        <v>63</v>
      </c>
      <c r="C47" s="108"/>
      <c r="D47" s="27">
        <f t="shared" si="0"/>
        <v>0.03</v>
      </c>
      <c r="E47" s="49">
        <f t="shared" si="1"/>
        <v>0.35699999999999998</v>
      </c>
      <c r="F47" s="24" t="str">
        <f t="shared" si="2"/>
        <v>neat</v>
      </c>
      <c r="G47" s="50">
        <f t="shared" si="3"/>
        <v>0.35699999999999998</v>
      </c>
      <c r="H47" s="51"/>
    </row>
    <row r="48" spans="1:8" x14ac:dyDescent="0.35">
      <c r="A48" s="24" t="s">
        <v>53</v>
      </c>
      <c r="B48" s="117" t="s">
        <v>65</v>
      </c>
      <c r="C48" s="108"/>
      <c r="D48" s="27">
        <f t="shared" si="0"/>
        <v>0.01</v>
      </c>
      <c r="E48" s="49">
        <f t="shared" si="1"/>
        <v>0.11900000000000001</v>
      </c>
      <c r="F48" s="24" t="str">
        <f t="shared" si="2"/>
        <v>neat</v>
      </c>
      <c r="G48" s="50">
        <f t="shared" si="3"/>
        <v>0.11900000000000001</v>
      </c>
      <c r="H48" s="51"/>
    </row>
    <row r="49" spans="1:8" x14ac:dyDescent="0.35">
      <c r="A49" s="17" t="s">
        <v>42</v>
      </c>
      <c r="B49" s="109" t="s">
        <v>43</v>
      </c>
      <c r="C49" s="108"/>
      <c r="D49" s="21">
        <f t="shared" si="0"/>
        <v>0.09</v>
      </c>
      <c r="E49" s="9">
        <f t="shared" si="1"/>
        <v>1.071</v>
      </c>
      <c r="F49" s="17" t="str">
        <f t="shared" si="2"/>
        <v>neat</v>
      </c>
      <c r="G49" s="47">
        <f t="shared" si="3"/>
        <v>1.071</v>
      </c>
      <c r="H49" s="48"/>
    </row>
    <row r="50" spans="1:8" x14ac:dyDescent="0.35">
      <c r="A50" s="17" t="s">
        <v>42</v>
      </c>
      <c r="B50" s="109" t="s">
        <v>45</v>
      </c>
      <c r="C50" s="108"/>
      <c r="D50" s="21">
        <f t="shared" si="0"/>
        <v>1.4999999999999999E-2</v>
      </c>
      <c r="E50" s="9">
        <f t="shared" si="1"/>
        <v>0.17849999999999999</v>
      </c>
      <c r="F50" s="17" t="str">
        <f t="shared" si="2"/>
        <v>neat</v>
      </c>
      <c r="G50" s="47">
        <f t="shared" si="3"/>
        <v>0.17849999999999999</v>
      </c>
      <c r="H50" s="48"/>
    </row>
    <row r="51" spans="1:8" x14ac:dyDescent="0.35">
      <c r="A51" s="17" t="s">
        <v>42</v>
      </c>
      <c r="B51" s="109" t="s">
        <v>47</v>
      </c>
      <c r="C51" s="108"/>
      <c r="D51" s="21">
        <f t="shared" si="0"/>
        <v>0.01</v>
      </c>
      <c r="E51" s="9">
        <f t="shared" si="1"/>
        <v>0.11900000000000001</v>
      </c>
      <c r="F51" s="17" t="str">
        <f t="shared" si="2"/>
        <v>neat</v>
      </c>
      <c r="G51" s="47">
        <f t="shared" si="3"/>
        <v>0.11900000000000001</v>
      </c>
      <c r="H51" s="48"/>
    </row>
    <row r="52" spans="1:8" x14ac:dyDescent="0.35">
      <c r="A52" s="17" t="s">
        <v>42</v>
      </c>
      <c r="B52" s="109" t="s">
        <v>49</v>
      </c>
      <c r="C52" s="108"/>
      <c r="D52" s="21">
        <f t="shared" si="0"/>
        <v>5.0000000000000001E-3</v>
      </c>
      <c r="E52" s="9">
        <f t="shared" si="1"/>
        <v>5.9500000000000004E-2</v>
      </c>
      <c r="F52" s="17" t="str">
        <f t="shared" si="2"/>
        <v>10% in DPG</v>
      </c>
      <c r="G52" s="47">
        <f t="shared" si="3"/>
        <v>5.9500000000000004E-3</v>
      </c>
      <c r="H52" s="48"/>
    </row>
    <row r="53" spans="1:8" x14ac:dyDescent="0.35">
      <c r="A53" s="17" t="s">
        <v>42</v>
      </c>
      <c r="B53" s="109" t="s">
        <v>51</v>
      </c>
      <c r="C53" s="108"/>
      <c r="D53" s="21">
        <f t="shared" si="0"/>
        <v>5.0000000000000001E-3</v>
      </c>
      <c r="E53" s="9">
        <f t="shared" si="1"/>
        <v>5.9500000000000004E-2</v>
      </c>
      <c r="F53" s="17" t="str">
        <f t="shared" si="2"/>
        <v>10% in DPG</v>
      </c>
      <c r="G53" s="47">
        <f t="shared" si="3"/>
        <v>5.9500000000000004E-3</v>
      </c>
      <c r="H53" s="48"/>
    </row>
    <row r="54" spans="1:8" x14ac:dyDescent="0.35">
      <c r="A54" s="114" t="s">
        <v>155</v>
      </c>
      <c r="B54" s="90"/>
      <c r="C54" s="90"/>
      <c r="D54" s="90"/>
      <c r="E54" s="52">
        <f>SUM(E29:E53)</f>
        <v>11.899999999999999</v>
      </c>
      <c r="F54" s="53" t="str">
        <f>IF(ABS(E54-ConcG)&lt;0.005,"✓","⚠")</f>
        <v>✓</v>
      </c>
      <c r="G54" s="54">
        <f>SUM(G29:G53)</f>
        <v>11.52515</v>
      </c>
    </row>
    <row r="56" spans="1:8" ht="18" customHeight="1" x14ac:dyDescent="0.35">
      <c r="A56" s="93" t="s">
        <v>156</v>
      </c>
      <c r="B56" s="94"/>
      <c r="C56" s="94"/>
      <c r="D56" s="94"/>
      <c r="E56" s="94"/>
      <c r="F56" s="94"/>
      <c r="G56" s="94"/>
      <c r="H56" s="94"/>
    </row>
    <row r="57" spans="1:8" ht="24" customHeight="1" x14ac:dyDescent="0.35">
      <c r="A57" s="110" t="s">
        <v>157</v>
      </c>
      <c r="B57" s="111"/>
      <c r="C57" s="112"/>
      <c r="D57" s="16" t="s">
        <v>158</v>
      </c>
      <c r="E57" s="110" t="s">
        <v>159</v>
      </c>
      <c r="F57" s="111"/>
      <c r="G57" s="111"/>
      <c r="H57" s="112"/>
    </row>
    <row r="58" spans="1:8" x14ac:dyDescent="0.35">
      <c r="A58" s="113" t="s">
        <v>160</v>
      </c>
      <c r="B58" s="108"/>
      <c r="C58" s="108"/>
      <c r="D58" s="9">
        <f>IF(OR(BatchFormat="Eau de Parfum",BatchFormat="Extrait de Parfum"),TotalMassG-ConcG-TotalMassG*WaterPct,IF(BatchFormat="Alcohol Body Mist",TotalMassG-ConcG-TotalMassG*MistGlyPct-TotalMassG*MistWaterPct,0))</f>
        <v>30.6</v>
      </c>
      <c r="E58" s="107" t="s">
        <v>161</v>
      </c>
      <c r="F58" s="108"/>
      <c r="G58" s="108"/>
      <c r="H58" s="108"/>
    </row>
    <row r="59" spans="1:8" x14ac:dyDescent="0.35">
      <c r="A59" s="113" t="s">
        <v>162</v>
      </c>
      <c r="B59" s="108"/>
      <c r="C59" s="108"/>
      <c r="D59" s="9">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7" t="s">
        <v>163</v>
      </c>
      <c r="F59" s="108"/>
      <c r="G59" s="108"/>
      <c r="H59" s="108"/>
    </row>
    <row r="60" spans="1:8" x14ac:dyDescent="0.35">
      <c r="A60" s="113" t="s">
        <v>164</v>
      </c>
      <c r="B60" s="108"/>
      <c r="C60" s="108"/>
      <c r="D60" s="9">
        <f>IF(BatchFormat="Alcohol Body Mist",TotalMassG*MistGlyPct,IF(BatchFormat="Water-Based Mist",TotalMassG*WMGlyPct,IF(BatchFormat="Cream Route 2 (from scratch)",TotalMassG*CR2GlyPct,0)))</f>
        <v>0</v>
      </c>
      <c r="E60" s="107" t="s">
        <v>165</v>
      </c>
      <c r="F60" s="108"/>
      <c r="G60" s="108"/>
      <c r="H60" s="108"/>
    </row>
    <row r="61" spans="1:8" x14ac:dyDescent="0.35">
      <c r="A61" s="113" t="s">
        <v>166</v>
      </c>
      <c r="B61" s="108"/>
      <c r="C61" s="108"/>
      <c r="D61" s="9">
        <f>IF(BatchFormat="Water-Based Mist",ConcG*SolubRatio,0)</f>
        <v>0</v>
      </c>
      <c r="E61" s="107" t="s">
        <v>167</v>
      </c>
      <c r="F61" s="108"/>
      <c r="G61" s="108"/>
      <c r="H61" s="108"/>
    </row>
    <row r="62" spans="1:8" x14ac:dyDescent="0.35">
      <c r="A62" s="113" t="s">
        <v>168</v>
      </c>
      <c r="B62" s="108"/>
      <c r="C62" s="108"/>
      <c r="D62" s="9">
        <f>IF(BatchFormat="Water-Based Mist",TotalMassG*WMPresPct,IF(BatchFormat="Cream Route 2 (from scratch)",TotalMassG*CR2PresPct,0))</f>
        <v>0</v>
      </c>
      <c r="E62" s="107" t="s">
        <v>169</v>
      </c>
      <c r="F62" s="108"/>
      <c r="G62" s="108"/>
      <c r="H62" s="108"/>
    </row>
    <row r="63" spans="1:8" x14ac:dyDescent="0.35">
      <c r="A63" s="113" t="s">
        <v>170</v>
      </c>
      <c r="B63" s="108"/>
      <c r="C63" s="108"/>
      <c r="D63" s="9">
        <f>IF(BatchFormat="Cream Route 1 (scented base)",TotalMassG-ConcG,0)</f>
        <v>0</v>
      </c>
      <c r="E63" s="107" t="s">
        <v>171</v>
      </c>
      <c r="F63" s="108"/>
      <c r="G63" s="108"/>
      <c r="H63" s="108"/>
    </row>
    <row r="64" spans="1:8" x14ac:dyDescent="0.35">
      <c r="A64" s="113" t="s">
        <v>127</v>
      </c>
      <c r="B64" s="108"/>
      <c r="C64" s="108"/>
      <c r="D64" s="9">
        <f>IF(BatchFormat="Cream Route 2 (from scratch)",TotalMassG*CR2EwaxPct,0)</f>
        <v>0</v>
      </c>
      <c r="E64" s="107" t="s">
        <v>172</v>
      </c>
      <c r="F64" s="108"/>
      <c r="G64" s="108"/>
      <c r="H64" s="108"/>
    </row>
    <row r="65" spans="1:8" x14ac:dyDescent="0.35">
      <c r="A65" s="113" t="s">
        <v>130</v>
      </c>
      <c r="B65" s="108"/>
      <c r="C65" s="108"/>
      <c r="D65" s="9">
        <f>IF(BatchFormat="Cream Route 2 (from scratch)",TotalMassG*CR2CetPct,0)</f>
        <v>0</v>
      </c>
      <c r="E65" s="107" t="s">
        <v>173</v>
      </c>
      <c r="F65" s="108"/>
      <c r="G65" s="108"/>
      <c r="H65" s="108"/>
    </row>
    <row r="66" spans="1:8" x14ac:dyDescent="0.35">
      <c r="A66" s="113" t="s">
        <v>133</v>
      </c>
      <c r="B66" s="108"/>
      <c r="C66" s="108"/>
      <c r="D66" s="9">
        <f>IF(BatchFormat="Cream Route 2 (from scratch)",TotalMassG*CR2OilPct,0)</f>
        <v>0</v>
      </c>
      <c r="E66" s="107" t="s">
        <v>173</v>
      </c>
      <c r="F66" s="108"/>
      <c r="G66" s="108"/>
      <c r="H66" s="108"/>
    </row>
    <row r="67" spans="1:8" x14ac:dyDescent="0.35">
      <c r="A67" s="113" t="s">
        <v>136</v>
      </c>
      <c r="B67" s="108"/>
      <c r="C67" s="108"/>
      <c r="D67" s="9">
        <f>IF(BatchFormat="Cream Route 2 (from scratch)",TotalMassG*CR2ButterPct,0)</f>
        <v>0</v>
      </c>
      <c r="E67" s="107" t="s">
        <v>173</v>
      </c>
      <c r="F67" s="108"/>
      <c r="G67" s="108"/>
      <c r="H67" s="108"/>
    </row>
    <row r="68" spans="1:8" x14ac:dyDescent="0.35">
      <c r="A68" s="113" t="s">
        <v>174</v>
      </c>
      <c r="B68" s="108"/>
      <c r="C68" s="108"/>
      <c r="D68" s="9">
        <f>IF(BatchFormat="Cream Route 2 (from scratch)",TotalMassG*VitEPct,0)</f>
        <v>0</v>
      </c>
      <c r="E68" s="107" t="s">
        <v>175</v>
      </c>
      <c r="F68" s="108"/>
      <c r="G68" s="108"/>
      <c r="H68" s="108"/>
    </row>
    <row r="69" spans="1:8" x14ac:dyDescent="0.35">
      <c r="A69" s="114" t="s">
        <v>176</v>
      </c>
      <c r="B69" s="90"/>
      <c r="C69" s="90"/>
      <c r="D69" s="52">
        <f>ConcG+SUM(D58:D68)</f>
        <v>42.5</v>
      </c>
      <c r="E69" s="101" t="str">
        <f>IF(ABS(D69-TotalMassG)&lt;0.005,"✓ equals batch mass","⚠ mismatch — check inputs")</f>
        <v>✓ equals batch mass</v>
      </c>
      <c r="F69" s="90"/>
      <c r="G69" s="90"/>
      <c r="H69" s="90"/>
    </row>
    <row r="71" spans="1:8" x14ac:dyDescent="0.35">
      <c r="A71" s="57" t="s">
        <v>177</v>
      </c>
      <c r="B71" s="58"/>
      <c r="C71" s="57" t="s">
        <v>178</v>
      </c>
      <c r="D71" s="58"/>
      <c r="E71" s="57" t="s">
        <v>179</v>
      </c>
      <c r="F71" s="58"/>
      <c r="G71" s="57" t="s">
        <v>180</v>
      </c>
      <c r="H71" s="58"/>
    </row>
    <row r="73" spans="1:8" ht="18" customHeight="1" x14ac:dyDescent="0.35">
      <c r="A73" s="115" t="s">
        <v>181</v>
      </c>
      <c r="B73" s="116"/>
      <c r="C73" s="116"/>
      <c r="D73" s="116"/>
      <c r="E73" s="116"/>
      <c r="F73" s="116"/>
      <c r="G73" s="116"/>
      <c r="H73" s="116"/>
    </row>
    <row r="74" spans="1:8" x14ac:dyDescent="0.35">
      <c r="A74" s="91" t="s">
        <v>182</v>
      </c>
      <c r="B74" s="90"/>
      <c r="C74" s="90"/>
      <c r="D74" s="59">
        <f>50*0.85</f>
        <v>42.5</v>
      </c>
      <c r="E74" s="95" t="s">
        <v>183</v>
      </c>
      <c r="F74" s="90"/>
      <c r="G74" s="90"/>
      <c r="H74" s="90"/>
    </row>
    <row r="75" spans="1:8" x14ac:dyDescent="0.35">
      <c r="A75" s="91" t="s">
        <v>184</v>
      </c>
      <c r="B75" s="90"/>
      <c r="C75" s="90"/>
      <c r="D75" s="59">
        <f>50*0.85*0.28</f>
        <v>11.9</v>
      </c>
      <c r="E75" s="95" t="s">
        <v>185</v>
      </c>
      <c r="F75" s="90"/>
      <c r="G75" s="90"/>
      <c r="H75" s="90"/>
    </row>
    <row r="76" spans="1:8" x14ac:dyDescent="0.35">
      <c r="A76" s="91" t="s">
        <v>186</v>
      </c>
      <c r="B76" s="90"/>
      <c r="C76" s="90"/>
      <c r="D76" s="59">
        <f>50*0.85-50*0.85*0.28</f>
        <v>30.6</v>
      </c>
      <c r="E76" s="95" t="s">
        <v>187</v>
      </c>
      <c r="F76" s="90"/>
      <c r="G76" s="90"/>
      <c r="H76" s="90"/>
    </row>
  </sheetData>
  <sheetProtection sheet="1" formatCells="0" formatColumns="0" formatRows="0"/>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5" t="s">
        <v>188</v>
      </c>
      <c r="B1" s="90"/>
      <c r="C1" s="90"/>
      <c r="D1" s="90"/>
      <c r="E1" s="90"/>
      <c r="F1" s="90"/>
      <c r="G1" s="90"/>
      <c r="H1" s="90"/>
    </row>
    <row r="2" spans="1:8" x14ac:dyDescent="0.35">
      <c r="A2" s="102" t="s">
        <v>189</v>
      </c>
      <c r="B2" s="103"/>
      <c r="C2" s="103"/>
      <c r="D2" s="103"/>
      <c r="E2" s="103"/>
      <c r="F2" s="103"/>
      <c r="G2" s="103"/>
      <c r="H2" s="103"/>
    </row>
    <row r="4" spans="1:8" ht="24" customHeight="1" x14ac:dyDescent="0.35">
      <c r="A4" s="16" t="s">
        <v>35</v>
      </c>
      <c r="B4" s="16" t="s">
        <v>190</v>
      </c>
      <c r="C4" s="16" t="s">
        <v>191</v>
      </c>
      <c r="D4" s="16" t="s">
        <v>153</v>
      </c>
      <c r="E4" s="16" t="s">
        <v>192</v>
      </c>
      <c r="F4" s="16" t="s">
        <v>193</v>
      </c>
      <c r="G4" s="16" t="s">
        <v>194</v>
      </c>
      <c r="H4" s="16" t="s">
        <v>195</v>
      </c>
    </row>
    <row r="5" spans="1:8" x14ac:dyDescent="0.35">
      <c r="A5" s="55" t="s">
        <v>49</v>
      </c>
      <c r="B5" s="19">
        <v>0.1</v>
      </c>
      <c r="C5" s="41">
        <v>10</v>
      </c>
      <c r="D5" s="59">
        <f>C5*B5</f>
        <v>1</v>
      </c>
      <c r="E5" s="59">
        <f>C5-D5</f>
        <v>9</v>
      </c>
      <c r="F5" s="60"/>
      <c r="G5" s="61"/>
      <c r="H5" s="56" t="str">
        <f>"ASMR · "&amp;A5&amp;" · 10% in DPG · "&amp;IF(F5="","(date)",TEXT(F5,"yyyy-mm-dd"))</f>
        <v>ASMR · Pink Peppercorn · 10% in DPG · (date)</v>
      </c>
    </row>
    <row r="6" spans="1:8" x14ac:dyDescent="0.35">
      <c r="A6" s="55" t="s">
        <v>51</v>
      </c>
      <c r="B6" s="19">
        <v>0.1</v>
      </c>
      <c r="C6" s="41">
        <v>10</v>
      </c>
      <c r="D6" s="59">
        <f>C6*B6</f>
        <v>1</v>
      </c>
      <c r="E6" s="59">
        <f>C6-D6</f>
        <v>9</v>
      </c>
      <c r="F6" s="60"/>
      <c r="G6" s="61"/>
      <c r="H6" s="56" t="str">
        <f>"ASMR · "&amp;A6&amp;" · 10% in DPG · "&amp;IF(F6="","(date)",TEXT(F6,"yyyy-mm-dd"))</f>
        <v>ASMR · Floralozone · 10% in DPG · (date)</v>
      </c>
    </row>
    <row r="7" spans="1:8" x14ac:dyDescent="0.35">
      <c r="A7" s="55" t="s">
        <v>60</v>
      </c>
      <c r="B7" s="19">
        <v>0.1</v>
      </c>
      <c r="C7" s="41">
        <v>10</v>
      </c>
      <c r="D7" s="59">
        <f>C7*B7</f>
        <v>1</v>
      </c>
      <c r="E7" s="59">
        <f>C7-D7</f>
        <v>9</v>
      </c>
      <c r="F7" s="60"/>
      <c r="G7" s="61"/>
      <c r="H7" s="56" t="str">
        <f>"ASMR · "&amp;A7&amp;" · 10% in DPG · "&amp;IF(F7="","(date)",TEXT(F7,"yyyy-mm-dd"))</f>
        <v>ASMR · Irone Alpha · 10% in DPG · (date)</v>
      </c>
    </row>
    <row r="8" spans="1:8" x14ac:dyDescent="0.35">
      <c r="A8" s="55" t="s">
        <v>78</v>
      </c>
      <c r="B8" s="19">
        <v>0.1</v>
      </c>
      <c r="C8" s="41">
        <v>10</v>
      </c>
      <c r="D8" s="59">
        <f>C8*B8</f>
        <v>1</v>
      </c>
      <c r="E8" s="59">
        <f>C8-D8</f>
        <v>9</v>
      </c>
      <c r="F8" s="60"/>
      <c r="G8" s="61"/>
      <c r="H8" s="56" t="str">
        <f>"ASMR · "&amp;A8&amp;" · 10% in DPG · "&amp;IF(F8="","(date)",TEXT(F8,"yyyy-mm-dd"))</f>
        <v>ASMR · Javanol · 10% in DPG · (date)</v>
      </c>
    </row>
    <row r="9" spans="1:8" x14ac:dyDescent="0.35">
      <c r="A9" s="55" t="s">
        <v>94</v>
      </c>
      <c r="B9" s="19">
        <v>0.1</v>
      </c>
      <c r="C9" s="41">
        <v>10</v>
      </c>
      <c r="D9" s="59">
        <f>C9*B9</f>
        <v>1</v>
      </c>
      <c r="E9" s="59">
        <f>C9-D9</f>
        <v>9</v>
      </c>
      <c r="F9" s="60"/>
      <c r="G9" s="61"/>
      <c r="H9" s="56" t="str">
        <f>"ASMR · "&amp;A9&amp;" · 10% in DPG · "&amp;IF(F9="","(date)",TEXT(F9,"yyyy-mm-dd"))</f>
        <v>ASMR · Safraleine · 10% in DPG · (date)</v>
      </c>
    </row>
    <row r="11" spans="1:8" x14ac:dyDescent="0.35">
      <c r="A11" s="95" t="s">
        <v>196</v>
      </c>
      <c r="B11" s="90"/>
      <c r="C11" s="90"/>
      <c r="D11" s="90"/>
      <c r="E11" s="90"/>
      <c r="F11" s="90"/>
      <c r="G11" s="90"/>
      <c r="H11" s="90"/>
    </row>
    <row r="12" spans="1:8" x14ac:dyDescent="0.35">
      <c r="A12" s="95" t="s">
        <v>197</v>
      </c>
      <c r="B12" s="90"/>
      <c r="C12" s="90"/>
      <c r="D12" s="90"/>
      <c r="E12" s="90"/>
      <c r="F12" s="90"/>
      <c r="G12" s="90"/>
      <c r="H12" s="90"/>
    </row>
    <row r="13" spans="1:8" x14ac:dyDescent="0.35">
      <c r="A13" s="95" t="s">
        <v>198</v>
      </c>
      <c r="B13" s="90"/>
      <c r="C13" s="90"/>
      <c r="D13" s="90"/>
      <c r="E13" s="90"/>
      <c r="F13" s="90"/>
      <c r="G13" s="90"/>
      <c r="H13" s="90"/>
    </row>
    <row r="14" spans="1:8" x14ac:dyDescent="0.35">
      <c r="A14" s="95" t="s">
        <v>199</v>
      </c>
      <c r="B14" s="90"/>
      <c r="C14" s="90"/>
      <c r="D14" s="90"/>
      <c r="E14" s="90"/>
      <c r="F14" s="90"/>
      <c r="G14" s="90"/>
      <c r="H14" s="90"/>
    </row>
  </sheetData>
  <sheetProtection sheet="1" formatCells="0" formatColumns="0" formatRows="0"/>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O32"/>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5" width="4" hidden="1" customWidth="1"/>
  </cols>
  <sheetData>
    <row r="1" spans="1:15" ht="28" customHeight="1" x14ac:dyDescent="0.35">
      <c r="A1" s="105" t="s">
        <v>200</v>
      </c>
      <c r="B1" s="90"/>
      <c r="C1" s="90"/>
      <c r="D1" s="90"/>
      <c r="E1" s="90"/>
      <c r="F1" s="90"/>
      <c r="G1" s="90"/>
      <c r="H1" s="90"/>
      <c r="I1" s="90"/>
      <c r="J1" s="90"/>
      <c r="K1" s="90"/>
      <c r="L1" s="90"/>
      <c r="M1" s="90"/>
    </row>
    <row r="2" spans="1:15" x14ac:dyDescent="0.35">
      <c r="A2" s="102" t="s">
        <v>201</v>
      </c>
      <c r="B2" s="103"/>
      <c r="C2" s="103"/>
      <c r="D2" s="103"/>
      <c r="E2" s="103"/>
      <c r="F2" s="119" t="s">
        <v>202</v>
      </c>
      <c r="G2" s="120"/>
      <c r="H2" s="62">
        <f>50*0.85*0.28</f>
        <v>11.9</v>
      </c>
      <c r="I2" s="119" t="s">
        <v>203</v>
      </c>
      <c r="J2" s="120"/>
      <c r="K2" s="62">
        <f>50*0.85*0.72</f>
        <v>30.599999999999998</v>
      </c>
      <c r="L2" s="11"/>
      <c r="M2" s="11"/>
    </row>
    <row r="3" spans="1:15" ht="24" customHeight="1" x14ac:dyDescent="0.35">
      <c r="A3" s="16" t="s">
        <v>35</v>
      </c>
      <c r="B3" s="16" t="s">
        <v>204</v>
      </c>
      <c r="C3" s="16" t="s">
        <v>205</v>
      </c>
      <c r="D3" s="16" t="s">
        <v>206</v>
      </c>
      <c r="E3" s="16" t="s">
        <v>207</v>
      </c>
      <c r="F3" s="16" t="s">
        <v>208</v>
      </c>
      <c r="G3" s="16" t="s">
        <v>209</v>
      </c>
      <c r="H3" s="16" t="s">
        <v>210</v>
      </c>
      <c r="I3" s="16" t="s">
        <v>211</v>
      </c>
      <c r="J3" s="16" t="s">
        <v>212</v>
      </c>
      <c r="K3" s="16" t="s">
        <v>213</v>
      </c>
      <c r="L3" s="16" t="s">
        <v>214</v>
      </c>
      <c r="M3" s="16" t="s">
        <v>215</v>
      </c>
      <c r="N3" s="16"/>
    </row>
    <row r="4" spans="1:15" x14ac:dyDescent="0.35">
      <c r="A4" s="55" t="s">
        <v>54</v>
      </c>
      <c r="B4" s="63">
        <v>30</v>
      </c>
      <c r="C4" s="64" t="s">
        <v>112</v>
      </c>
      <c r="D4" s="63">
        <v>1</v>
      </c>
      <c r="E4" s="42">
        <v>0.9</v>
      </c>
      <c r="F4" s="23">
        <f t="shared" ref="F4:F31" si="0">IF(C4="ml",B4*D4*E4,B4*D4)</f>
        <v>27</v>
      </c>
      <c r="G4" s="41">
        <v>23.9</v>
      </c>
      <c r="H4" s="23">
        <f t="shared" ref="H4:H31" si="1">G4*D4</f>
        <v>23.9</v>
      </c>
      <c r="I4" s="23">
        <f t="shared" ref="I4:I31" si="2">IF(F4=0,0,H4/F4)</f>
        <v>0.88518518518518519</v>
      </c>
      <c r="J4" s="23">
        <f t="shared" ref="J4:J26" si="3">TotalConcUsedG*INDEX(FM_Active,MATCH($A4,FM_Mat,0))*IF(INDEX(FM_D10,MATCH($A4,FM_Mat,0))="D10",0.1,1)</f>
        <v>0</v>
      </c>
      <c r="K4" s="59">
        <f t="shared" ref="K4:K31" si="4">F4-J4</f>
        <v>27</v>
      </c>
      <c r="L4" s="23">
        <f t="shared" ref="L4:L26" si="5">2*DefaultBatchConcG*INDEX(FM_Active,MATCH($A4,FM_Mat,0))*IF(INDEX(FM_D10,MATCH($A4,FM_Mat,0))="D10",0.1,1)</f>
        <v>4.7600000000000007</v>
      </c>
      <c r="M4" s="64" t="str">
        <f t="shared" ref="M4:M31" si="6">IF(K4&lt;L4,"LOW","OK")</f>
        <v>OK</v>
      </c>
      <c r="N4" s="10" t="str">
        <f t="shared" ref="N4:N31" si="7">IF(K4&lt;L4,A4,"")</f>
        <v/>
      </c>
      <c r="O4" s="10" t="str">
        <f>N4</f>
        <v/>
      </c>
    </row>
    <row r="5" spans="1:15" x14ac:dyDescent="0.35">
      <c r="A5" s="55" t="s">
        <v>68</v>
      </c>
      <c r="B5" s="63">
        <v>10</v>
      </c>
      <c r="C5" s="64" t="s">
        <v>112</v>
      </c>
      <c r="D5" s="63">
        <v>1</v>
      </c>
      <c r="E5" s="42">
        <v>0.9</v>
      </c>
      <c r="F5" s="23">
        <f t="shared" si="0"/>
        <v>9</v>
      </c>
      <c r="G5" s="41">
        <v>13.6</v>
      </c>
      <c r="H5" s="23">
        <f t="shared" si="1"/>
        <v>13.6</v>
      </c>
      <c r="I5" s="23">
        <f t="shared" si="2"/>
        <v>1.5111111111111111</v>
      </c>
      <c r="J5" s="23">
        <f t="shared" si="3"/>
        <v>0</v>
      </c>
      <c r="K5" s="59">
        <f t="shared" si="4"/>
        <v>9</v>
      </c>
      <c r="L5" s="23">
        <f t="shared" si="5"/>
        <v>3.57</v>
      </c>
      <c r="M5" s="64" t="str">
        <f t="shared" si="6"/>
        <v>OK</v>
      </c>
      <c r="N5" s="10" t="str">
        <f t="shared" si="7"/>
        <v/>
      </c>
      <c r="O5" s="10" t="str">
        <f t="shared" ref="O5:O31" si="8">IF(N5="",O4,IF(O4="",N5,O4&amp;",  "&amp;N5))</f>
        <v/>
      </c>
    </row>
    <row r="6" spans="1:15" x14ac:dyDescent="0.35">
      <c r="A6" s="55" t="s">
        <v>70</v>
      </c>
      <c r="B6" s="63">
        <v>10</v>
      </c>
      <c r="C6" s="64" t="s">
        <v>216</v>
      </c>
      <c r="D6" s="63">
        <v>1</v>
      </c>
      <c r="E6" s="64"/>
      <c r="F6" s="23">
        <f t="shared" si="0"/>
        <v>10</v>
      </c>
      <c r="G6" s="41">
        <v>81</v>
      </c>
      <c r="H6" s="23">
        <f t="shared" si="1"/>
        <v>81</v>
      </c>
      <c r="I6" s="23">
        <f t="shared" si="2"/>
        <v>8.1</v>
      </c>
      <c r="J6" s="23">
        <f t="shared" si="3"/>
        <v>0</v>
      </c>
      <c r="K6" s="59">
        <f t="shared" si="4"/>
        <v>10</v>
      </c>
      <c r="L6" s="23">
        <f t="shared" si="5"/>
        <v>1.9040000000000001</v>
      </c>
      <c r="M6" s="64" t="str">
        <f t="shared" si="6"/>
        <v>OK</v>
      </c>
      <c r="N6" s="10" t="str">
        <f t="shared" si="7"/>
        <v/>
      </c>
      <c r="O6" s="10" t="str">
        <f t="shared" si="8"/>
        <v/>
      </c>
    </row>
    <row r="7" spans="1:15" x14ac:dyDescent="0.35">
      <c r="A7" s="55" t="s">
        <v>80</v>
      </c>
      <c r="B7" s="63">
        <v>10</v>
      </c>
      <c r="C7" s="64" t="s">
        <v>216</v>
      </c>
      <c r="D7" s="63">
        <v>1</v>
      </c>
      <c r="E7" s="64"/>
      <c r="F7" s="23">
        <f t="shared" si="0"/>
        <v>10</v>
      </c>
      <c r="G7" s="41">
        <v>30</v>
      </c>
      <c r="H7" s="23">
        <f t="shared" si="1"/>
        <v>30</v>
      </c>
      <c r="I7" s="23">
        <f t="shared" si="2"/>
        <v>3</v>
      </c>
      <c r="J7" s="23">
        <f t="shared" si="3"/>
        <v>0</v>
      </c>
      <c r="K7" s="59">
        <f t="shared" si="4"/>
        <v>10</v>
      </c>
      <c r="L7" s="23">
        <f t="shared" si="5"/>
        <v>1.5470000000000002</v>
      </c>
      <c r="M7" s="64" t="str">
        <f t="shared" si="6"/>
        <v>OK</v>
      </c>
      <c r="N7" s="10" t="str">
        <f t="shared" si="7"/>
        <v/>
      </c>
      <c r="O7" s="10" t="str">
        <f t="shared" si="8"/>
        <v/>
      </c>
    </row>
    <row r="8" spans="1:15" x14ac:dyDescent="0.35">
      <c r="A8" s="55" t="s">
        <v>82</v>
      </c>
      <c r="B8" s="63">
        <v>10</v>
      </c>
      <c r="C8" s="64" t="s">
        <v>216</v>
      </c>
      <c r="D8" s="63">
        <v>1</v>
      </c>
      <c r="E8" s="64"/>
      <c r="F8" s="23">
        <f t="shared" si="0"/>
        <v>10</v>
      </c>
      <c r="G8" s="41">
        <v>55</v>
      </c>
      <c r="H8" s="23">
        <f t="shared" si="1"/>
        <v>55</v>
      </c>
      <c r="I8" s="23">
        <f t="shared" si="2"/>
        <v>5.5</v>
      </c>
      <c r="J8" s="23">
        <f t="shared" si="3"/>
        <v>0</v>
      </c>
      <c r="K8" s="59">
        <f t="shared" si="4"/>
        <v>10</v>
      </c>
      <c r="L8" s="23">
        <f t="shared" si="5"/>
        <v>1.1900000000000002</v>
      </c>
      <c r="M8" s="64" t="str">
        <f t="shared" si="6"/>
        <v>OK</v>
      </c>
      <c r="N8" s="10" t="str">
        <f t="shared" si="7"/>
        <v/>
      </c>
      <c r="O8" s="10" t="str">
        <f t="shared" si="8"/>
        <v/>
      </c>
    </row>
    <row r="9" spans="1:15" x14ac:dyDescent="0.35">
      <c r="A9" s="55" t="s">
        <v>84</v>
      </c>
      <c r="B9" s="63">
        <v>10</v>
      </c>
      <c r="C9" s="64" t="s">
        <v>112</v>
      </c>
      <c r="D9" s="63">
        <v>1</v>
      </c>
      <c r="E9" s="42">
        <v>0.9</v>
      </c>
      <c r="F9" s="23">
        <f t="shared" si="0"/>
        <v>9</v>
      </c>
      <c r="G9" s="41">
        <v>92.07</v>
      </c>
      <c r="H9" s="23">
        <f t="shared" si="1"/>
        <v>92.07</v>
      </c>
      <c r="I9" s="23">
        <f t="shared" si="2"/>
        <v>10.229999999999999</v>
      </c>
      <c r="J9" s="23">
        <f t="shared" si="3"/>
        <v>0</v>
      </c>
      <c r="K9" s="59">
        <f t="shared" si="4"/>
        <v>9</v>
      </c>
      <c r="L9" s="23">
        <f t="shared" si="5"/>
        <v>0.59500000000000008</v>
      </c>
      <c r="M9" s="64" t="str">
        <f t="shared" si="6"/>
        <v>OK</v>
      </c>
      <c r="N9" s="10" t="str">
        <f t="shared" si="7"/>
        <v/>
      </c>
      <c r="O9" s="10" t="str">
        <f t="shared" si="8"/>
        <v/>
      </c>
    </row>
    <row r="10" spans="1:15" x14ac:dyDescent="0.35">
      <c r="A10" s="55" t="s">
        <v>86</v>
      </c>
      <c r="B10" s="63">
        <v>10</v>
      </c>
      <c r="C10" s="64" t="s">
        <v>112</v>
      </c>
      <c r="D10" s="63">
        <v>1</v>
      </c>
      <c r="E10" s="42">
        <v>0.9</v>
      </c>
      <c r="F10" s="23">
        <f t="shared" si="0"/>
        <v>9</v>
      </c>
      <c r="G10" s="41">
        <v>10.11</v>
      </c>
      <c r="H10" s="23">
        <f t="shared" si="1"/>
        <v>10.11</v>
      </c>
      <c r="I10" s="23">
        <f t="shared" si="2"/>
        <v>1.1233333333333333</v>
      </c>
      <c r="J10" s="23">
        <f t="shared" si="3"/>
        <v>0</v>
      </c>
      <c r="K10" s="59">
        <f t="shared" si="4"/>
        <v>9</v>
      </c>
      <c r="L10" s="23">
        <f t="shared" si="5"/>
        <v>0.83300000000000007</v>
      </c>
      <c r="M10" s="64" t="str">
        <f t="shared" si="6"/>
        <v>OK</v>
      </c>
      <c r="N10" s="10" t="str">
        <f t="shared" si="7"/>
        <v/>
      </c>
      <c r="O10" s="10" t="str">
        <f t="shared" si="8"/>
        <v/>
      </c>
    </row>
    <row r="11" spans="1:15" x14ac:dyDescent="0.35">
      <c r="A11" s="55" t="s">
        <v>88</v>
      </c>
      <c r="B11" s="63">
        <v>10</v>
      </c>
      <c r="C11" s="64" t="s">
        <v>112</v>
      </c>
      <c r="D11" s="63">
        <v>1</v>
      </c>
      <c r="E11" s="42">
        <v>0.9</v>
      </c>
      <c r="F11" s="23">
        <f t="shared" si="0"/>
        <v>9</v>
      </c>
      <c r="G11" s="41">
        <v>27.53</v>
      </c>
      <c r="H11" s="23">
        <f t="shared" si="1"/>
        <v>27.53</v>
      </c>
      <c r="I11" s="23">
        <f t="shared" si="2"/>
        <v>3.0588888888888892</v>
      </c>
      <c r="J11" s="23">
        <f t="shared" si="3"/>
        <v>0</v>
      </c>
      <c r="K11" s="59">
        <f t="shared" si="4"/>
        <v>9</v>
      </c>
      <c r="L11" s="23">
        <f t="shared" si="5"/>
        <v>0.47600000000000003</v>
      </c>
      <c r="M11" s="64" t="str">
        <f t="shared" si="6"/>
        <v>OK</v>
      </c>
      <c r="N11" s="10" t="str">
        <f t="shared" si="7"/>
        <v/>
      </c>
      <c r="O11" s="10" t="str">
        <f t="shared" si="8"/>
        <v/>
      </c>
    </row>
    <row r="12" spans="1:15" x14ac:dyDescent="0.35">
      <c r="A12" s="55" t="s">
        <v>72</v>
      </c>
      <c r="B12" s="63">
        <v>10</v>
      </c>
      <c r="C12" s="64" t="s">
        <v>112</v>
      </c>
      <c r="D12" s="63">
        <v>1</v>
      </c>
      <c r="E12" s="42">
        <v>0.9</v>
      </c>
      <c r="F12" s="23">
        <f t="shared" si="0"/>
        <v>9</v>
      </c>
      <c r="G12" s="41">
        <v>55.86</v>
      </c>
      <c r="H12" s="23">
        <f t="shared" si="1"/>
        <v>55.86</v>
      </c>
      <c r="I12" s="23">
        <f t="shared" si="2"/>
        <v>6.206666666666667</v>
      </c>
      <c r="J12" s="23">
        <f t="shared" si="3"/>
        <v>0</v>
      </c>
      <c r="K12" s="59">
        <f t="shared" si="4"/>
        <v>9</v>
      </c>
      <c r="L12" s="23">
        <f t="shared" si="5"/>
        <v>0.59500000000000008</v>
      </c>
      <c r="M12" s="64" t="str">
        <f t="shared" si="6"/>
        <v>OK</v>
      </c>
      <c r="N12" s="10" t="str">
        <f t="shared" si="7"/>
        <v/>
      </c>
      <c r="O12" s="10" t="str">
        <f t="shared" si="8"/>
        <v/>
      </c>
    </row>
    <row r="13" spans="1:15" x14ac:dyDescent="0.35">
      <c r="A13" s="55" t="s">
        <v>74</v>
      </c>
      <c r="B13" s="63">
        <v>10</v>
      </c>
      <c r="C13" s="64" t="s">
        <v>216</v>
      </c>
      <c r="D13" s="63">
        <v>1</v>
      </c>
      <c r="E13" s="64"/>
      <c r="F13" s="23">
        <f t="shared" si="0"/>
        <v>10</v>
      </c>
      <c r="G13" s="41">
        <v>179</v>
      </c>
      <c r="H13" s="23">
        <f t="shared" si="1"/>
        <v>179</v>
      </c>
      <c r="I13" s="23">
        <f t="shared" si="2"/>
        <v>17.899999999999999</v>
      </c>
      <c r="J13" s="23">
        <f t="shared" si="3"/>
        <v>0</v>
      </c>
      <c r="K13" s="59">
        <f t="shared" si="4"/>
        <v>10</v>
      </c>
      <c r="L13" s="23">
        <f t="shared" si="5"/>
        <v>0.95200000000000007</v>
      </c>
      <c r="M13" s="64" t="str">
        <f t="shared" si="6"/>
        <v>OK</v>
      </c>
      <c r="N13" s="10" t="str">
        <f t="shared" si="7"/>
        <v/>
      </c>
      <c r="O13" s="10" t="str">
        <f t="shared" si="8"/>
        <v/>
      </c>
    </row>
    <row r="14" spans="1:15" x14ac:dyDescent="0.35">
      <c r="A14" s="55" t="s">
        <v>76</v>
      </c>
      <c r="B14" s="63">
        <v>10</v>
      </c>
      <c r="C14" s="64" t="s">
        <v>112</v>
      </c>
      <c r="D14" s="63">
        <v>1</v>
      </c>
      <c r="E14" s="42">
        <v>0.9</v>
      </c>
      <c r="F14" s="23">
        <f t="shared" si="0"/>
        <v>9</v>
      </c>
      <c r="G14" s="41">
        <v>23.54</v>
      </c>
      <c r="H14" s="23">
        <f t="shared" si="1"/>
        <v>23.54</v>
      </c>
      <c r="I14" s="23">
        <f t="shared" si="2"/>
        <v>2.6155555555555554</v>
      </c>
      <c r="J14" s="23">
        <f t="shared" si="3"/>
        <v>0</v>
      </c>
      <c r="K14" s="59">
        <f t="shared" si="4"/>
        <v>9</v>
      </c>
      <c r="L14" s="23">
        <f t="shared" si="5"/>
        <v>0.71399999999999997</v>
      </c>
      <c r="M14" s="64" t="str">
        <f t="shared" si="6"/>
        <v>OK</v>
      </c>
      <c r="N14" s="10" t="str">
        <f t="shared" si="7"/>
        <v/>
      </c>
      <c r="O14" s="10" t="str">
        <f t="shared" si="8"/>
        <v/>
      </c>
    </row>
    <row r="15" spans="1:15" x14ac:dyDescent="0.35">
      <c r="A15" s="55" t="s">
        <v>78</v>
      </c>
      <c r="B15" s="63">
        <v>10</v>
      </c>
      <c r="C15" s="64" t="s">
        <v>216</v>
      </c>
      <c r="D15" s="63">
        <v>1</v>
      </c>
      <c r="E15" s="64"/>
      <c r="F15" s="23">
        <f t="shared" si="0"/>
        <v>10</v>
      </c>
      <c r="G15" s="41">
        <v>81</v>
      </c>
      <c r="H15" s="23">
        <f t="shared" si="1"/>
        <v>81</v>
      </c>
      <c r="I15" s="23">
        <f t="shared" si="2"/>
        <v>8.1</v>
      </c>
      <c r="J15" s="23">
        <f t="shared" si="3"/>
        <v>0</v>
      </c>
      <c r="K15" s="59">
        <f t="shared" si="4"/>
        <v>10</v>
      </c>
      <c r="L15" s="23">
        <f t="shared" si="5"/>
        <v>1.1900000000000001E-2</v>
      </c>
      <c r="M15" s="64" t="str">
        <f t="shared" si="6"/>
        <v>OK</v>
      </c>
      <c r="N15" s="10" t="str">
        <f t="shared" si="7"/>
        <v/>
      </c>
      <c r="O15" s="10" t="str">
        <f t="shared" si="8"/>
        <v/>
      </c>
    </row>
    <row r="16" spans="1:15" x14ac:dyDescent="0.35">
      <c r="A16" s="55" t="s">
        <v>90</v>
      </c>
      <c r="B16" s="63">
        <v>10</v>
      </c>
      <c r="C16" s="64" t="s">
        <v>216</v>
      </c>
      <c r="D16" s="63">
        <v>1</v>
      </c>
      <c r="E16" s="64"/>
      <c r="F16" s="23">
        <f t="shared" si="0"/>
        <v>10</v>
      </c>
      <c r="G16" s="41">
        <v>31</v>
      </c>
      <c r="H16" s="23">
        <f t="shared" si="1"/>
        <v>31</v>
      </c>
      <c r="I16" s="23">
        <f t="shared" si="2"/>
        <v>3.1</v>
      </c>
      <c r="J16" s="23">
        <f t="shared" si="3"/>
        <v>0</v>
      </c>
      <c r="K16" s="59">
        <f t="shared" si="4"/>
        <v>10</v>
      </c>
      <c r="L16" s="23">
        <f t="shared" si="5"/>
        <v>0.47600000000000003</v>
      </c>
      <c r="M16" s="64" t="str">
        <f t="shared" si="6"/>
        <v>OK</v>
      </c>
      <c r="N16" s="10" t="str">
        <f t="shared" si="7"/>
        <v/>
      </c>
      <c r="O16" s="10" t="str">
        <f t="shared" si="8"/>
        <v/>
      </c>
    </row>
    <row r="17" spans="1:15" x14ac:dyDescent="0.35">
      <c r="A17" s="55" t="s">
        <v>92</v>
      </c>
      <c r="B17" s="63">
        <v>10</v>
      </c>
      <c r="C17" s="64" t="s">
        <v>216</v>
      </c>
      <c r="D17" s="63">
        <v>1</v>
      </c>
      <c r="E17" s="64"/>
      <c r="F17" s="23">
        <f t="shared" si="0"/>
        <v>10</v>
      </c>
      <c r="G17" s="41">
        <v>124</v>
      </c>
      <c r="H17" s="23">
        <f t="shared" si="1"/>
        <v>124</v>
      </c>
      <c r="I17" s="23">
        <f t="shared" si="2"/>
        <v>12.4</v>
      </c>
      <c r="J17" s="23">
        <f t="shared" si="3"/>
        <v>0</v>
      </c>
      <c r="K17" s="59">
        <f t="shared" si="4"/>
        <v>10</v>
      </c>
      <c r="L17" s="23">
        <f t="shared" si="5"/>
        <v>0.11900000000000001</v>
      </c>
      <c r="M17" s="64" t="str">
        <f t="shared" si="6"/>
        <v>OK</v>
      </c>
      <c r="N17" s="10" t="str">
        <f t="shared" si="7"/>
        <v/>
      </c>
      <c r="O17" s="10" t="str">
        <f t="shared" si="8"/>
        <v/>
      </c>
    </row>
    <row r="18" spans="1:15" x14ac:dyDescent="0.35">
      <c r="A18" s="55" t="s">
        <v>58</v>
      </c>
      <c r="B18" s="63">
        <v>10</v>
      </c>
      <c r="C18" s="64" t="s">
        <v>112</v>
      </c>
      <c r="D18" s="63">
        <v>1</v>
      </c>
      <c r="E18" s="42">
        <v>0.9</v>
      </c>
      <c r="F18" s="23">
        <f t="shared" si="0"/>
        <v>9</v>
      </c>
      <c r="G18" s="41">
        <v>17.46</v>
      </c>
      <c r="H18" s="23">
        <f t="shared" si="1"/>
        <v>17.46</v>
      </c>
      <c r="I18" s="23">
        <f t="shared" si="2"/>
        <v>1.9400000000000002</v>
      </c>
      <c r="J18" s="23">
        <f t="shared" si="3"/>
        <v>0</v>
      </c>
      <c r="K18" s="59">
        <f t="shared" si="4"/>
        <v>9</v>
      </c>
      <c r="L18" s="23">
        <f t="shared" si="5"/>
        <v>0.95200000000000007</v>
      </c>
      <c r="M18" s="64" t="str">
        <f t="shared" si="6"/>
        <v>OK</v>
      </c>
      <c r="N18" s="10" t="str">
        <f t="shared" si="7"/>
        <v/>
      </c>
      <c r="O18" s="10" t="str">
        <f t="shared" si="8"/>
        <v/>
      </c>
    </row>
    <row r="19" spans="1:15" x14ac:dyDescent="0.35">
      <c r="A19" s="55" t="s">
        <v>60</v>
      </c>
      <c r="B19" s="63">
        <v>10</v>
      </c>
      <c r="C19" s="64" t="s">
        <v>216</v>
      </c>
      <c r="D19" s="63">
        <v>1</v>
      </c>
      <c r="E19" s="64"/>
      <c r="F19" s="23">
        <f t="shared" si="0"/>
        <v>10</v>
      </c>
      <c r="G19" s="41">
        <v>216</v>
      </c>
      <c r="H19" s="23">
        <f t="shared" si="1"/>
        <v>216</v>
      </c>
      <c r="I19" s="23">
        <f t="shared" si="2"/>
        <v>21.6</v>
      </c>
      <c r="J19" s="23">
        <f t="shared" si="3"/>
        <v>0</v>
      </c>
      <c r="K19" s="59">
        <f t="shared" si="4"/>
        <v>10</v>
      </c>
      <c r="L19" s="23">
        <f t="shared" si="5"/>
        <v>2.3800000000000002E-2</v>
      </c>
      <c r="M19" s="64" t="str">
        <f t="shared" si="6"/>
        <v>OK</v>
      </c>
      <c r="N19" s="10" t="str">
        <f t="shared" si="7"/>
        <v/>
      </c>
      <c r="O19" s="10" t="str">
        <f t="shared" si="8"/>
        <v/>
      </c>
    </row>
    <row r="20" spans="1:15" x14ac:dyDescent="0.35">
      <c r="A20" s="55" t="s">
        <v>63</v>
      </c>
      <c r="B20" s="63">
        <v>10</v>
      </c>
      <c r="C20" s="64" t="s">
        <v>112</v>
      </c>
      <c r="D20" s="63">
        <v>1</v>
      </c>
      <c r="E20" s="42">
        <v>0.9</v>
      </c>
      <c r="F20" s="23">
        <f t="shared" si="0"/>
        <v>9</v>
      </c>
      <c r="G20" s="41">
        <v>11.16</v>
      </c>
      <c r="H20" s="23">
        <f t="shared" si="1"/>
        <v>11.16</v>
      </c>
      <c r="I20" s="23">
        <f t="shared" si="2"/>
        <v>1.24</v>
      </c>
      <c r="J20" s="23">
        <f t="shared" si="3"/>
        <v>0</v>
      </c>
      <c r="K20" s="59">
        <f t="shared" si="4"/>
        <v>9</v>
      </c>
      <c r="L20" s="23">
        <f t="shared" si="5"/>
        <v>0.71399999999999997</v>
      </c>
      <c r="M20" s="64" t="str">
        <f t="shared" si="6"/>
        <v>OK</v>
      </c>
      <c r="N20" s="10" t="str">
        <f t="shared" si="7"/>
        <v/>
      </c>
      <c r="O20" s="10" t="str">
        <f t="shared" si="8"/>
        <v/>
      </c>
    </row>
    <row r="21" spans="1:15" x14ac:dyDescent="0.35">
      <c r="A21" s="55" t="s">
        <v>65</v>
      </c>
      <c r="B21" s="63">
        <v>10</v>
      </c>
      <c r="C21" s="64" t="s">
        <v>112</v>
      </c>
      <c r="D21" s="63">
        <v>1</v>
      </c>
      <c r="E21" s="42">
        <v>0.9</v>
      </c>
      <c r="F21" s="23">
        <f t="shared" si="0"/>
        <v>9</v>
      </c>
      <c r="G21" s="41">
        <v>16.739999999999998</v>
      </c>
      <c r="H21" s="23">
        <f t="shared" si="1"/>
        <v>16.739999999999998</v>
      </c>
      <c r="I21" s="23">
        <f t="shared" si="2"/>
        <v>1.8599999999999999</v>
      </c>
      <c r="J21" s="23">
        <f t="shared" si="3"/>
        <v>0</v>
      </c>
      <c r="K21" s="59">
        <f t="shared" si="4"/>
        <v>9</v>
      </c>
      <c r="L21" s="23">
        <f t="shared" si="5"/>
        <v>0.23800000000000002</v>
      </c>
      <c r="M21" s="64" t="str">
        <f t="shared" si="6"/>
        <v>OK</v>
      </c>
      <c r="N21" s="10" t="str">
        <f t="shared" si="7"/>
        <v/>
      </c>
      <c r="O21" s="10" t="str">
        <f t="shared" si="8"/>
        <v/>
      </c>
    </row>
    <row r="22" spans="1:15" x14ac:dyDescent="0.35">
      <c r="A22" s="55" t="s">
        <v>47</v>
      </c>
      <c r="B22" s="63">
        <v>10</v>
      </c>
      <c r="C22" s="64" t="s">
        <v>112</v>
      </c>
      <c r="D22" s="63">
        <v>1</v>
      </c>
      <c r="E22" s="42">
        <v>0.9</v>
      </c>
      <c r="F22" s="23">
        <f t="shared" si="0"/>
        <v>9</v>
      </c>
      <c r="G22" s="41">
        <v>54.38</v>
      </c>
      <c r="H22" s="23">
        <f t="shared" si="1"/>
        <v>54.38</v>
      </c>
      <c r="I22" s="23">
        <f t="shared" si="2"/>
        <v>6.0422222222222226</v>
      </c>
      <c r="J22" s="23">
        <f t="shared" si="3"/>
        <v>0</v>
      </c>
      <c r="K22" s="59">
        <f t="shared" si="4"/>
        <v>9</v>
      </c>
      <c r="L22" s="23">
        <f t="shared" si="5"/>
        <v>0.23800000000000002</v>
      </c>
      <c r="M22" s="64" t="str">
        <f t="shared" si="6"/>
        <v>OK</v>
      </c>
      <c r="N22" s="10" t="str">
        <f t="shared" si="7"/>
        <v/>
      </c>
      <c r="O22" s="10" t="str">
        <f t="shared" si="8"/>
        <v/>
      </c>
    </row>
    <row r="23" spans="1:15" x14ac:dyDescent="0.35">
      <c r="A23" s="55" t="s">
        <v>56</v>
      </c>
      <c r="B23" s="63">
        <v>10</v>
      </c>
      <c r="C23" s="64" t="s">
        <v>216</v>
      </c>
      <c r="D23" s="63">
        <v>1</v>
      </c>
      <c r="E23" s="64"/>
      <c r="F23" s="23">
        <f t="shared" si="0"/>
        <v>10</v>
      </c>
      <c r="G23" s="41">
        <v>435</v>
      </c>
      <c r="H23" s="23">
        <f t="shared" si="1"/>
        <v>435</v>
      </c>
      <c r="I23" s="23">
        <f t="shared" si="2"/>
        <v>43.5</v>
      </c>
      <c r="J23" s="23">
        <f t="shared" si="3"/>
        <v>0</v>
      </c>
      <c r="K23" s="59">
        <f t="shared" si="4"/>
        <v>10</v>
      </c>
      <c r="L23" s="23">
        <f t="shared" si="5"/>
        <v>0.59500000000000008</v>
      </c>
      <c r="M23" s="64" t="str">
        <f t="shared" si="6"/>
        <v>OK</v>
      </c>
      <c r="N23" s="10" t="str">
        <f t="shared" si="7"/>
        <v/>
      </c>
      <c r="O23" s="10" t="str">
        <f t="shared" si="8"/>
        <v/>
      </c>
    </row>
    <row r="24" spans="1:15" x14ac:dyDescent="0.35">
      <c r="A24" s="55" t="s">
        <v>45</v>
      </c>
      <c r="B24" s="63">
        <v>10</v>
      </c>
      <c r="C24" s="64" t="s">
        <v>112</v>
      </c>
      <c r="D24" s="63">
        <v>1</v>
      </c>
      <c r="E24" s="42">
        <v>0.9</v>
      </c>
      <c r="F24" s="23">
        <f t="shared" si="0"/>
        <v>9</v>
      </c>
      <c r="G24" s="41">
        <v>43.75</v>
      </c>
      <c r="H24" s="23">
        <f t="shared" si="1"/>
        <v>43.75</v>
      </c>
      <c r="I24" s="23">
        <f t="shared" si="2"/>
        <v>4.8611111111111107</v>
      </c>
      <c r="J24" s="23">
        <f t="shared" si="3"/>
        <v>0</v>
      </c>
      <c r="K24" s="59">
        <f t="shared" si="4"/>
        <v>9</v>
      </c>
      <c r="L24" s="23">
        <f t="shared" si="5"/>
        <v>0.35699999999999998</v>
      </c>
      <c r="M24" s="64" t="str">
        <f t="shared" si="6"/>
        <v>OK</v>
      </c>
      <c r="N24" s="10" t="str">
        <f t="shared" si="7"/>
        <v/>
      </c>
      <c r="O24" s="10" t="str">
        <f t="shared" si="8"/>
        <v/>
      </c>
    </row>
    <row r="25" spans="1:15" x14ac:dyDescent="0.35">
      <c r="A25" s="55" t="s">
        <v>49</v>
      </c>
      <c r="B25" s="63">
        <v>10</v>
      </c>
      <c r="C25" s="64" t="s">
        <v>112</v>
      </c>
      <c r="D25" s="63">
        <v>1</v>
      </c>
      <c r="E25" s="42">
        <v>0.9</v>
      </c>
      <c r="F25" s="23">
        <f t="shared" si="0"/>
        <v>9</v>
      </c>
      <c r="G25" s="41">
        <v>141.25</v>
      </c>
      <c r="H25" s="23">
        <f t="shared" si="1"/>
        <v>141.25</v>
      </c>
      <c r="I25" s="23">
        <f t="shared" si="2"/>
        <v>15.694444444444445</v>
      </c>
      <c r="J25" s="23">
        <f t="shared" si="3"/>
        <v>0</v>
      </c>
      <c r="K25" s="59">
        <f t="shared" si="4"/>
        <v>9</v>
      </c>
      <c r="L25" s="23">
        <f t="shared" si="5"/>
        <v>1.1900000000000001E-2</v>
      </c>
      <c r="M25" s="64" t="str">
        <f t="shared" si="6"/>
        <v>OK</v>
      </c>
      <c r="N25" s="10" t="str">
        <f t="shared" si="7"/>
        <v/>
      </c>
      <c r="O25" s="10" t="str">
        <f t="shared" si="8"/>
        <v/>
      </c>
    </row>
    <row r="26" spans="1:15" x14ac:dyDescent="0.35">
      <c r="A26" s="55" t="s">
        <v>43</v>
      </c>
      <c r="B26" s="63">
        <v>10</v>
      </c>
      <c r="C26" s="64" t="s">
        <v>112</v>
      </c>
      <c r="D26" s="63">
        <v>1</v>
      </c>
      <c r="E26" s="42">
        <v>0.9</v>
      </c>
      <c r="F26" s="23">
        <f t="shared" si="0"/>
        <v>9</v>
      </c>
      <c r="G26" s="41">
        <v>18.75</v>
      </c>
      <c r="H26" s="23">
        <f t="shared" si="1"/>
        <v>18.75</v>
      </c>
      <c r="I26" s="23">
        <f t="shared" si="2"/>
        <v>2.0833333333333335</v>
      </c>
      <c r="J26" s="23">
        <f t="shared" si="3"/>
        <v>0</v>
      </c>
      <c r="K26" s="59">
        <f t="shared" si="4"/>
        <v>9</v>
      </c>
      <c r="L26" s="23">
        <f t="shared" si="5"/>
        <v>2.1419999999999999</v>
      </c>
      <c r="M26" s="64" t="str">
        <f t="shared" si="6"/>
        <v>OK</v>
      </c>
      <c r="N26" s="10" t="str">
        <f t="shared" si="7"/>
        <v/>
      </c>
      <c r="O26" s="10" t="str">
        <f t="shared" si="8"/>
        <v/>
      </c>
    </row>
    <row r="27" spans="1:15" x14ac:dyDescent="0.35">
      <c r="A27" s="65" t="s">
        <v>217</v>
      </c>
      <c r="B27" s="63">
        <v>10</v>
      </c>
      <c r="C27" s="64" t="s">
        <v>112</v>
      </c>
      <c r="D27" s="63">
        <v>1</v>
      </c>
      <c r="E27" s="42">
        <v>0.9</v>
      </c>
      <c r="F27" s="23">
        <f t="shared" si="0"/>
        <v>9</v>
      </c>
      <c r="G27" s="41">
        <v>25</v>
      </c>
      <c r="H27" s="23">
        <f t="shared" si="1"/>
        <v>25</v>
      </c>
      <c r="I27" s="23">
        <f t="shared" si="2"/>
        <v>2.7777777777777777</v>
      </c>
      <c r="J27" s="41">
        <v>0</v>
      </c>
      <c r="K27" s="59">
        <f t="shared" si="4"/>
        <v>9</v>
      </c>
      <c r="L27" s="23">
        <v>0</v>
      </c>
      <c r="M27" s="64" t="str">
        <f t="shared" si="6"/>
        <v>OK</v>
      </c>
      <c r="N27" s="10" t="str">
        <f t="shared" si="7"/>
        <v/>
      </c>
      <c r="O27" s="10" t="str">
        <f t="shared" si="8"/>
        <v/>
      </c>
    </row>
    <row r="28" spans="1:15" x14ac:dyDescent="0.35">
      <c r="A28" s="55" t="s">
        <v>51</v>
      </c>
      <c r="B28" s="63">
        <v>10</v>
      </c>
      <c r="C28" s="64" t="s">
        <v>216</v>
      </c>
      <c r="D28" s="63">
        <v>1</v>
      </c>
      <c r="E28" s="64"/>
      <c r="F28" s="23">
        <f t="shared" si="0"/>
        <v>10</v>
      </c>
      <c r="G28" s="41">
        <v>28</v>
      </c>
      <c r="H28" s="23">
        <f t="shared" si="1"/>
        <v>28</v>
      </c>
      <c r="I28" s="23">
        <f t="shared" si="2"/>
        <v>2.8</v>
      </c>
      <c r="J28" s="23">
        <f>TotalConcUsedG*INDEX(FM_Active,MATCH($A28,FM_Mat,0))*IF(INDEX(FM_D10,MATCH($A28,FM_Mat,0))="D10",0.1,1)</f>
        <v>0</v>
      </c>
      <c r="K28" s="59">
        <f t="shared" si="4"/>
        <v>10</v>
      </c>
      <c r="L28" s="23">
        <f>2*DefaultBatchConcG*INDEX(FM_Active,MATCH($A28,FM_Mat,0))*IF(INDEX(FM_D10,MATCH($A28,FM_Mat,0))="D10",0.1,1)</f>
        <v>1.1900000000000001E-2</v>
      </c>
      <c r="M28" s="64" t="str">
        <f t="shared" si="6"/>
        <v>OK</v>
      </c>
      <c r="N28" s="10" t="str">
        <f t="shared" si="7"/>
        <v/>
      </c>
      <c r="O28" s="10" t="str">
        <f t="shared" si="8"/>
        <v/>
      </c>
    </row>
    <row r="29" spans="1:15" x14ac:dyDescent="0.35">
      <c r="A29" s="55" t="s">
        <v>94</v>
      </c>
      <c r="B29" s="63">
        <v>10</v>
      </c>
      <c r="C29" s="64" t="s">
        <v>216</v>
      </c>
      <c r="D29" s="63">
        <v>1</v>
      </c>
      <c r="E29" s="64"/>
      <c r="F29" s="23">
        <f t="shared" si="0"/>
        <v>10</v>
      </c>
      <c r="G29" s="41">
        <v>81</v>
      </c>
      <c r="H29" s="23">
        <f t="shared" si="1"/>
        <v>81</v>
      </c>
      <c r="I29" s="23">
        <f t="shared" si="2"/>
        <v>8.1</v>
      </c>
      <c r="J29" s="23">
        <f>TotalConcUsedG*INDEX(FM_Active,MATCH($A29,FM_Mat,0))*IF(INDEX(FM_D10,MATCH($A29,FM_Mat,0))="D10",0.1,1)</f>
        <v>0</v>
      </c>
      <c r="K29" s="59">
        <f t="shared" si="4"/>
        <v>10</v>
      </c>
      <c r="L29" s="23">
        <f>2*DefaultBatchConcG*INDEX(FM_Active,MATCH($A29,FM_Mat,0))*IF(INDEX(FM_D10,MATCH($A29,FM_Mat,0))="D10",0.1,1)</f>
        <v>2.3800000000000002E-2</v>
      </c>
      <c r="M29" s="64" t="str">
        <f t="shared" si="6"/>
        <v>OK</v>
      </c>
      <c r="N29" s="10" t="str">
        <f t="shared" si="7"/>
        <v/>
      </c>
      <c r="O29" s="10" t="str">
        <f t="shared" si="8"/>
        <v/>
      </c>
    </row>
    <row r="30" spans="1:15" x14ac:dyDescent="0.35">
      <c r="A30" s="55" t="s">
        <v>218</v>
      </c>
      <c r="B30" s="66">
        <v>500</v>
      </c>
      <c r="C30" s="64" t="s">
        <v>216</v>
      </c>
      <c r="D30" s="63">
        <v>1</v>
      </c>
      <c r="E30" s="64"/>
      <c r="F30" s="23">
        <f t="shared" si="0"/>
        <v>500</v>
      </c>
      <c r="G30" s="41">
        <v>50</v>
      </c>
      <c r="H30" s="23">
        <f t="shared" si="1"/>
        <v>50</v>
      </c>
      <c r="I30" s="23">
        <f t="shared" si="2"/>
        <v>0.1</v>
      </c>
      <c r="J30" s="23">
        <f>TotalConcUsedG*D10ActivePct*0.9</f>
        <v>0</v>
      </c>
      <c r="K30" s="59">
        <f t="shared" si="4"/>
        <v>500</v>
      </c>
      <c r="L30" s="23">
        <f>2*DefaultBatchConcG*D10ActivePct*0.9</f>
        <v>0.74970000000000003</v>
      </c>
      <c r="M30" s="64" t="str">
        <f t="shared" si="6"/>
        <v>OK</v>
      </c>
      <c r="N30" s="10" t="str">
        <f t="shared" si="7"/>
        <v/>
      </c>
      <c r="O30" s="10" t="str">
        <f t="shared" si="8"/>
        <v/>
      </c>
    </row>
    <row r="31" spans="1:15" x14ac:dyDescent="0.35">
      <c r="A31" s="55" t="s">
        <v>160</v>
      </c>
      <c r="B31" s="66">
        <v>1000</v>
      </c>
      <c r="C31" s="64" t="s">
        <v>112</v>
      </c>
      <c r="D31" s="63">
        <v>1</v>
      </c>
      <c r="E31" s="42">
        <v>0.81</v>
      </c>
      <c r="F31" s="23">
        <f t="shared" si="0"/>
        <v>810</v>
      </c>
      <c r="G31" s="41">
        <v>150</v>
      </c>
      <c r="H31" s="23">
        <f t="shared" si="1"/>
        <v>150</v>
      </c>
      <c r="I31" s="23">
        <f t="shared" si="2"/>
        <v>0.18518518518518517</v>
      </c>
      <c r="J31" s="23">
        <f>AlcoholUsedG</f>
        <v>0</v>
      </c>
      <c r="K31" s="59">
        <f t="shared" si="4"/>
        <v>810</v>
      </c>
      <c r="L31" s="23">
        <f>2*DefaultBatchAlcG</f>
        <v>61.199999999999996</v>
      </c>
      <c r="M31" s="64" t="str">
        <f t="shared" si="6"/>
        <v>OK</v>
      </c>
      <c r="N31" s="10" t="str">
        <f t="shared" si="7"/>
        <v/>
      </c>
      <c r="O31" s="10" t="str">
        <f t="shared" si="8"/>
        <v/>
      </c>
    </row>
    <row r="32" spans="1:15" x14ac:dyDescent="0.35">
      <c r="A32" s="114" t="s">
        <v>219</v>
      </c>
      <c r="B32" s="90"/>
      <c r="C32" s="90"/>
      <c r="D32" s="90"/>
      <c r="E32" s="90"/>
      <c r="F32" s="90"/>
      <c r="G32" s="90"/>
      <c r="H32" s="67">
        <f>SUM(H4:H31)</f>
        <v>2116.1000000000004</v>
      </c>
    </row>
  </sheetData>
  <sheetProtection sheet="1" formatCells="0" formatColumns="0" formatRows="0"/>
  <mergeCells count="5">
    <mergeCell ref="A32:G32"/>
    <mergeCell ref="F2:G2"/>
    <mergeCell ref="A1:M1"/>
    <mergeCell ref="A2:E2"/>
    <mergeCell ref="I2:J2"/>
  </mergeCells>
  <conditionalFormatting sqref="A4:M31">
    <cfRule type="expression" dxfId="5"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5" t="s">
        <v>220</v>
      </c>
      <c r="B1" s="90"/>
      <c r="C1" s="90"/>
      <c r="D1" s="90"/>
      <c r="E1" s="90"/>
      <c r="F1" s="90"/>
      <c r="G1" s="90"/>
      <c r="H1" s="90"/>
      <c r="I1" s="90"/>
      <c r="J1" s="90"/>
      <c r="K1" s="90"/>
      <c r="L1" s="90"/>
    </row>
    <row r="2" spans="1:13" x14ac:dyDescent="0.35">
      <c r="A2" s="102" t="s">
        <v>221</v>
      </c>
      <c r="B2" s="103"/>
      <c r="C2" s="103"/>
      <c r="D2" s="103"/>
      <c r="E2" s="103"/>
      <c r="F2" s="103"/>
      <c r="G2" s="103"/>
      <c r="H2" s="103"/>
      <c r="I2" s="103"/>
      <c r="J2" s="103"/>
      <c r="K2" s="103"/>
      <c r="L2" s="103"/>
    </row>
    <row r="3" spans="1:13" x14ac:dyDescent="0.35">
      <c r="A3" s="121" t="s">
        <v>222</v>
      </c>
      <c r="B3" s="90"/>
      <c r="C3" s="63">
        <v>42</v>
      </c>
      <c r="D3" s="121" t="s">
        <v>223</v>
      </c>
      <c r="E3" s="90"/>
      <c r="F3" s="68">
        <f>SUM(LogConcG)</f>
        <v>0</v>
      </c>
      <c r="G3" s="121" t="s">
        <v>224</v>
      </c>
      <c r="H3" s="90"/>
      <c r="I3" s="68">
        <f>SUM(LogAlcG)</f>
        <v>0</v>
      </c>
    </row>
    <row r="4" spans="1:13" ht="24" customHeight="1" x14ac:dyDescent="0.35">
      <c r="A4" s="16" t="s">
        <v>225</v>
      </c>
      <c r="B4" s="16" t="s">
        <v>226</v>
      </c>
      <c r="C4" s="16" t="s">
        <v>10</v>
      </c>
      <c r="D4" s="16" t="s">
        <v>227</v>
      </c>
      <c r="E4" s="16" t="s">
        <v>205</v>
      </c>
      <c r="F4" s="16" t="s">
        <v>228</v>
      </c>
      <c r="G4" s="16" t="s">
        <v>229</v>
      </c>
      <c r="H4" s="16" t="s">
        <v>16</v>
      </c>
      <c r="I4" s="16" t="s">
        <v>230</v>
      </c>
      <c r="J4" s="16" t="s">
        <v>231</v>
      </c>
      <c r="K4" s="16" t="s">
        <v>215</v>
      </c>
      <c r="L4" s="16" t="s">
        <v>232</v>
      </c>
    </row>
    <row r="5" spans="1:13" x14ac:dyDescent="0.35">
      <c r="A5" s="60"/>
      <c r="B5" s="69"/>
      <c r="C5" s="70"/>
      <c r="D5" s="61"/>
      <c r="E5" s="69"/>
      <c r="F5" s="71"/>
      <c r="G5" s="61"/>
      <c r="H5" s="61"/>
      <c r="I5" s="60"/>
      <c r="J5" s="60" t="str">
        <f t="shared" ref="J5:J44" si="0">IF($I5="","",$I5+MacDays)</f>
        <v/>
      </c>
      <c r="K5" s="69"/>
      <c r="L5" s="70"/>
      <c r="M5" s="10" t="str">
        <f t="shared" ref="M5:M44" si="1">IF(AND($K5="Macerating",$I5&lt;&gt;""),$I5,"")</f>
        <v/>
      </c>
    </row>
    <row r="6" spans="1:13" x14ac:dyDescent="0.35">
      <c r="A6" s="60"/>
      <c r="B6" s="69"/>
      <c r="C6" s="70"/>
      <c r="D6" s="61"/>
      <c r="E6" s="69"/>
      <c r="F6" s="71"/>
      <c r="G6" s="61"/>
      <c r="H6" s="61"/>
      <c r="I6" s="60"/>
      <c r="J6" s="60" t="str">
        <f t="shared" si="0"/>
        <v/>
      </c>
      <c r="K6" s="69"/>
      <c r="L6" s="70"/>
      <c r="M6" s="10" t="str">
        <f t="shared" si="1"/>
        <v/>
      </c>
    </row>
    <row r="7" spans="1:13" x14ac:dyDescent="0.35">
      <c r="A7" s="60"/>
      <c r="B7" s="69"/>
      <c r="C7" s="70"/>
      <c r="D7" s="61"/>
      <c r="E7" s="69"/>
      <c r="F7" s="71"/>
      <c r="G7" s="61"/>
      <c r="H7" s="61"/>
      <c r="I7" s="60"/>
      <c r="J7" s="60" t="str">
        <f t="shared" si="0"/>
        <v/>
      </c>
      <c r="K7" s="69"/>
      <c r="L7" s="70"/>
      <c r="M7" s="10" t="str">
        <f t="shared" si="1"/>
        <v/>
      </c>
    </row>
    <row r="8" spans="1:13" x14ac:dyDescent="0.35">
      <c r="A8" s="60"/>
      <c r="B8" s="69"/>
      <c r="C8" s="70"/>
      <c r="D8" s="61"/>
      <c r="E8" s="69"/>
      <c r="F8" s="71"/>
      <c r="G8" s="61"/>
      <c r="H8" s="61"/>
      <c r="I8" s="60"/>
      <c r="J8" s="60" t="str">
        <f t="shared" si="0"/>
        <v/>
      </c>
      <c r="K8" s="69"/>
      <c r="L8" s="70"/>
      <c r="M8" s="10" t="str">
        <f t="shared" si="1"/>
        <v/>
      </c>
    </row>
    <row r="9" spans="1:13" x14ac:dyDescent="0.35">
      <c r="A9" s="60"/>
      <c r="B9" s="69"/>
      <c r="C9" s="70"/>
      <c r="D9" s="61"/>
      <c r="E9" s="69"/>
      <c r="F9" s="71"/>
      <c r="G9" s="61"/>
      <c r="H9" s="61"/>
      <c r="I9" s="60"/>
      <c r="J9" s="60" t="str">
        <f t="shared" si="0"/>
        <v/>
      </c>
      <c r="K9" s="69"/>
      <c r="L9" s="70"/>
      <c r="M9" s="10" t="str">
        <f t="shared" si="1"/>
        <v/>
      </c>
    </row>
    <row r="10" spans="1:13" x14ac:dyDescent="0.35">
      <c r="A10" s="60"/>
      <c r="B10" s="69"/>
      <c r="C10" s="70"/>
      <c r="D10" s="61"/>
      <c r="E10" s="69"/>
      <c r="F10" s="71"/>
      <c r="G10" s="61"/>
      <c r="H10" s="61"/>
      <c r="I10" s="60"/>
      <c r="J10" s="60" t="str">
        <f t="shared" si="0"/>
        <v/>
      </c>
      <c r="K10" s="69"/>
      <c r="L10" s="70"/>
      <c r="M10" s="10" t="str">
        <f t="shared" si="1"/>
        <v/>
      </c>
    </row>
    <row r="11" spans="1:13" x14ac:dyDescent="0.35">
      <c r="A11" s="60"/>
      <c r="B11" s="69"/>
      <c r="C11" s="70"/>
      <c r="D11" s="61"/>
      <c r="E11" s="69"/>
      <c r="F11" s="71"/>
      <c r="G11" s="61"/>
      <c r="H11" s="61"/>
      <c r="I11" s="60"/>
      <c r="J11" s="60" t="str">
        <f t="shared" si="0"/>
        <v/>
      </c>
      <c r="K11" s="69"/>
      <c r="L11" s="70"/>
      <c r="M11" s="10" t="str">
        <f t="shared" si="1"/>
        <v/>
      </c>
    </row>
    <row r="12" spans="1:13" x14ac:dyDescent="0.35">
      <c r="A12" s="60"/>
      <c r="B12" s="69"/>
      <c r="C12" s="70"/>
      <c r="D12" s="61"/>
      <c r="E12" s="69"/>
      <c r="F12" s="71"/>
      <c r="G12" s="61"/>
      <c r="H12" s="61"/>
      <c r="I12" s="60"/>
      <c r="J12" s="60" t="str">
        <f t="shared" si="0"/>
        <v/>
      </c>
      <c r="K12" s="69"/>
      <c r="L12" s="70"/>
      <c r="M12" s="10" t="str">
        <f t="shared" si="1"/>
        <v/>
      </c>
    </row>
    <row r="13" spans="1:13" x14ac:dyDescent="0.35">
      <c r="A13" s="60"/>
      <c r="B13" s="69"/>
      <c r="C13" s="70"/>
      <c r="D13" s="61"/>
      <c r="E13" s="69"/>
      <c r="F13" s="71"/>
      <c r="G13" s="61"/>
      <c r="H13" s="61"/>
      <c r="I13" s="60"/>
      <c r="J13" s="60" t="str">
        <f t="shared" si="0"/>
        <v/>
      </c>
      <c r="K13" s="69"/>
      <c r="L13" s="70"/>
      <c r="M13" s="10" t="str">
        <f t="shared" si="1"/>
        <v/>
      </c>
    </row>
    <row r="14" spans="1:13" x14ac:dyDescent="0.35">
      <c r="A14" s="60"/>
      <c r="B14" s="69"/>
      <c r="C14" s="70"/>
      <c r="D14" s="61"/>
      <c r="E14" s="69"/>
      <c r="F14" s="71"/>
      <c r="G14" s="61"/>
      <c r="H14" s="61"/>
      <c r="I14" s="60"/>
      <c r="J14" s="60" t="str">
        <f t="shared" si="0"/>
        <v/>
      </c>
      <c r="K14" s="69"/>
      <c r="L14" s="70"/>
      <c r="M14" s="10" t="str">
        <f t="shared" si="1"/>
        <v/>
      </c>
    </row>
    <row r="15" spans="1:13" x14ac:dyDescent="0.35">
      <c r="A15" s="60"/>
      <c r="B15" s="69"/>
      <c r="C15" s="70"/>
      <c r="D15" s="61"/>
      <c r="E15" s="69"/>
      <c r="F15" s="71"/>
      <c r="G15" s="61"/>
      <c r="H15" s="61"/>
      <c r="I15" s="60"/>
      <c r="J15" s="60" t="str">
        <f t="shared" si="0"/>
        <v/>
      </c>
      <c r="K15" s="69"/>
      <c r="L15" s="70"/>
      <c r="M15" s="10" t="str">
        <f t="shared" si="1"/>
        <v/>
      </c>
    </row>
    <row r="16" spans="1:13" x14ac:dyDescent="0.35">
      <c r="A16" s="60"/>
      <c r="B16" s="69"/>
      <c r="C16" s="70"/>
      <c r="D16" s="61"/>
      <c r="E16" s="69"/>
      <c r="F16" s="71"/>
      <c r="G16" s="61"/>
      <c r="H16" s="61"/>
      <c r="I16" s="60"/>
      <c r="J16" s="60" t="str">
        <f t="shared" si="0"/>
        <v/>
      </c>
      <c r="K16" s="69"/>
      <c r="L16" s="70"/>
      <c r="M16" s="10" t="str">
        <f t="shared" si="1"/>
        <v/>
      </c>
    </row>
    <row r="17" spans="1:13" x14ac:dyDescent="0.35">
      <c r="A17" s="60"/>
      <c r="B17" s="69"/>
      <c r="C17" s="70"/>
      <c r="D17" s="61"/>
      <c r="E17" s="69"/>
      <c r="F17" s="71"/>
      <c r="G17" s="61"/>
      <c r="H17" s="61"/>
      <c r="I17" s="60"/>
      <c r="J17" s="60" t="str">
        <f t="shared" si="0"/>
        <v/>
      </c>
      <c r="K17" s="69"/>
      <c r="L17" s="70"/>
      <c r="M17" s="10" t="str">
        <f t="shared" si="1"/>
        <v/>
      </c>
    </row>
    <row r="18" spans="1:13" x14ac:dyDescent="0.35">
      <c r="A18" s="60"/>
      <c r="B18" s="69"/>
      <c r="C18" s="70"/>
      <c r="D18" s="61"/>
      <c r="E18" s="69"/>
      <c r="F18" s="71"/>
      <c r="G18" s="61"/>
      <c r="H18" s="61"/>
      <c r="I18" s="60"/>
      <c r="J18" s="60" t="str">
        <f t="shared" si="0"/>
        <v/>
      </c>
      <c r="K18" s="69"/>
      <c r="L18" s="70"/>
      <c r="M18" s="10" t="str">
        <f t="shared" si="1"/>
        <v/>
      </c>
    </row>
    <row r="19" spans="1:13" x14ac:dyDescent="0.35">
      <c r="A19" s="60"/>
      <c r="B19" s="69"/>
      <c r="C19" s="70"/>
      <c r="D19" s="61"/>
      <c r="E19" s="69"/>
      <c r="F19" s="71"/>
      <c r="G19" s="61"/>
      <c r="H19" s="61"/>
      <c r="I19" s="60"/>
      <c r="J19" s="60" t="str">
        <f t="shared" si="0"/>
        <v/>
      </c>
      <c r="K19" s="69"/>
      <c r="L19" s="70"/>
      <c r="M19" s="10" t="str">
        <f t="shared" si="1"/>
        <v/>
      </c>
    </row>
    <row r="20" spans="1:13" x14ac:dyDescent="0.35">
      <c r="A20" s="60"/>
      <c r="B20" s="69"/>
      <c r="C20" s="70"/>
      <c r="D20" s="61"/>
      <c r="E20" s="69"/>
      <c r="F20" s="71"/>
      <c r="G20" s="61"/>
      <c r="H20" s="61"/>
      <c r="I20" s="60"/>
      <c r="J20" s="60" t="str">
        <f t="shared" si="0"/>
        <v/>
      </c>
      <c r="K20" s="69"/>
      <c r="L20" s="70"/>
      <c r="M20" s="10" t="str">
        <f t="shared" si="1"/>
        <v/>
      </c>
    </row>
    <row r="21" spans="1:13" x14ac:dyDescent="0.35">
      <c r="A21" s="60"/>
      <c r="B21" s="69"/>
      <c r="C21" s="70"/>
      <c r="D21" s="61"/>
      <c r="E21" s="69"/>
      <c r="F21" s="71"/>
      <c r="G21" s="61"/>
      <c r="H21" s="61"/>
      <c r="I21" s="60"/>
      <c r="J21" s="60" t="str">
        <f t="shared" si="0"/>
        <v/>
      </c>
      <c r="K21" s="69"/>
      <c r="L21" s="70"/>
      <c r="M21" s="10" t="str">
        <f t="shared" si="1"/>
        <v/>
      </c>
    </row>
    <row r="22" spans="1:13" x14ac:dyDescent="0.35">
      <c r="A22" s="60"/>
      <c r="B22" s="69"/>
      <c r="C22" s="70"/>
      <c r="D22" s="61"/>
      <c r="E22" s="69"/>
      <c r="F22" s="71"/>
      <c r="G22" s="61"/>
      <c r="H22" s="61"/>
      <c r="I22" s="60"/>
      <c r="J22" s="60" t="str">
        <f t="shared" si="0"/>
        <v/>
      </c>
      <c r="K22" s="69"/>
      <c r="L22" s="70"/>
      <c r="M22" s="10" t="str">
        <f t="shared" si="1"/>
        <v/>
      </c>
    </row>
    <row r="23" spans="1:13" x14ac:dyDescent="0.35">
      <c r="A23" s="60"/>
      <c r="B23" s="69"/>
      <c r="C23" s="70"/>
      <c r="D23" s="61"/>
      <c r="E23" s="69"/>
      <c r="F23" s="71"/>
      <c r="G23" s="61"/>
      <c r="H23" s="61"/>
      <c r="I23" s="60"/>
      <c r="J23" s="60" t="str">
        <f t="shared" si="0"/>
        <v/>
      </c>
      <c r="K23" s="69"/>
      <c r="L23" s="70"/>
      <c r="M23" s="10" t="str">
        <f t="shared" si="1"/>
        <v/>
      </c>
    </row>
    <row r="24" spans="1:13" x14ac:dyDescent="0.35">
      <c r="A24" s="60"/>
      <c r="B24" s="69"/>
      <c r="C24" s="70"/>
      <c r="D24" s="61"/>
      <c r="E24" s="69"/>
      <c r="F24" s="71"/>
      <c r="G24" s="61"/>
      <c r="H24" s="61"/>
      <c r="I24" s="60"/>
      <c r="J24" s="60" t="str">
        <f t="shared" si="0"/>
        <v/>
      </c>
      <c r="K24" s="69"/>
      <c r="L24" s="70"/>
      <c r="M24" s="10" t="str">
        <f t="shared" si="1"/>
        <v/>
      </c>
    </row>
    <row r="25" spans="1:13" x14ac:dyDescent="0.35">
      <c r="A25" s="60"/>
      <c r="B25" s="69"/>
      <c r="C25" s="70"/>
      <c r="D25" s="61"/>
      <c r="E25" s="69"/>
      <c r="F25" s="71"/>
      <c r="G25" s="61"/>
      <c r="H25" s="61"/>
      <c r="I25" s="60"/>
      <c r="J25" s="60" t="str">
        <f t="shared" si="0"/>
        <v/>
      </c>
      <c r="K25" s="69"/>
      <c r="L25" s="70"/>
      <c r="M25" s="10" t="str">
        <f t="shared" si="1"/>
        <v/>
      </c>
    </row>
    <row r="26" spans="1:13" x14ac:dyDescent="0.35">
      <c r="A26" s="60"/>
      <c r="B26" s="69"/>
      <c r="C26" s="70"/>
      <c r="D26" s="61"/>
      <c r="E26" s="69"/>
      <c r="F26" s="71"/>
      <c r="G26" s="61"/>
      <c r="H26" s="61"/>
      <c r="I26" s="60"/>
      <c r="J26" s="60" t="str">
        <f t="shared" si="0"/>
        <v/>
      </c>
      <c r="K26" s="69"/>
      <c r="L26" s="70"/>
      <c r="M26" s="10" t="str">
        <f t="shared" si="1"/>
        <v/>
      </c>
    </row>
    <row r="27" spans="1:13" x14ac:dyDescent="0.35">
      <c r="A27" s="60"/>
      <c r="B27" s="69"/>
      <c r="C27" s="70"/>
      <c r="D27" s="61"/>
      <c r="E27" s="69"/>
      <c r="F27" s="71"/>
      <c r="G27" s="61"/>
      <c r="H27" s="61"/>
      <c r="I27" s="60"/>
      <c r="J27" s="60" t="str">
        <f t="shared" si="0"/>
        <v/>
      </c>
      <c r="K27" s="69"/>
      <c r="L27" s="70"/>
      <c r="M27" s="10" t="str">
        <f t="shared" si="1"/>
        <v/>
      </c>
    </row>
    <row r="28" spans="1:13" x14ac:dyDescent="0.35">
      <c r="A28" s="60"/>
      <c r="B28" s="69"/>
      <c r="C28" s="70"/>
      <c r="D28" s="61"/>
      <c r="E28" s="69"/>
      <c r="F28" s="71"/>
      <c r="G28" s="61"/>
      <c r="H28" s="61"/>
      <c r="I28" s="60"/>
      <c r="J28" s="60" t="str">
        <f t="shared" si="0"/>
        <v/>
      </c>
      <c r="K28" s="69"/>
      <c r="L28" s="70"/>
      <c r="M28" s="10" t="str">
        <f t="shared" si="1"/>
        <v/>
      </c>
    </row>
    <row r="29" spans="1:13" x14ac:dyDescent="0.35">
      <c r="A29" s="60"/>
      <c r="B29" s="69"/>
      <c r="C29" s="70"/>
      <c r="D29" s="61"/>
      <c r="E29" s="69"/>
      <c r="F29" s="71"/>
      <c r="G29" s="61"/>
      <c r="H29" s="61"/>
      <c r="I29" s="60"/>
      <c r="J29" s="60" t="str">
        <f t="shared" si="0"/>
        <v/>
      </c>
      <c r="K29" s="69"/>
      <c r="L29" s="70"/>
      <c r="M29" s="10" t="str">
        <f t="shared" si="1"/>
        <v/>
      </c>
    </row>
    <row r="30" spans="1:13" x14ac:dyDescent="0.35">
      <c r="A30" s="60"/>
      <c r="B30" s="69"/>
      <c r="C30" s="70"/>
      <c r="D30" s="61"/>
      <c r="E30" s="69"/>
      <c r="F30" s="71"/>
      <c r="G30" s="61"/>
      <c r="H30" s="61"/>
      <c r="I30" s="60"/>
      <c r="J30" s="60" t="str">
        <f t="shared" si="0"/>
        <v/>
      </c>
      <c r="K30" s="69"/>
      <c r="L30" s="70"/>
      <c r="M30" s="10" t="str">
        <f t="shared" si="1"/>
        <v/>
      </c>
    </row>
    <row r="31" spans="1:13" x14ac:dyDescent="0.35">
      <c r="A31" s="60"/>
      <c r="B31" s="69"/>
      <c r="C31" s="70"/>
      <c r="D31" s="61"/>
      <c r="E31" s="69"/>
      <c r="F31" s="71"/>
      <c r="G31" s="61"/>
      <c r="H31" s="61"/>
      <c r="I31" s="60"/>
      <c r="J31" s="60" t="str">
        <f t="shared" si="0"/>
        <v/>
      </c>
      <c r="K31" s="69"/>
      <c r="L31" s="70"/>
      <c r="M31" s="10" t="str">
        <f t="shared" si="1"/>
        <v/>
      </c>
    </row>
    <row r="32" spans="1:13" x14ac:dyDescent="0.35">
      <c r="A32" s="60"/>
      <c r="B32" s="69"/>
      <c r="C32" s="70"/>
      <c r="D32" s="61"/>
      <c r="E32" s="69"/>
      <c r="F32" s="71"/>
      <c r="G32" s="61"/>
      <c r="H32" s="61"/>
      <c r="I32" s="60"/>
      <c r="J32" s="60" t="str">
        <f t="shared" si="0"/>
        <v/>
      </c>
      <c r="K32" s="69"/>
      <c r="L32" s="70"/>
      <c r="M32" s="10" t="str">
        <f t="shared" si="1"/>
        <v/>
      </c>
    </row>
    <row r="33" spans="1:13" x14ac:dyDescent="0.35">
      <c r="A33" s="60"/>
      <c r="B33" s="69"/>
      <c r="C33" s="70"/>
      <c r="D33" s="61"/>
      <c r="E33" s="69"/>
      <c r="F33" s="71"/>
      <c r="G33" s="61"/>
      <c r="H33" s="61"/>
      <c r="I33" s="60"/>
      <c r="J33" s="60" t="str">
        <f t="shared" si="0"/>
        <v/>
      </c>
      <c r="K33" s="69"/>
      <c r="L33" s="70"/>
      <c r="M33" s="10" t="str">
        <f t="shared" si="1"/>
        <v/>
      </c>
    </row>
    <row r="34" spans="1:13" x14ac:dyDescent="0.35">
      <c r="A34" s="60"/>
      <c r="B34" s="69"/>
      <c r="C34" s="70"/>
      <c r="D34" s="61"/>
      <c r="E34" s="69"/>
      <c r="F34" s="71"/>
      <c r="G34" s="61"/>
      <c r="H34" s="61"/>
      <c r="I34" s="60"/>
      <c r="J34" s="60" t="str">
        <f t="shared" si="0"/>
        <v/>
      </c>
      <c r="K34" s="69"/>
      <c r="L34" s="70"/>
      <c r="M34" s="10" t="str">
        <f t="shared" si="1"/>
        <v/>
      </c>
    </row>
    <row r="35" spans="1:13" x14ac:dyDescent="0.35">
      <c r="A35" s="60"/>
      <c r="B35" s="69"/>
      <c r="C35" s="70"/>
      <c r="D35" s="61"/>
      <c r="E35" s="69"/>
      <c r="F35" s="71"/>
      <c r="G35" s="61"/>
      <c r="H35" s="61"/>
      <c r="I35" s="60"/>
      <c r="J35" s="60" t="str">
        <f t="shared" si="0"/>
        <v/>
      </c>
      <c r="K35" s="69"/>
      <c r="L35" s="70"/>
      <c r="M35" s="10" t="str">
        <f t="shared" si="1"/>
        <v/>
      </c>
    </row>
    <row r="36" spans="1:13" x14ac:dyDescent="0.35">
      <c r="A36" s="60"/>
      <c r="B36" s="69"/>
      <c r="C36" s="70"/>
      <c r="D36" s="61"/>
      <c r="E36" s="69"/>
      <c r="F36" s="71"/>
      <c r="G36" s="61"/>
      <c r="H36" s="61"/>
      <c r="I36" s="60"/>
      <c r="J36" s="60" t="str">
        <f t="shared" si="0"/>
        <v/>
      </c>
      <c r="K36" s="69"/>
      <c r="L36" s="70"/>
      <c r="M36" s="10" t="str">
        <f t="shared" si="1"/>
        <v/>
      </c>
    </row>
    <row r="37" spans="1:13" x14ac:dyDescent="0.35">
      <c r="A37" s="60"/>
      <c r="B37" s="69"/>
      <c r="C37" s="70"/>
      <c r="D37" s="61"/>
      <c r="E37" s="69"/>
      <c r="F37" s="71"/>
      <c r="G37" s="61"/>
      <c r="H37" s="61"/>
      <c r="I37" s="60"/>
      <c r="J37" s="60" t="str">
        <f t="shared" si="0"/>
        <v/>
      </c>
      <c r="K37" s="69"/>
      <c r="L37" s="70"/>
      <c r="M37" s="10" t="str">
        <f t="shared" si="1"/>
        <v/>
      </c>
    </row>
    <row r="38" spans="1:13" x14ac:dyDescent="0.35">
      <c r="A38" s="60"/>
      <c r="B38" s="69"/>
      <c r="C38" s="70"/>
      <c r="D38" s="61"/>
      <c r="E38" s="69"/>
      <c r="F38" s="71"/>
      <c r="G38" s="61"/>
      <c r="H38" s="61"/>
      <c r="I38" s="60"/>
      <c r="J38" s="60" t="str">
        <f t="shared" si="0"/>
        <v/>
      </c>
      <c r="K38" s="69"/>
      <c r="L38" s="70"/>
      <c r="M38" s="10" t="str">
        <f t="shared" si="1"/>
        <v/>
      </c>
    </row>
    <row r="39" spans="1:13" x14ac:dyDescent="0.35">
      <c r="A39" s="60"/>
      <c r="B39" s="69"/>
      <c r="C39" s="70"/>
      <c r="D39" s="61"/>
      <c r="E39" s="69"/>
      <c r="F39" s="71"/>
      <c r="G39" s="61"/>
      <c r="H39" s="61"/>
      <c r="I39" s="60"/>
      <c r="J39" s="60" t="str">
        <f t="shared" si="0"/>
        <v/>
      </c>
      <c r="K39" s="69"/>
      <c r="L39" s="70"/>
      <c r="M39" s="10" t="str">
        <f t="shared" si="1"/>
        <v/>
      </c>
    </row>
    <row r="40" spans="1:13" x14ac:dyDescent="0.35">
      <c r="A40" s="60"/>
      <c r="B40" s="69"/>
      <c r="C40" s="70"/>
      <c r="D40" s="61"/>
      <c r="E40" s="69"/>
      <c r="F40" s="71"/>
      <c r="G40" s="61"/>
      <c r="H40" s="61"/>
      <c r="I40" s="60"/>
      <c r="J40" s="60" t="str">
        <f t="shared" si="0"/>
        <v/>
      </c>
      <c r="K40" s="69"/>
      <c r="L40" s="70"/>
      <c r="M40" s="10" t="str">
        <f t="shared" si="1"/>
        <v/>
      </c>
    </row>
    <row r="41" spans="1:13" x14ac:dyDescent="0.35">
      <c r="A41" s="60"/>
      <c r="B41" s="69"/>
      <c r="C41" s="70"/>
      <c r="D41" s="61"/>
      <c r="E41" s="69"/>
      <c r="F41" s="71"/>
      <c r="G41" s="61"/>
      <c r="H41" s="61"/>
      <c r="I41" s="60"/>
      <c r="J41" s="60" t="str">
        <f t="shared" si="0"/>
        <v/>
      </c>
      <c r="K41" s="69"/>
      <c r="L41" s="70"/>
      <c r="M41" s="10" t="str">
        <f t="shared" si="1"/>
        <v/>
      </c>
    </row>
    <row r="42" spans="1:13" x14ac:dyDescent="0.35">
      <c r="A42" s="60"/>
      <c r="B42" s="69"/>
      <c r="C42" s="70"/>
      <c r="D42" s="61"/>
      <c r="E42" s="69"/>
      <c r="F42" s="71"/>
      <c r="G42" s="61"/>
      <c r="H42" s="61"/>
      <c r="I42" s="60"/>
      <c r="J42" s="60" t="str">
        <f t="shared" si="0"/>
        <v/>
      </c>
      <c r="K42" s="69"/>
      <c r="L42" s="70"/>
      <c r="M42" s="10" t="str">
        <f t="shared" si="1"/>
        <v/>
      </c>
    </row>
    <row r="43" spans="1:13" x14ac:dyDescent="0.35">
      <c r="A43" s="60"/>
      <c r="B43" s="69"/>
      <c r="C43" s="70"/>
      <c r="D43" s="61"/>
      <c r="E43" s="69"/>
      <c r="F43" s="71"/>
      <c r="G43" s="61"/>
      <c r="H43" s="61"/>
      <c r="I43" s="60"/>
      <c r="J43" s="60" t="str">
        <f t="shared" si="0"/>
        <v/>
      </c>
      <c r="K43" s="69"/>
      <c r="L43" s="70"/>
      <c r="M43" s="10" t="str">
        <f t="shared" si="1"/>
        <v/>
      </c>
    </row>
    <row r="44" spans="1:13" x14ac:dyDescent="0.35">
      <c r="A44" s="60"/>
      <c r="B44" s="69"/>
      <c r="C44" s="70"/>
      <c r="D44" s="61"/>
      <c r="E44" s="69"/>
      <c r="F44" s="71"/>
      <c r="G44" s="61"/>
      <c r="H44" s="61"/>
      <c r="I44" s="60"/>
      <c r="J44" s="60" t="str">
        <f t="shared" si="0"/>
        <v/>
      </c>
      <c r="K44" s="69"/>
      <c r="L44" s="70"/>
      <c r="M44" s="10" t="str">
        <f t="shared" si="1"/>
        <v/>
      </c>
    </row>
  </sheetData>
  <sheetProtection sheet="1" formatCells="0" formatColumns="0" formatRows="0"/>
  <mergeCells count="5">
    <mergeCell ref="A2:L2"/>
    <mergeCell ref="A1:L1"/>
    <mergeCell ref="D3:E3"/>
    <mergeCell ref="A3:B3"/>
    <mergeCell ref="G3:H3"/>
  </mergeCells>
  <dataValidations count="4">
    <dataValidation type="list" allowBlank="1" sqref="C5:C44" xr:uid="{00000000-0002-0000-0500-000000000000}">
      <formula1>FormatList</formula1>
    </dataValidation>
    <dataValidation type="list" allowBlank="1" sqref="E5:E44" xr:uid="{00000000-0002-0000-0500-000001000000}">
      <formula1>UnitList</formula1>
    </dataValidation>
    <dataValidation type="list" allowBlank="1" sqref="K5:K44" xr:uid="{00000000-0002-0000-0500-000002000000}">
      <formula1>StatusList</formula1>
    </dataValidation>
    <dataValidation type="decimal" sqref="F5:F44" xr:uid="{00000000-0002-0000-0500-000003000000}">
      <formula1>0</formula1>
      <formula2>0.35</formula2>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5" t="s">
        <v>233</v>
      </c>
      <c r="B1" s="90"/>
      <c r="C1" s="90"/>
      <c r="D1" s="90"/>
      <c r="E1" s="90"/>
      <c r="F1" s="90"/>
      <c r="G1" s="90"/>
      <c r="H1" s="90"/>
      <c r="I1" s="90"/>
    </row>
    <row r="2" spans="1:9" x14ac:dyDescent="0.35">
      <c r="A2" s="102" t="s">
        <v>234</v>
      </c>
      <c r="B2" s="103"/>
      <c r="C2" s="103"/>
      <c r="D2" s="103"/>
      <c r="E2" s="103"/>
      <c r="F2" s="103"/>
      <c r="G2" s="103"/>
      <c r="H2" s="103"/>
      <c r="I2" s="103"/>
    </row>
    <row r="4" spans="1:9" ht="24" customHeight="1" x14ac:dyDescent="0.35">
      <c r="A4" s="16" t="s">
        <v>226</v>
      </c>
      <c r="B4" s="16" t="s">
        <v>10</v>
      </c>
      <c r="C4" s="16" t="s">
        <v>235</v>
      </c>
      <c r="D4" s="16" t="s">
        <v>231</v>
      </c>
      <c r="E4" s="16" t="s">
        <v>236</v>
      </c>
      <c r="F4" s="16" t="s">
        <v>237</v>
      </c>
      <c r="G4" s="16" t="s">
        <v>238</v>
      </c>
      <c r="H4" s="16" t="s">
        <v>215</v>
      </c>
      <c r="I4" s="16" t="s">
        <v>239</v>
      </c>
    </row>
    <row r="5" spans="1:9" x14ac:dyDescent="0.35">
      <c r="A5" s="72" t="str">
        <f>IF('Production Log'!B5="","",'Production Log'!B5)</f>
        <v/>
      </c>
      <c r="B5" s="55" t="str">
        <f>IF('Production Log'!C5="","",'Production Log'!C5)</f>
        <v/>
      </c>
      <c r="C5" s="73" t="str">
        <f>IF('Production Log'!I5="","",'Production Log'!I5)</f>
        <v/>
      </c>
      <c r="D5" s="73" t="str">
        <f>IF('Production Log'!J5="","",'Production Log'!J5)</f>
        <v/>
      </c>
      <c r="E5" s="74" t="str">
        <f t="shared" ref="E5:E44" ca="1" si="0">IF($C5="","",TODAY()-$C5)</f>
        <v/>
      </c>
      <c r="F5" s="74" t="str">
        <f t="shared" ref="F5:F44" ca="1" si="1">IF($D5="","",$D5-TODAY())</f>
        <v/>
      </c>
      <c r="G5" s="75" t="str">
        <f t="shared" ref="G5:G44" ca="1" si="2">IF($C5="","",(TODAY()-$C5)/7)</f>
        <v/>
      </c>
      <c r="H5" s="72" t="str">
        <f>IF('Production Log'!K5="","",'Production Log'!K5)</f>
        <v/>
      </c>
      <c r="I5" s="56" t="str">
        <f t="shared" ref="I5:I44" ca="1" si="3">IF($A5="","",IF($H5="Bottled","BOTTLED ✓",IF($C5="","awaiting start date",IF(TODAY()-$C5&gt;=56,"PAST WINDOW — bottle now",IF(TODAY()-$C5&gt;=28,"READY WINDOW (4–8 wk)",IF(TODAY()-$C5&gt;=14,"developing","early — keep dark &amp; cool"))))))</f>
        <v/>
      </c>
    </row>
    <row r="6" spans="1:9" x14ac:dyDescent="0.35">
      <c r="A6" s="72" t="str">
        <f>IF('Production Log'!B6="","",'Production Log'!B6)</f>
        <v/>
      </c>
      <c r="B6" s="55" t="str">
        <f>IF('Production Log'!C6="","",'Production Log'!C6)</f>
        <v/>
      </c>
      <c r="C6" s="73" t="str">
        <f>IF('Production Log'!I6="","",'Production Log'!I6)</f>
        <v/>
      </c>
      <c r="D6" s="73" t="str">
        <f>IF('Production Log'!J6="","",'Production Log'!J6)</f>
        <v/>
      </c>
      <c r="E6" s="74" t="str">
        <f t="shared" ca="1" si="0"/>
        <v/>
      </c>
      <c r="F6" s="74" t="str">
        <f t="shared" ca="1" si="1"/>
        <v/>
      </c>
      <c r="G6" s="75" t="str">
        <f t="shared" ca="1" si="2"/>
        <v/>
      </c>
      <c r="H6" s="72" t="str">
        <f>IF('Production Log'!K6="","",'Production Log'!K6)</f>
        <v/>
      </c>
      <c r="I6" s="56" t="str">
        <f t="shared" ca="1" si="3"/>
        <v/>
      </c>
    </row>
    <row r="7" spans="1:9" x14ac:dyDescent="0.35">
      <c r="A7" s="72" t="str">
        <f>IF('Production Log'!B7="","",'Production Log'!B7)</f>
        <v/>
      </c>
      <c r="B7" s="55" t="str">
        <f>IF('Production Log'!C7="","",'Production Log'!C7)</f>
        <v/>
      </c>
      <c r="C7" s="73" t="str">
        <f>IF('Production Log'!I7="","",'Production Log'!I7)</f>
        <v/>
      </c>
      <c r="D7" s="73" t="str">
        <f>IF('Production Log'!J7="","",'Production Log'!J7)</f>
        <v/>
      </c>
      <c r="E7" s="74" t="str">
        <f t="shared" ca="1" si="0"/>
        <v/>
      </c>
      <c r="F7" s="74" t="str">
        <f t="shared" ca="1" si="1"/>
        <v/>
      </c>
      <c r="G7" s="75" t="str">
        <f t="shared" ca="1" si="2"/>
        <v/>
      </c>
      <c r="H7" s="72" t="str">
        <f>IF('Production Log'!K7="","",'Production Log'!K7)</f>
        <v/>
      </c>
      <c r="I7" s="56" t="str">
        <f t="shared" ca="1" si="3"/>
        <v/>
      </c>
    </row>
    <row r="8" spans="1:9" x14ac:dyDescent="0.35">
      <c r="A8" s="72" t="str">
        <f>IF('Production Log'!B8="","",'Production Log'!B8)</f>
        <v/>
      </c>
      <c r="B8" s="55" t="str">
        <f>IF('Production Log'!C8="","",'Production Log'!C8)</f>
        <v/>
      </c>
      <c r="C8" s="73" t="str">
        <f>IF('Production Log'!I8="","",'Production Log'!I8)</f>
        <v/>
      </c>
      <c r="D8" s="73" t="str">
        <f>IF('Production Log'!J8="","",'Production Log'!J8)</f>
        <v/>
      </c>
      <c r="E8" s="74" t="str">
        <f t="shared" ca="1" si="0"/>
        <v/>
      </c>
      <c r="F8" s="74" t="str">
        <f t="shared" ca="1" si="1"/>
        <v/>
      </c>
      <c r="G8" s="75" t="str">
        <f t="shared" ca="1" si="2"/>
        <v/>
      </c>
      <c r="H8" s="72" t="str">
        <f>IF('Production Log'!K8="","",'Production Log'!K8)</f>
        <v/>
      </c>
      <c r="I8" s="56" t="str">
        <f t="shared" ca="1" si="3"/>
        <v/>
      </c>
    </row>
    <row r="9" spans="1:9" x14ac:dyDescent="0.35">
      <c r="A9" s="72" t="str">
        <f>IF('Production Log'!B9="","",'Production Log'!B9)</f>
        <v/>
      </c>
      <c r="B9" s="55" t="str">
        <f>IF('Production Log'!C9="","",'Production Log'!C9)</f>
        <v/>
      </c>
      <c r="C9" s="73" t="str">
        <f>IF('Production Log'!I9="","",'Production Log'!I9)</f>
        <v/>
      </c>
      <c r="D9" s="73" t="str">
        <f>IF('Production Log'!J9="","",'Production Log'!J9)</f>
        <v/>
      </c>
      <c r="E9" s="74" t="str">
        <f t="shared" ca="1" si="0"/>
        <v/>
      </c>
      <c r="F9" s="74" t="str">
        <f t="shared" ca="1" si="1"/>
        <v/>
      </c>
      <c r="G9" s="75" t="str">
        <f t="shared" ca="1" si="2"/>
        <v/>
      </c>
      <c r="H9" s="72" t="str">
        <f>IF('Production Log'!K9="","",'Production Log'!K9)</f>
        <v/>
      </c>
      <c r="I9" s="56" t="str">
        <f t="shared" ca="1" si="3"/>
        <v/>
      </c>
    </row>
    <row r="10" spans="1:9" x14ac:dyDescent="0.35">
      <c r="A10" s="72" t="str">
        <f>IF('Production Log'!B10="","",'Production Log'!B10)</f>
        <v/>
      </c>
      <c r="B10" s="55" t="str">
        <f>IF('Production Log'!C10="","",'Production Log'!C10)</f>
        <v/>
      </c>
      <c r="C10" s="73" t="str">
        <f>IF('Production Log'!I10="","",'Production Log'!I10)</f>
        <v/>
      </c>
      <c r="D10" s="73" t="str">
        <f>IF('Production Log'!J10="","",'Production Log'!J10)</f>
        <v/>
      </c>
      <c r="E10" s="74" t="str">
        <f t="shared" ca="1" si="0"/>
        <v/>
      </c>
      <c r="F10" s="74" t="str">
        <f t="shared" ca="1" si="1"/>
        <v/>
      </c>
      <c r="G10" s="75" t="str">
        <f t="shared" ca="1" si="2"/>
        <v/>
      </c>
      <c r="H10" s="72" t="str">
        <f>IF('Production Log'!K10="","",'Production Log'!K10)</f>
        <v/>
      </c>
      <c r="I10" s="56" t="str">
        <f t="shared" ca="1" si="3"/>
        <v/>
      </c>
    </row>
    <row r="11" spans="1:9" x14ac:dyDescent="0.35">
      <c r="A11" s="72" t="str">
        <f>IF('Production Log'!B11="","",'Production Log'!B11)</f>
        <v/>
      </c>
      <c r="B11" s="55" t="str">
        <f>IF('Production Log'!C11="","",'Production Log'!C11)</f>
        <v/>
      </c>
      <c r="C11" s="73" t="str">
        <f>IF('Production Log'!I11="","",'Production Log'!I11)</f>
        <v/>
      </c>
      <c r="D11" s="73" t="str">
        <f>IF('Production Log'!J11="","",'Production Log'!J11)</f>
        <v/>
      </c>
      <c r="E11" s="74" t="str">
        <f t="shared" ca="1" si="0"/>
        <v/>
      </c>
      <c r="F11" s="74" t="str">
        <f t="shared" ca="1" si="1"/>
        <v/>
      </c>
      <c r="G11" s="75" t="str">
        <f t="shared" ca="1" si="2"/>
        <v/>
      </c>
      <c r="H11" s="72" t="str">
        <f>IF('Production Log'!K11="","",'Production Log'!K11)</f>
        <v/>
      </c>
      <c r="I11" s="56" t="str">
        <f t="shared" ca="1" si="3"/>
        <v/>
      </c>
    </row>
    <row r="12" spans="1:9" x14ac:dyDescent="0.35">
      <c r="A12" s="72" t="str">
        <f>IF('Production Log'!B12="","",'Production Log'!B12)</f>
        <v/>
      </c>
      <c r="B12" s="55" t="str">
        <f>IF('Production Log'!C12="","",'Production Log'!C12)</f>
        <v/>
      </c>
      <c r="C12" s="73" t="str">
        <f>IF('Production Log'!I12="","",'Production Log'!I12)</f>
        <v/>
      </c>
      <c r="D12" s="73" t="str">
        <f>IF('Production Log'!J12="","",'Production Log'!J12)</f>
        <v/>
      </c>
      <c r="E12" s="74" t="str">
        <f t="shared" ca="1" si="0"/>
        <v/>
      </c>
      <c r="F12" s="74" t="str">
        <f t="shared" ca="1" si="1"/>
        <v/>
      </c>
      <c r="G12" s="75" t="str">
        <f t="shared" ca="1" si="2"/>
        <v/>
      </c>
      <c r="H12" s="72" t="str">
        <f>IF('Production Log'!K12="","",'Production Log'!K12)</f>
        <v/>
      </c>
      <c r="I12" s="56" t="str">
        <f t="shared" ca="1" si="3"/>
        <v/>
      </c>
    </row>
    <row r="13" spans="1:9" x14ac:dyDescent="0.35">
      <c r="A13" s="72" t="str">
        <f>IF('Production Log'!B13="","",'Production Log'!B13)</f>
        <v/>
      </c>
      <c r="B13" s="55" t="str">
        <f>IF('Production Log'!C13="","",'Production Log'!C13)</f>
        <v/>
      </c>
      <c r="C13" s="73" t="str">
        <f>IF('Production Log'!I13="","",'Production Log'!I13)</f>
        <v/>
      </c>
      <c r="D13" s="73" t="str">
        <f>IF('Production Log'!J13="","",'Production Log'!J13)</f>
        <v/>
      </c>
      <c r="E13" s="74" t="str">
        <f t="shared" ca="1" si="0"/>
        <v/>
      </c>
      <c r="F13" s="74" t="str">
        <f t="shared" ca="1" si="1"/>
        <v/>
      </c>
      <c r="G13" s="75" t="str">
        <f t="shared" ca="1" si="2"/>
        <v/>
      </c>
      <c r="H13" s="72" t="str">
        <f>IF('Production Log'!K13="","",'Production Log'!K13)</f>
        <v/>
      </c>
      <c r="I13" s="56" t="str">
        <f t="shared" ca="1" si="3"/>
        <v/>
      </c>
    </row>
    <row r="14" spans="1:9" x14ac:dyDescent="0.35">
      <c r="A14" s="72" t="str">
        <f>IF('Production Log'!B14="","",'Production Log'!B14)</f>
        <v/>
      </c>
      <c r="B14" s="55" t="str">
        <f>IF('Production Log'!C14="","",'Production Log'!C14)</f>
        <v/>
      </c>
      <c r="C14" s="73" t="str">
        <f>IF('Production Log'!I14="","",'Production Log'!I14)</f>
        <v/>
      </c>
      <c r="D14" s="73" t="str">
        <f>IF('Production Log'!J14="","",'Production Log'!J14)</f>
        <v/>
      </c>
      <c r="E14" s="74" t="str">
        <f t="shared" ca="1" si="0"/>
        <v/>
      </c>
      <c r="F14" s="74" t="str">
        <f t="shared" ca="1" si="1"/>
        <v/>
      </c>
      <c r="G14" s="75" t="str">
        <f t="shared" ca="1" si="2"/>
        <v/>
      </c>
      <c r="H14" s="72" t="str">
        <f>IF('Production Log'!K14="","",'Production Log'!K14)</f>
        <v/>
      </c>
      <c r="I14" s="56" t="str">
        <f t="shared" ca="1" si="3"/>
        <v/>
      </c>
    </row>
    <row r="15" spans="1:9" x14ac:dyDescent="0.35">
      <c r="A15" s="72" t="str">
        <f>IF('Production Log'!B15="","",'Production Log'!B15)</f>
        <v/>
      </c>
      <c r="B15" s="55" t="str">
        <f>IF('Production Log'!C15="","",'Production Log'!C15)</f>
        <v/>
      </c>
      <c r="C15" s="73" t="str">
        <f>IF('Production Log'!I15="","",'Production Log'!I15)</f>
        <v/>
      </c>
      <c r="D15" s="73" t="str">
        <f>IF('Production Log'!J15="","",'Production Log'!J15)</f>
        <v/>
      </c>
      <c r="E15" s="74" t="str">
        <f t="shared" ca="1" si="0"/>
        <v/>
      </c>
      <c r="F15" s="74" t="str">
        <f t="shared" ca="1" si="1"/>
        <v/>
      </c>
      <c r="G15" s="75" t="str">
        <f t="shared" ca="1" si="2"/>
        <v/>
      </c>
      <c r="H15" s="72" t="str">
        <f>IF('Production Log'!K15="","",'Production Log'!K15)</f>
        <v/>
      </c>
      <c r="I15" s="56" t="str">
        <f t="shared" ca="1" si="3"/>
        <v/>
      </c>
    </row>
    <row r="16" spans="1:9" x14ac:dyDescent="0.35">
      <c r="A16" s="72" t="str">
        <f>IF('Production Log'!B16="","",'Production Log'!B16)</f>
        <v/>
      </c>
      <c r="B16" s="55" t="str">
        <f>IF('Production Log'!C16="","",'Production Log'!C16)</f>
        <v/>
      </c>
      <c r="C16" s="73" t="str">
        <f>IF('Production Log'!I16="","",'Production Log'!I16)</f>
        <v/>
      </c>
      <c r="D16" s="73" t="str">
        <f>IF('Production Log'!J16="","",'Production Log'!J16)</f>
        <v/>
      </c>
      <c r="E16" s="74" t="str">
        <f t="shared" ca="1" si="0"/>
        <v/>
      </c>
      <c r="F16" s="74" t="str">
        <f t="shared" ca="1" si="1"/>
        <v/>
      </c>
      <c r="G16" s="75" t="str">
        <f t="shared" ca="1" si="2"/>
        <v/>
      </c>
      <c r="H16" s="72" t="str">
        <f>IF('Production Log'!K16="","",'Production Log'!K16)</f>
        <v/>
      </c>
      <c r="I16" s="56" t="str">
        <f t="shared" ca="1" si="3"/>
        <v/>
      </c>
    </row>
    <row r="17" spans="1:9" x14ac:dyDescent="0.35">
      <c r="A17" s="72" t="str">
        <f>IF('Production Log'!B17="","",'Production Log'!B17)</f>
        <v/>
      </c>
      <c r="B17" s="55" t="str">
        <f>IF('Production Log'!C17="","",'Production Log'!C17)</f>
        <v/>
      </c>
      <c r="C17" s="73" t="str">
        <f>IF('Production Log'!I17="","",'Production Log'!I17)</f>
        <v/>
      </c>
      <c r="D17" s="73" t="str">
        <f>IF('Production Log'!J17="","",'Production Log'!J17)</f>
        <v/>
      </c>
      <c r="E17" s="74" t="str">
        <f t="shared" ca="1" si="0"/>
        <v/>
      </c>
      <c r="F17" s="74" t="str">
        <f t="shared" ca="1" si="1"/>
        <v/>
      </c>
      <c r="G17" s="75" t="str">
        <f t="shared" ca="1" si="2"/>
        <v/>
      </c>
      <c r="H17" s="72" t="str">
        <f>IF('Production Log'!K17="","",'Production Log'!K17)</f>
        <v/>
      </c>
      <c r="I17" s="56" t="str">
        <f t="shared" ca="1" si="3"/>
        <v/>
      </c>
    </row>
    <row r="18" spans="1:9" x14ac:dyDescent="0.35">
      <c r="A18" s="72" t="str">
        <f>IF('Production Log'!B18="","",'Production Log'!B18)</f>
        <v/>
      </c>
      <c r="B18" s="55" t="str">
        <f>IF('Production Log'!C18="","",'Production Log'!C18)</f>
        <v/>
      </c>
      <c r="C18" s="73" t="str">
        <f>IF('Production Log'!I18="","",'Production Log'!I18)</f>
        <v/>
      </c>
      <c r="D18" s="73" t="str">
        <f>IF('Production Log'!J18="","",'Production Log'!J18)</f>
        <v/>
      </c>
      <c r="E18" s="74" t="str">
        <f t="shared" ca="1" si="0"/>
        <v/>
      </c>
      <c r="F18" s="74" t="str">
        <f t="shared" ca="1" si="1"/>
        <v/>
      </c>
      <c r="G18" s="75" t="str">
        <f t="shared" ca="1" si="2"/>
        <v/>
      </c>
      <c r="H18" s="72" t="str">
        <f>IF('Production Log'!K18="","",'Production Log'!K18)</f>
        <v/>
      </c>
      <c r="I18" s="56" t="str">
        <f t="shared" ca="1" si="3"/>
        <v/>
      </c>
    </row>
    <row r="19" spans="1:9" x14ac:dyDescent="0.35">
      <c r="A19" s="72" t="str">
        <f>IF('Production Log'!B19="","",'Production Log'!B19)</f>
        <v/>
      </c>
      <c r="B19" s="55" t="str">
        <f>IF('Production Log'!C19="","",'Production Log'!C19)</f>
        <v/>
      </c>
      <c r="C19" s="73" t="str">
        <f>IF('Production Log'!I19="","",'Production Log'!I19)</f>
        <v/>
      </c>
      <c r="D19" s="73" t="str">
        <f>IF('Production Log'!J19="","",'Production Log'!J19)</f>
        <v/>
      </c>
      <c r="E19" s="74" t="str">
        <f t="shared" ca="1" si="0"/>
        <v/>
      </c>
      <c r="F19" s="74" t="str">
        <f t="shared" ca="1" si="1"/>
        <v/>
      </c>
      <c r="G19" s="75" t="str">
        <f t="shared" ca="1" si="2"/>
        <v/>
      </c>
      <c r="H19" s="72" t="str">
        <f>IF('Production Log'!K19="","",'Production Log'!K19)</f>
        <v/>
      </c>
      <c r="I19" s="56" t="str">
        <f t="shared" ca="1" si="3"/>
        <v/>
      </c>
    </row>
    <row r="20" spans="1:9" x14ac:dyDescent="0.35">
      <c r="A20" s="72" t="str">
        <f>IF('Production Log'!B20="","",'Production Log'!B20)</f>
        <v/>
      </c>
      <c r="B20" s="55" t="str">
        <f>IF('Production Log'!C20="","",'Production Log'!C20)</f>
        <v/>
      </c>
      <c r="C20" s="73" t="str">
        <f>IF('Production Log'!I20="","",'Production Log'!I20)</f>
        <v/>
      </c>
      <c r="D20" s="73" t="str">
        <f>IF('Production Log'!J20="","",'Production Log'!J20)</f>
        <v/>
      </c>
      <c r="E20" s="74" t="str">
        <f t="shared" ca="1" si="0"/>
        <v/>
      </c>
      <c r="F20" s="74" t="str">
        <f t="shared" ca="1" si="1"/>
        <v/>
      </c>
      <c r="G20" s="75" t="str">
        <f t="shared" ca="1" si="2"/>
        <v/>
      </c>
      <c r="H20" s="72" t="str">
        <f>IF('Production Log'!K20="","",'Production Log'!K20)</f>
        <v/>
      </c>
      <c r="I20" s="56" t="str">
        <f t="shared" ca="1" si="3"/>
        <v/>
      </c>
    </row>
    <row r="21" spans="1:9" x14ac:dyDescent="0.35">
      <c r="A21" s="72" t="str">
        <f>IF('Production Log'!B21="","",'Production Log'!B21)</f>
        <v/>
      </c>
      <c r="B21" s="55" t="str">
        <f>IF('Production Log'!C21="","",'Production Log'!C21)</f>
        <v/>
      </c>
      <c r="C21" s="73" t="str">
        <f>IF('Production Log'!I21="","",'Production Log'!I21)</f>
        <v/>
      </c>
      <c r="D21" s="73" t="str">
        <f>IF('Production Log'!J21="","",'Production Log'!J21)</f>
        <v/>
      </c>
      <c r="E21" s="74" t="str">
        <f t="shared" ca="1" si="0"/>
        <v/>
      </c>
      <c r="F21" s="74" t="str">
        <f t="shared" ca="1" si="1"/>
        <v/>
      </c>
      <c r="G21" s="75" t="str">
        <f t="shared" ca="1" si="2"/>
        <v/>
      </c>
      <c r="H21" s="72" t="str">
        <f>IF('Production Log'!K21="","",'Production Log'!K21)</f>
        <v/>
      </c>
      <c r="I21" s="56" t="str">
        <f t="shared" ca="1" si="3"/>
        <v/>
      </c>
    </row>
    <row r="22" spans="1:9" x14ac:dyDescent="0.35">
      <c r="A22" s="72" t="str">
        <f>IF('Production Log'!B22="","",'Production Log'!B22)</f>
        <v/>
      </c>
      <c r="B22" s="55" t="str">
        <f>IF('Production Log'!C22="","",'Production Log'!C22)</f>
        <v/>
      </c>
      <c r="C22" s="73" t="str">
        <f>IF('Production Log'!I22="","",'Production Log'!I22)</f>
        <v/>
      </c>
      <c r="D22" s="73" t="str">
        <f>IF('Production Log'!J22="","",'Production Log'!J22)</f>
        <v/>
      </c>
      <c r="E22" s="74" t="str">
        <f t="shared" ca="1" si="0"/>
        <v/>
      </c>
      <c r="F22" s="74" t="str">
        <f t="shared" ca="1" si="1"/>
        <v/>
      </c>
      <c r="G22" s="75" t="str">
        <f t="shared" ca="1" si="2"/>
        <v/>
      </c>
      <c r="H22" s="72" t="str">
        <f>IF('Production Log'!K22="","",'Production Log'!K22)</f>
        <v/>
      </c>
      <c r="I22" s="56" t="str">
        <f t="shared" ca="1" si="3"/>
        <v/>
      </c>
    </row>
    <row r="23" spans="1:9" x14ac:dyDescent="0.35">
      <c r="A23" s="72" t="str">
        <f>IF('Production Log'!B23="","",'Production Log'!B23)</f>
        <v/>
      </c>
      <c r="B23" s="55" t="str">
        <f>IF('Production Log'!C23="","",'Production Log'!C23)</f>
        <v/>
      </c>
      <c r="C23" s="73" t="str">
        <f>IF('Production Log'!I23="","",'Production Log'!I23)</f>
        <v/>
      </c>
      <c r="D23" s="73" t="str">
        <f>IF('Production Log'!J23="","",'Production Log'!J23)</f>
        <v/>
      </c>
      <c r="E23" s="74" t="str">
        <f t="shared" ca="1" si="0"/>
        <v/>
      </c>
      <c r="F23" s="74" t="str">
        <f t="shared" ca="1" si="1"/>
        <v/>
      </c>
      <c r="G23" s="75" t="str">
        <f t="shared" ca="1" si="2"/>
        <v/>
      </c>
      <c r="H23" s="72" t="str">
        <f>IF('Production Log'!K23="","",'Production Log'!K23)</f>
        <v/>
      </c>
      <c r="I23" s="56" t="str">
        <f t="shared" ca="1" si="3"/>
        <v/>
      </c>
    </row>
    <row r="24" spans="1:9" x14ac:dyDescent="0.35">
      <c r="A24" s="72" t="str">
        <f>IF('Production Log'!B24="","",'Production Log'!B24)</f>
        <v/>
      </c>
      <c r="B24" s="55" t="str">
        <f>IF('Production Log'!C24="","",'Production Log'!C24)</f>
        <v/>
      </c>
      <c r="C24" s="73" t="str">
        <f>IF('Production Log'!I24="","",'Production Log'!I24)</f>
        <v/>
      </c>
      <c r="D24" s="73" t="str">
        <f>IF('Production Log'!J24="","",'Production Log'!J24)</f>
        <v/>
      </c>
      <c r="E24" s="74" t="str">
        <f t="shared" ca="1" si="0"/>
        <v/>
      </c>
      <c r="F24" s="74" t="str">
        <f t="shared" ca="1" si="1"/>
        <v/>
      </c>
      <c r="G24" s="75" t="str">
        <f t="shared" ca="1" si="2"/>
        <v/>
      </c>
      <c r="H24" s="72" t="str">
        <f>IF('Production Log'!K24="","",'Production Log'!K24)</f>
        <v/>
      </c>
      <c r="I24" s="56" t="str">
        <f t="shared" ca="1" si="3"/>
        <v/>
      </c>
    </row>
    <row r="25" spans="1:9" x14ac:dyDescent="0.35">
      <c r="A25" s="72" t="str">
        <f>IF('Production Log'!B25="","",'Production Log'!B25)</f>
        <v/>
      </c>
      <c r="B25" s="55" t="str">
        <f>IF('Production Log'!C25="","",'Production Log'!C25)</f>
        <v/>
      </c>
      <c r="C25" s="73" t="str">
        <f>IF('Production Log'!I25="","",'Production Log'!I25)</f>
        <v/>
      </c>
      <c r="D25" s="73" t="str">
        <f>IF('Production Log'!J25="","",'Production Log'!J25)</f>
        <v/>
      </c>
      <c r="E25" s="74" t="str">
        <f t="shared" ca="1" si="0"/>
        <v/>
      </c>
      <c r="F25" s="74" t="str">
        <f t="shared" ca="1" si="1"/>
        <v/>
      </c>
      <c r="G25" s="75" t="str">
        <f t="shared" ca="1" si="2"/>
        <v/>
      </c>
      <c r="H25" s="72" t="str">
        <f>IF('Production Log'!K25="","",'Production Log'!K25)</f>
        <v/>
      </c>
      <c r="I25" s="56" t="str">
        <f t="shared" ca="1" si="3"/>
        <v/>
      </c>
    </row>
    <row r="26" spans="1:9" x14ac:dyDescent="0.35">
      <c r="A26" s="72" t="str">
        <f>IF('Production Log'!B26="","",'Production Log'!B26)</f>
        <v/>
      </c>
      <c r="B26" s="55" t="str">
        <f>IF('Production Log'!C26="","",'Production Log'!C26)</f>
        <v/>
      </c>
      <c r="C26" s="73" t="str">
        <f>IF('Production Log'!I26="","",'Production Log'!I26)</f>
        <v/>
      </c>
      <c r="D26" s="73" t="str">
        <f>IF('Production Log'!J26="","",'Production Log'!J26)</f>
        <v/>
      </c>
      <c r="E26" s="74" t="str">
        <f t="shared" ca="1" si="0"/>
        <v/>
      </c>
      <c r="F26" s="74" t="str">
        <f t="shared" ca="1" si="1"/>
        <v/>
      </c>
      <c r="G26" s="75" t="str">
        <f t="shared" ca="1" si="2"/>
        <v/>
      </c>
      <c r="H26" s="72" t="str">
        <f>IF('Production Log'!K26="","",'Production Log'!K26)</f>
        <v/>
      </c>
      <c r="I26" s="56" t="str">
        <f t="shared" ca="1" si="3"/>
        <v/>
      </c>
    </row>
    <row r="27" spans="1:9" x14ac:dyDescent="0.35">
      <c r="A27" s="72" t="str">
        <f>IF('Production Log'!B27="","",'Production Log'!B27)</f>
        <v/>
      </c>
      <c r="B27" s="55" t="str">
        <f>IF('Production Log'!C27="","",'Production Log'!C27)</f>
        <v/>
      </c>
      <c r="C27" s="73" t="str">
        <f>IF('Production Log'!I27="","",'Production Log'!I27)</f>
        <v/>
      </c>
      <c r="D27" s="73" t="str">
        <f>IF('Production Log'!J27="","",'Production Log'!J27)</f>
        <v/>
      </c>
      <c r="E27" s="74" t="str">
        <f t="shared" ca="1" si="0"/>
        <v/>
      </c>
      <c r="F27" s="74" t="str">
        <f t="shared" ca="1" si="1"/>
        <v/>
      </c>
      <c r="G27" s="75" t="str">
        <f t="shared" ca="1" si="2"/>
        <v/>
      </c>
      <c r="H27" s="72" t="str">
        <f>IF('Production Log'!K27="","",'Production Log'!K27)</f>
        <v/>
      </c>
      <c r="I27" s="56" t="str">
        <f t="shared" ca="1" si="3"/>
        <v/>
      </c>
    </row>
    <row r="28" spans="1:9" x14ac:dyDescent="0.35">
      <c r="A28" s="72" t="str">
        <f>IF('Production Log'!B28="","",'Production Log'!B28)</f>
        <v/>
      </c>
      <c r="B28" s="55" t="str">
        <f>IF('Production Log'!C28="","",'Production Log'!C28)</f>
        <v/>
      </c>
      <c r="C28" s="73" t="str">
        <f>IF('Production Log'!I28="","",'Production Log'!I28)</f>
        <v/>
      </c>
      <c r="D28" s="73" t="str">
        <f>IF('Production Log'!J28="","",'Production Log'!J28)</f>
        <v/>
      </c>
      <c r="E28" s="74" t="str">
        <f t="shared" ca="1" si="0"/>
        <v/>
      </c>
      <c r="F28" s="74" t="str">
        <f t="shared" ca="1" si="1"/>
        <v/>
      </c>
      <c r="G28" s="75" t="str">
        <f t="shared" ca="1" si="2"/>
        <v/>
      </c>
      <c r="H28" s="72" t="str">
        <f>IF('Production Log'!K28="","",'Production Log'!K28)</f>
        <v/>
      </c>
      <c r="I28" s="56" t="str">
        <f t="shared" ca="1" si="3"/>
        <v/>
      </c>
    </row>
    <row r="29" spans="1:9" x14ac:dyDescent="0.35">
      <c r="A29" s="72" t="str">
        <f>IF('Production Log'!B29="","",'Production Log'!B29)</f>
        <v/>
      </c>
      <c r="B29" s="55" t="str">
        <f>IF('Production Log'!C29="","",'Production Log'!C29)</f>
        <v/>
      </c>
      <c r="C29" s="73" t="str">
        <f>IF('Production Log'!I29="","",'Production Log'!I29)</f>
        <v/>
      </c>
      <c r="D29" s="73" t="str">
        <f>IF('Production Log'!J29="","",'Production Log'!J29)</f>
        <v/>
      </c>
      <c r="E29" s="74" t="str">
        <f t="shared" ca="1" si="0"/>
        <v/>
      </c>
      <c r="F29" s="74" t="str">
        <f t="shared" ca="1" si="1"/>
        <v/>
      </c>
      <c r="G29" s="75" t="str">
        <f t="shared" ca="1" si="2"/>
        <v/>
      </c>
      <c r="H29" s="72" t="str">
        <f>IF('Production Log'!K29="","",'Production Log'!K29)</f>
        <v/>
      </c>
      <c r="I29" s="56" t="str">
        <f t="shared" ca="1" si="3"/>
        <v/>
      </c>
    </row>
    <row r="30" spans="1:9" x14ac:dyDescent="0.35">
      <c r="A30" s="72" t="str">
        <f>IF('Production Log'!B30="","",'Production Log'!B30)</f>
        <v/>
      </c>
      <c r="B30" s="55" t="str">
        <f>IF('Production Log'!C30="","",'Production Log'!C30)</f>
        <v/>
      </c>
      <c r="C30" s="73" t="str">
        <f>IF('Production Log'!I30="","",'Production Log'!I30)</f>
        <v/>
      </c>
      <c r="D30" s="73" t="str">
        <f>IF('Production Log'!J30="","",'Production Log'!J30)</f>
        <v/>
      </c>
      <c r="E30" s="74" t="str">
        <f t="shared" ca="1" si="0"/>
        <v/>
      </c>
      <c r="F30" s="74" t="str">
        <f t="shared" ca="1" si="1"/>
        <v/>
      </c>
      <c r="G30" s="75" t="str">
        <f t="shared" ca="1" si="2"/>
        <v/>
      </c>
      <c r="H30" s="72" t="str">
        <f>IF('Production Log'!K30="","",'Production Log'!K30)</f>
        <v/>
      </c>
      <c r="I30" s="56" t="str">
        <f t="shared" ca="1" si="3"/>
        <v/>
      </c>
    </row>
    <row r="31" spans="1:9" x14ac:dyDescent="0.35">
      <c r="A31" s="72" t="str">
        <f>IF('Production Log'!B31="","",'Production Log'!B31)</f>
        <v/>
      </c>
      <c r="B31" s="55" t="str">
        <f>IF('Production Log'!C31="","",'Production Log'!C31)</f>
        <v/>
      </c>
      <c r="C31" s="73" t="str">
        <f>IF('Production Log'!I31="","",'Production Log'!I31)</f>
        <v/>
      </c>
      <c r="D31" s="73" t="str">
        <f>IF('Production Log'!J31="","",'Production Log'!J31)</f>
        <v/>
      </c>
      <c r="E31" s="74" t="str">
        <f t="shared" ca="1" si="0"/>
        <v/>
      </c>
      <c r="F31" s="74" t="str">
        <f t="shared" ca="1" si="1"/>
        <v/>
      </c>
      <c r="G31" s="75" t="str">
        <f t="shared" ca="1" si="2"/>
        <v/>
      </c>
      <c r="H31" s="72" t="str">
        <f>IF('Production Log'!K31="","",'Production Log'!K31)</f>
        <v/>
      </c>
      <c r="I31" s="56" t="str">
        <f t="shared" ca="1" si="3"/>
        <v/>
      </c>
    </row>
    <row r="32" spans="1:9" x14ac:dyDescent="0.35">
      <c r="A32" s="72" t="str">
        <f>IF('Production Log'!B32="","",'Production Log'!B32)</f>
        <v/>
      </c>
      <c r="B32" s="55" t="str">
        <f>IF('Production Log'!C32="","",'Production Log'!C32)</f>
        <v/>
      </c>
      <c r="C32" s="73" t="str">
        <f>IF('Production Log'!I32="","",'Production Log'!I32)</f>
        <v/>
      </c>
      <c r="D32" s="73" t="str">
        <f>IF('Production Log'!J32="","",'Production Log'!J32)</f>
        <v/>
      </c>
      <c r="E32" s="74" t="str">
        <f t="shared" ca="1" si="0"/>
        <v/>
      </c>
      <c r="F32" s="74" t="str">
        <f t="shared" ca="1" si="1"/>
        <v/>
      </c>
      <c r="G32" s="75" t="str">
        <f t="shared" ca="1" si="2"/>
        <v/>
      </c>
      <c r="H32" s="72" t="str">
        <f>IF('Production Log'!K32="","",'Production Log'!K32)</f>
        <v/>
      </c>
      <c r="I32" s="56" t="str">
        <f t="shared" ca="1" si="3"/>
        <v/>
      </c>
    </row>
    <row r="33" spans="1:9" x14ac:dyDescent="0.35">
      <c r="A33" s="72" t="str">
        <f>IF('Production Log'!B33="","",'Production Log'!B33)</f>
        <v/>
      </c>
      <c r="B33" s="55" t="str">
        <f>IF('Production Log'!C33="","",'Production Log'!C33)</f>
        <v/>
      </c>
      <c r="C33" s="73" t="str">
        <f>IF('Production Log'!I33="","",'Production Log'!I33)</f>
        <v/>
      </c>
      <c r="D33" s="73" t="str">
        <f>IF('Production Log'!J33="","",'Production Log'!J33)</f>
        <v/>
      </c>
      <c r="E33" s="74" t="str">
        <f t="shared" ca="1" si="0"/>
        <v/>
      </c>
      <c r="F33" s="74" t="str">
        <f t="shared" ca="1" si="1"/>
        <v/>
      </c>
      <c r="G33" s="75" t="str">
        <f t="shared" ca="1" si="2"/>
        <v/>
      </c>
      <c r="H33" s="72" t="str">
        <f>IF('Production Log'!K33="","",'Production Log'!K33)</f>
        <v/>
      </c>
      <c r="I33" s="56" t="str">
        <f t="shared" ca="1" si="3"/>
        <v/>
      </c>
    </row>
    <row r="34" spans="1:9" x14ac:dyDescent="0.35">
      <c r="A34" s="72" t="str">
        <f>IF('Production Log'!B34="","",'Production Log'!B34)</f>
        <v/>
      </c>
      <c r="B34" s="55" t="str">
        <f>IF('Production Log'!C34="","",'Production Log'!C34)</f>
        <v/>
      </c>
      <c r="C34" s="73" t="str">
        <f>IF('Production Log'!I34="","",'Production Log'!I34)</f>
        <v/>
      </c>
      <c r="D34" s="73" t="str">
        <f>IF('Production Log'!J34="","",'Production Log'!J34)</f>
        <v/>
      </c>
      <c r="E34" s="74" t="str">
        <f t="shared" ca="1" si="0"/>
        <v/>
      </c>
      <c r="F34" s="74" t="str">
        <f t="shared" ca="1" si="1"/>
        <v/>
      </c>
      <c r="G34" s="75" t="str">
        <f t="shared" ca="1" si="2"/>
        <v/>
      </c>
      <c r="H34" s="72" t="str">
        <f>IF('Production Log'!K34="","",'Production Log'!K34)</f>
        <v/>
      </c>
      <c r="I34" s="56" t="str">
        <f t="shared" ca="1" si="3"/>
        <v/>
      </c>
    </row>
    <row r="35" spans="1:9" x14ac:dyDescent="0.35">
      <c r="A35" s="72" t="str">
        <f>IF('Production Log'!B35="","",'Production Log'!B35)</f>
        <v/>
      </c>
      <c r="B35" s="55" t="str">
        <f>IF('Production Log'!C35="","",'Production Log'!C35)</f>
        <v/>
      </c>
      <c r="C35" s="73" t="str">
        <f>IF('Production Log'!I35="","",'Production Log'!I35)</f>
        <v/>
      </c>
      <c r="D35" s="73" t="str">
        <f>IF('Production Log'!J35="","",'Production Log'!J35)</f>
        <v/>
      </c>
      <c r="E35" s="74" t="str">
        <f t="shared" ca="1" si="0"/>
        <v/>
      </c>
      <c r="F35" s="74" t="str">
        <f t="shared" ca="1" si="1"/>
        <v/>
      </c>
      <c r="G35" s="75" t="str">
        <f t="shared" ca="1" si="2"/>
        <v/>
      </c>
      <c r="H35" s="72" t="str">
        <f>IF('Production Log'!K35="","",'Production Log'!K35)</f>
        <v/>
      </c>
      <c r="I35" s="56" t="str">
        <f t="shared" ca="1" si="3"/>
        <v/>
      </c>
    </row>
    <row r="36" spans="1:9" x14ac:dyDescent="0.35">
      <c r="A36" s="72" t="str">
        <f>IF('Production Log'!B36="","",'Production Log'!B36)</f>
        <v/>
      </c>
      <c r="B36" s="55" t="str">
        <f>IF('Production Log'!C36="","",'Production Log'!C36)</f>
        <v/>
      </c>
      <c r="C36" s="73" t="str">
        <f>IF('Production Log'!I36="","",'Production Log'!I36)</f>
        <v/>
      </c>
      <c r="D36" s="73" t="str">
        <f>IF('Production Log'!J36="","",'Production Log'!J36)</f>
        <v/>
      </c>
      <c r="E36" s="74" t="str">
        <f t="shared" ca="1" si="0"/>
        <v/>
      </c>
      <c r="F36" s="74" t="str">
        <f t="shared" ca="1" si="1"/>
        <v/>
      </c>
      <c r="G36" s="75" t="str">
        <f t="shared" ca="1" si="2"/>
        <v/>
      </c>
      <c r="H36" s="72" t="str">
        <f>IF('Production Log'!K36="","",'Production Log'!K36)</f>
        <v/>
      </c>
      <c r="I36" s="56" t="str">
        <f t="shared" ca="1" si="3"/>
        <v/>
      </c>
    </row>
    <row r="37" spans="1:9" x14ac:dyDescent="0.35">
      <c r="A37" s="72" t="str">
        <f>IF('Production Log'!B37="","",'Production Log'!B37)</f>
        <v/>
      </c>
      <c r="B37" s="55" t="str">
        <f>IF('Production Log'!C37="","",'Production Log'!C37)</f>
        <v/>
      </c>
      <c r="C37" s="73" t="str">
        <f>IF('Production Log'!I37="","",'Production Log'!I37)</f>
        <v/>
      </c>
      <c r="D37" s="73" t="str">
        <f>IF('Production Log'!J37="","",'Production Log'!J37)</f>
        <v/>
      </c>
      <c r="E37" s="74" t="str">
        <f t="shared" ca="1" si="0"/>
        <v/>
      </c>
      <c r="F37" s="74" t="str">
        <f t="shared" ca="1" si="1"/>
        <v/>
      </c>
      <c r="G37" s="75" t="str">
        <f t="shared" ca="1" si="2"/>
        <v/>
      </c>
      <c r="H37" s="72" t="str">
        <f>IF('Production Log'!K37="","",'Production Log'!K37)</f>
        <v/>
      </c>
      <c r="I37" s="56" t="str">
        <f t="shared" ca="1" si="3"/>
        <v/>
      </c>
    </row>
    <row r="38" spans="1:9" x14ac:dyDescent="0.35">
      <c r="A38" s="72" t="str">
        <f>IF('Production Log'!B38="","",'Production Log'!B38)</f>
        <v/>
      </c>
      <c r="B38" s="55" t="str">
        <f>IF('Production Log'!C38="","",'Production Log'!C38)</f>
        <v/>
      </c>
      <c r="C38" s="73" t="str">
        <f>IF('Production Log'!I38="","",'Production Log'!I38)</f>
        <v/>
      </c>
      <c r="D38" s="73" t="str">
        <f>IF('Production Log'!J38="","",'Production Log'!J38)</f>
        <v/>
      </c>
      <c r="E38" s="74" t="str">
        <f t="shared" ca="1" si="0"/>
        <v/>
      </c>
      <c r="F38" s="74" t="str">
        <f t="shared" ca="1" si="1"/>
        <v/>
      </c>
      <c r="G38" s="75" t="str">
        <f t="shared" ca="1" si="2"/>
        <v/>
      </c>
      <c r="H38" s="72" t="str">
        <f>IF('Production Log'!K38="","",'Production Log'!K38)</f>
        <v/>
      </c>
      <c r="I38" s="56" t="str">
        <f t="shared" ca="1" si="3"/>
        <v/>
      </c>
    </row>
    <row r="39" spans="1:9" x14ac:dyDescent="0.35">
      <c r="A39" s="72" t="str">
        <f>IF('Production Log'!B39="","",'Production Log'!B39)</f>
        <v/>
      </c>
      <c r="B39" s="55" t="str">
        <f>IF('Production Log'!C39="","",'Production Log'!C39)</f>
        <v/>
      </c>
      <c r="C39" s="73" t="str">
        <f>IF('Production Log'!I39="","",'Production Log'!I39)</f>
        <v/>
      </c>
      <c r="D39" s="73" t="str">
        <f>IF('Production Log'!J39="","",'Production Log'!J39)</f>
        <v/>
      </c>
      <c r="E39" s="74" t="str">
        <f t="shared" ca="1" si="0"/>
        <v/>
      </c>
      <c r="F39" s="74" t="str">
        <f t="shared" ca="1" si="1"/>
        <v/>
      </c>
      <c r="G39" s="75" t="str">
        <f t="shared" ca="1" si="2"/>
        <v/>
      </c>
      <c r="H39" s="72" t="str">
        <f>IF('Production Log'!K39="","",'Production Log'!K39)</f>
        <v/>
      </c>
      <c r="I39" s="56" t="str">
        <f t="shared" ca="1" si="3"/>
        <v/>
      </c>
    </row>
    <row r="40" spans="1:9" x14ac:dyDescent="0.35">
      <c r="A40" s="72" t="str">
        <f>IF('Production Log'!B40="","",'Production Log'!B40)</f>
        <v/>
      </c>
      <c r="B40" s="55" t="str">
        <f>IF('Production Log'!C40="","",'Production Log'!C40)</f>
        <v/>
      </c>
      <c r="C40" s="73" t="str">
        <f>IF('Production Log'!I40="","",'Production Log'!I40)</f>
        <v/>
      </c>
      <c r="D40" s="73" t="str">
        <f>IF('Production Log'!J40="","",'Production Log'!J40)</f>
        <v/>
      </c>
      <c r="E40" s="74" t="str">
        <f t="shared" ca="1" si="0"/>
        <v/>
      </c>
      <c r="F40" s="74" t="str">
        <f t="shared" ca="1" si="1"/>
        <v/>
      </c>
      <c r="G40" s="75" t="str">
        <f t="shared" ca="1" si="2"/>
        <v/>
      </c>
      <c r="H40" s="72" t="str">
        <f>IF('Production Log'!K40="","",'Production Log'!K40)</f>
        <v/>
      </c>
      <c r="I40" s="56" t="str">
        <f t="shared" ca="1" si="3"/>
        <v/>
      </c>
    </row>
    <row r="41" spans="1:9" x14ac:dyDescent="0.35">
      <c r="A41" s="72" t="str">
        <f>IF('Production Log'!B41="","",'Production Log'!B41)</f>
        <v/>
      </c>
      <c r="B41" s="55" t="str">
        <f>IF('Production Log'!C41="","",'Production Log'!C41)</f>
        <v/>
      </c>
      <c r="C41" s="73" t="str">
        <f>IF('Production Log'!I41="","",'Production Log'!I41)</f>
        <v/>
      </c>
      <c r="D41" s="73" t="str">
        <f>IF('Production Log'!J41="","",'Production Log'!J41)</f>
        <v/>
      </c>
      <c r="E41" s="74" t="str">
        <f t="shared" ca="1" si="0"/>
        <v/>
      </c>
      <c r="F41" s="74" t="str">
        <f t="shared" ca="1" si="1"/>
        <v/>
      </c>
      <c r="G41" s="75" t="str">
        <f t="shared" ca="1" si="2"/>
        <v/>
      </c>
      <c r="H41" s="72" t="str">
        <f>IF('Production Log'!K41="","",'Production Log'!K41)</f>
        <v/>
      </c>
      <c r="I41" s="56" t="str">
        <f t="shared" ca="1" si="3"/>
        <v/>
      </c>
    </row>
    <row r="42" spans="1:9" x14ac:dyDescent="0.35">
      <c r="A42" s="72" t="str">
        <f>IF('Production Log'!B42="","",'Production Log'!B42)</f>
        <v/>
      </c>
      <c r="B42" s="55" t="str">
        <f>IF('Production Log'!C42="","",'Production Log'!C42)</f>
        <v/>
      </c>
      <c r="C42" s="73" t="str">
        <f>IF('Production Log'!I42="","",'Production Log'!I42)</f>
        <v/>
      </c>
      <c r="D42" s="73" t="str">
        <f>IF('Production Log'!J42="","",'Production Log'!J42)</f>
        <v/>
      </c>
      <c r="E42" s="74" t="str">
        <f t="shared" ca="1" si="0"/>
        <v/>
      </c>
      <c r="F42" s="74" t="str">
        <f t="shared" ca="1" si="1"/>
        <v/>
      </c>
      <c r="G42" s="75" t="str">
        <f t="shared" ca="1" si="2"/>
        <v/>
      </c>
      <c r="H42" s="72" t="str">
        <f>IF('Production Log'!K42="","",'Production Log'!K42)</f>
        <v/>
      </c>
      <c r="I42" s="56" t="str">
        <f t="shared" ca="1" si="3"/>
        <v/>
      </c>
    </row>
    <row r="43" spans="1:9" x14ac:dyDescent="0.35">
      <c r="A43" s="72" t="str">
        <f>IF('Production Log'!B43="","",'Production Log'!B43)</f>
        <v/>
      </c>
      <c r="B43" s="55" t="str">
        <f>IF('Production Log'!C43="","",'Production Log'!C43)</f>
        <v/>
      </c>
      <c r="C43" s="73" t="str">
        <f>IF('Production Log'!I43="","",'Production Log'!I43)</f>
        <v/>
      </c>
      <c r="D43" s="73" t="str">
        <f>IF('Production Log'!J43="","",'Production Log'!J43)</f>
        <v/>
      </c>
      <c r="E43" s="74" t="str">
        <f t="shared" ca="1" si="0"/>
        <v/>
      </c>
      <c r="F43" s="74" t="str">
        <f t="shared" ca="1" si="1"/>
        <v/>
      </c>
      <c r="G43" s="75" t="str">
        <f t="shared" ca="1" si="2"/>
        <v/>
      </c>
      <c r="H43" s="72" t="str">
        <f>IF('Production Log'!K43="","",'Production Log'!K43)</f>
        <v/>
      </c>
      <c r="I43" s="56" t="str">
        <f t="shared" ca="1" si="3"/>
        <v/>
      </c>
    </row>
    <row r="44" spans="1:9" x14ac:dyDescent="0.35">
      <c r="A44" s="72" t="str">
        <f>IF('Production Log'!B44="","",'Production Log'!B44)</f>
        <v/>
      </c>
      <c r="B44" s="55" t="str">
        <f>IF('Production Log'!C44="","",'Production Log'!C44)</f>
        <v/>
      </c>
      <c r="C44" s="73" t="str">
        <f>IF('Production Log'!I44="","",'Production Log'!I44)</f>
        <v/>
      </c>
      <c r="D44" s="73" t="str">
        <f>IF('Production Log'!J44="","",'Production Log'!J44)</f>
        <v/>
      </c>
      <c r="E44" s="74" t="str">
        <f t="shared" ca="1" si="0"/>
        <v/>
      </c>
      <c r="F44" s="74" t="str">
        <f t="shared" ca="1" si="1"/>
        <v/>
      </c>
      <c r="G44" s="75" t="str">
        <f t="shared" ca="1" si="2"/>
        <v/>
      </c>
      <c r="H44" s="72" t="str">
        <f>IF('Production Log'!K44="","",'Production Log'!K44)</f>
        <v/>
      </c>
      <c r="I44" s="56" t="str">
        <f t="shared" ca="1" si="3"/>
        <v/>
      </c>
    </row>
  </sheetData>
  <sheetProtection sheet="1" formatCells="0" formatColumns="0" formatRows="0"/>
  <mergeCells count="2">
    <mergeCell ref="A1:I1"/>
    <mergeCell ref="A2:I2"/>
  </mergeCells>
  <conditionalFormatting sqref="A5:I44">
    <cfRule type="expression" dxfId="4" priority="1" stopIfTrue="1">
      <formula>$H5="Bottled"</formula>
    </cfRule>
    <cfRule type="expression" dxfId="3" priority="2">
      <formula>AND($C5&lt;&gt;"",TODAY()-$C5&gt;=28)</formula>
    </cfRule>
    <cfRule type="expression" dxfId="2" priority="3">
      <formula>AND($C5&lt;&gt;"",TODAY()-$C5&lt;14)</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5" t="s">
        <v>240</v>
      </c>
      <c r="B1" s="90"/>
      <c r="C1" s="90"/>
      <c r="D1" s="90"/>
      <c r="E1" s="90"/>
      <c r="F1" s="90"/>
      <c r="G1" s="90"/>
      <c r="H1" s="90"/>
      <c r="I1" s="90"/>
    </row>
    <row r="2" spans="1:9" x14ac:dyDescent="0.35">
      <c r="A2" s="102" t="s">
        <v>241</v>
      </c>
      <c r="B2" s="103"/>
      <c r="C2" s="103"/>
      <c r="D2" s="103"/>
      <c r="E2" s="103"/>
      <c r="F2" s="103"/>
      <c r="G2" s="103"/>
      <c r="H2" s="103"/>
      <c r="I2" s="103"/>
    </row>
    <row r="3" spans="1:9" ht="18" customHeight="1" x14ac:dyDescent="0.35">
      <c r="A3" s="93" t="s">
        <v>242</v>
      </c>
      <c r="B3" s="94"/>
      <c r="C3" s="94"/>
      <c r="D3" s="94"/>
      <c r="E3" s="94"/>
      <c r="F3" s="94"/>
      <c r="G3" s="94"/>
      <c r="H3" s="94"/>
      <c r="I3" s="94"/>
    </row>
    <row r="4" spans="1:9" x14ac:dyDescent="0.35">
      <c r="A4" s="91" t="s">
        <v>243</v>
      </c>
      <c r="B4" s="90"/>
      <c r="C4" s="45">
        <f>SUM(Inv_TotalPaid)</f>
        <v>2116.1000000000004</v>
      </c>
      <c r="D4" s="95" t="s">
        <v>244</v>
      </c>
      <c r="E4" s="90"/>
      <c r="F4" s="90"/>
      <c r="G4" s="90"/>
      <c r="H4" s="90"/>
      <c r="I4" s="90"/>
    </row>
    <row r="5" spans="1:9" x14ac:dyDescent="0.35">
      <c r="A5" s="91" t="s">
        <v>245</v>
      </c>
      <c r="B5" s="90"/>
      <c r="C5" s="41">
        <v>351</v>
      </c>
      <c r="D5" s="95" t="s">
        <v>246</v>
      </c>
      <c r="E5" s="90"/>
      <c r="F5" s="90"/>
      <c r="G5" s="90"/>
      <c r="H5" s="90"/>
      <c r="I5" s="90"/>
    </row>
    <row r="6" spans="1:9" x14ac:dyDescent="0.35">
      <c r="A6" s="101" t="s">
        <v>247</v>
      </c>
      <c r="B6" s="90"/>
      <c r="C6" s="45">
        <f>C4+C5</f>
        <v>2467.1000000000004</v>
      </c>
      <c r="D6" s="95"/>
      <c r="E6" s="90"/>
      <c r="F6" s="90"/>
      <c r="G6" s="90"/>
      <c r="H6" s="90"/>
      <c r="I6" s="90"/>
    </row>
    <row r="7" spans="1:9" x14ac:dyDescent="0.35">
      <c r="A7" s="91" t="s">
        <v>248</v>
      </c>
      <c r="B7" s="90"/>
      <c r="C7" s="76">
        <f>1+ShippingSAR/MaterialsTotalSAR</f>
        <v>1.1658711781106752</v>
      </c>
      <c r="D7" s="95" t="s">
        <v>249</v>
      </c>
      <c r="E7" s="90"/>
      <c r="F7" s="90"/>
      <c r="G7" s="90"/>
      <c r="H7" s="90"/>
      <c r="I7" s="90"/>
    </row>
    <row r="9" spans="1:9" ht="18" customHeight="1" x14ac:dyDescent="0.35">
      <c r="A9" s="93" t="s">
        <v>250</v>
      </c>
      <c r="B9" s="94"/>
      <c r="C9" s="94"/>
      <c r="D9" s="94"/>
      <c r="E9" s="94"/>
      <c r="F9" s="94"/>
      <c r="G9" s="94"/>
      <c r="H9" s="94"/>
      <c r="I9" s="94"/>
    </row>
    <row r="10" spans="1:9" x14ac:dyDescent="0.35">
      <c r="A10" s="91" t="s">
        <v>251</v>
      </c>
      <c r="B10" s="90"/>
      <c r="C10" s="45">
        <f>INDEX(Inv_PricePerG,MATCH("DPG (Dipropylene Glycol)",Inv_Mat,0))</f>
        <v>0.1</v>
      </c>
      <c r="D10" s="95" t="s">
        <v>252</v>
      </c>
      <c r="E10" s="90"/>
      <c r="F10" s="90"/>
      <c r="G10" s="90"/>
      <c r="H10" s="90"/>
      <c r="I10" s="90"/>
    </row>
    <row r="11" spans="1:9" x14ac:dyDescent="0.35">
      <c r="A11" s="91" t="s">
        <v>253</v>
      </c>
      <c r="B11" s="90"/>
      <c r="C11" s="45">
        <f>SUMPRODUCT(FM_Active,FM_CostG)</f>
        <v>4.5394675925925929</v>
      </c>
      <c r="D11" s="95" t="s">
        <v>254</v>
      </c>
      <c r="E11" s="90"/>
      <c r="F11" s="90"/>
      <c r="G11" s="90"/>
      <c r="H11" s="90"/>
      <c r="I11" s="90"/>
    </row>
    <row r="12" spans="1:9" x14ac:dyDescent="0.35">
      <c r="A12" s="91" t="s">
        <v>255</v>
      </c>
      <c r="B12" s="90"/>
      <c r="C12" s="45">
        <f>ConcCostPerG*ShipLoad</f>
        <v>5.2924344301711566</v>
      </c>
      <c r="D12" s="95" t="s">
        <v>256</v>
      </c>
      <c r="E12" s="90"/>
      <c r="F12" s="90"/>
      <c r="G12" s="90"/>
      <c r="H12" s="90"/>
      <c r="I12" s="90"/>
    </row>
    <row r="14" spans="1:9" ht="18" customHeight="1" x14ac:dyDescent="0.35">
      <c r="A14" s="93" t="s">
        <v>257</v>
      </c>
      <c r="B14" s="94"/>
      <c r="C14" s="94"/>
      <c r="D14" s="94"/>
      <c r="E14" s="94"/>
      <c r="F14" s="94"/>
      <c r="G14" s="94"/>
      <c r="H14" s="94"/>
      <c r="I14" s="94"/>
    </row>
    <row r="15" spans="1:9" x14ac:dyDescent="0.35">
      <c r="A15" s="122" t="s">
        <v>157</v>
      </c>
      <c r="B15" s="90"/>
      <c r="C15" s="77" t="s">
        <v>211</v>
      </c>
      <c r="D15" s="122" t="s">
        <v>159</v>
      </c>
      <c r="E15" s="90"/>
      <c r="F15" s="90"/>
      <c r="G15" s="90"/>
      <c r="H15" s="90"/>
      <c r="I15" s="90"/>
    </row>
    <row r="16" spans="1:9" x14ac:dyDescent="0.35">
      <c r="A16" s="113" t="s">
        <v>160</v>
      </c>
      <c r="B16" s="108"/>
      <c r="C16" s="23">
        <f>INDEX(Inv_PricePerG,MATCH("Alcohol 190 proof SDA 40B",Inv_Mat,0))*ShipLoad</f>
        <v>0.21590207002049538</v>
      </c>
      <c r="D16" s="107" t="s">
        <v>258</v>
      </c>
      <c r="E16" s="90"/>
      <c r="F16" s="90"/>
      <c r="G16" s="90"/>
      <c r="H16" s="90"/>
      <c r="I16" s="90"/>
    </row>
    <row r="17" spans="1:9" x14ac:dyDescent="0.35">
      <c r="A17" s="113" t="s">
        <v>162</v>
      </c>
      <c r="B17" s="108"/>
      <c r="C17" s="41">
        <v>0.01</v>
      </c>
      <c r="D17" s="107" t="s">
        <v>259</v>
      </c>
      <c r="E17" s="90"/>
      <c r="F17" s="90"/>
      <c r="G17" s="90"/>
      <c r="H17" s="90"/>
      <c r="I17" s="90"/>
    </row>
    <row r="18" spans="1:9" x14ac:dyDescent="0.35">
      <c r="A18" s="113" t="s">
        <v>164</v>
      </c>
      <c r="B18" s="108"/>
      <c r="C18" s="41">
        <v>0.05</v>
      </c>
      <c r="D18" s="107" t="s">
        <v>259</v>
      </c>
      <c r="E18" s="90"/>
      <c r="F18" s="90"/>
      <c r="G18" s="90"/>
      <c r="H18" s="90"/>
      <c r="I18" s="90"/>
    </row>
    <row r="19" spans="1:9" x14ac:dyDescent="0.35">
      <c r="A19" s="113" t="s">
        <v>260</v>
      </c>
      <c r="B19" s="108"/>
      <c r="C19" s="41">
        <v>0.1</v>
      </c>
      <c r="D19" s="107" t="s">
        <v>259</v>
      </c>
      <c r="E19" s="90"/>
      <c r="F19" s="90"/>
      <c r="G19" s="90"/>
      <c r="H19" s="90"/>
      <c r="I19" s="90"/>
    </row>
    <row r="20" spans="1:9" x14ac:dyDescent="0.35">
      <c r="A20" s="113" t="s">
        <v>168</v>
      </c>
      <c r="B20" s="108"/>
      <c r="C20" s="41">
        <v>0.4</v>
      </c>
      <c r="D20" s="107" t="s">
        <v>259</v>
      </c>
      <c r="E20" s="90"/>
      <c r="F20" s="90"/>
      <c r="G20" s="90"/>
      <c r="H20" s="90"/>
      <c r="I20" s="90"/>
    </row>
    <row r="21" spans="1:9" x14ac:dyDescent="0.35">
      <c r="A21" s="113" t="s">
        <v>261</v>
      </c>
      <c r="B21" s="108"/>
      <c r="C21" s="41">
        <v>0.08</v>
      </c>
      <c r="D21" s="107" t="s">
        <v>259</v>
      </c>
      <c r="E21" s="90"/>
      <c r="F21" s="90"/>
      <c r="G21" s="90"/>
      <c r="H21" s="90"/>
      <c r="I21" s="90"/>
    </row>
    <row r="22" spans="1:9" x14ac:dyDescent="0.35">
      <c r="A22" s="113" t="s">
        <v>127</v>
      </c>
      <c r="B22" s="108"/>
      <c r="C22" s="41">
        <v>0.15</v>
      </c>
      <c r="D22" s="107" t="s">
        <v>259</v>
      </c>
      <c r="E22" s="90"/>
      <c r="F22" s="90"/>
      <c r="G22" s="90"/>
      <c r="H22" s="90"/>
      <c r="I22" s="90"/>
    </row>
    <row r="23" spans="1:9" x14ac:dyDescent="0.35">
      <c r="A23" s="113" t="s">
        <v>130</v>
      </c>
      <c r="B23" s="108"/>
      <c r="C23" s="41">
        <v>0.1</v>
      </c>
      <c r="D23" s="107" t="s">
        <v>259</v>
      </c>
      <c r="E23" s="90"/>
      <c r="F23" s="90"/>
      <c r="G23" s="90"/>
      <c r="H23" s="90"/>
      <c r="I23" s="90"/>
    </row>
    <row r="24" spans="1:9" x14ac:dyDescent="0.35">
      <c r="A24" s="113" t="s">
        <v>133</v>
      </c>
      <c r="B24" s="108"/>
      <c r="C24" s="41">
        <v>0.06</v>
      </c>
      <c r="D24" s="107" t="s">
        <v>259</v>
      </c>
      <c r="E24" s="90"/>
      <c r="F24" s="90"/>
      <c r="G24" s="90"/>
      <c r="H24" s="90"/>
      <c r="I24" s="90"/>
    </row>
    <row r="25" spans="1:9" x14ac:dyDescent="0.35">
      <c r="A25" s="113" t="s">
        <v>136</v>
      </c>
      <c r="B25" s="108"/>
      <c r="C25" s="41">
        <v>0.08</v>
      </c>
      <c r="D25" s="107" t="s">
        <v>259</v>
      </c>
      <c r="E25" s="90"/>
      <c r="F25" s="90"/>
      <c r="G25" s="90"/>
      <c r="H25" s="90"/>
      <c r="I25" s="90"/>
    </row>
    <row r="26" spans="1:9" x14ac:dyDescent="0.35">
      <c r="A26" s="113" t="s">
        <v>174</v>
      </c>
      <c r="B26" s="108"/>
      <c r="C26" s="41">
        <v>0.5</v>
      </c>
      <c r="D26" s="107" t="s">
        <v>259</v>
      </c>
      <c r="E26" s="90"/>
      <c r="F26" s="90"/>
      <c r="G26" s="90"/>
      <c r="H26" s="90"/>
      <c r="I26" s="90"/>
    </row>
    <row r="28" spans="1:9" ht="18" customHeight="1" x14ac:dyDescent="0.35">
      <c r="A28" s="93" t="s">
        <v>262</v>
      </c>
      <c r="B28" s="94"/>
      <c r="C28" s="94"/>
      <c r="D28" s="94"/>
      <c r="E28" s="94"/>
      <c r="F28" s="94"/>
      <c r="G28" s="94"/>
      <c r="H28" s="94"/>
      <c r="I28" s="94"/>
    </row>
    <row r="29" spans="1:9" ht="24" customHeight="1" x14ac:dyDescent="0.35">
      <c r="A29" s="16" t="s">
        <v>263</v>
      </c>
      <c r="B29" s="16" t="s">
        <v>227</v>
      </c>
      <c r="C29" s="16" t="s">
        <v>205</v>
      </c>
      <c r="D29" s="16" t="s">
        <v>264</v>
      </c>
      <c r="E29" s="16" t="s">
        <v>265</v>
      </c>
      <c r="F29" s="16" t="s">
        <v>228</v>
      </c>
      <c r="G29" s="16" t="s">
        <v>266</v>
      </c>
      <c r="H29" s="16" t="s">
        <v>267</v>
      </c>
      <c r="I29" s="16" t="s">
        <v>268</v>
      </c>
    </row>
    <row r="30" spans="1:9" x14ac:dyDescent="0.35">
      <c r="A30" s="55" t="s">
        <v>269</v>
      </c>
      <c r="B30" s="74">
        <v>30</v>
      </c>
      <c r="C30" s="64" t="s">
        <v>112</v>
      </c>
      <c r="D30" s="42">
        <v>0.85</v>
      </c>
      <c r="E30" s="23">
        <f t="shared" ref="E30:E37" si="0">IF(C30="ml",B30*D30,B30)</f>
        <v>25.5</v>
      </c>
      <c r="F30" s="19">
        <v>0.2</v>
      </c>
      <c r="G30" s="23">
        <f t="shared" ref="G30:G37" si="1">E30*F30</f>
        <v>5.1000000000000005</v>
      </c>
      <c r="H30" s="45">
        <f>G30*ConcCostPerGLoaded+(E30-G30)*$C$16</f>
        <v>31.395817822291008</v>
      </c>
      <c r="I30" s="23">
        <f t="shared" ref="I30:I37" si="2">H30/B30</f>
        <v>1.0465272607430336</v>
      </c>
    </row>
    <row r="31" spans="1:9" x14ac:dyDescent="0.35">
      <c r="A31" s="55" t="s">
        <v>269</v>
      </c>
      <c r="B31" s="74">
        <v>50</v>
      </c>
      <c r="C31" s="64" t="s">
        <v>112</v>
      </c>
      <c r="D31" s="42">
        <v>0.85</v>
      </c>
      <c r="E31" s="23">
        <f t="shared" si="0"/>
        <v>42.5</v>
      </c>
      <c r="F31" s="19">
        <v>0.2</v>
      </c>
      <c r="G31" s="23">
        <f t="shared" si="1"/>
        <v>8.5</v>
      </c>
      <c r="H31" s="45">
        <f>G31*ConcCostPerGLoaded+(E31-G31)*$C$16</f>
        <v>52.326363037151673</v>
      </c>
      <c r="I31" s="23">
        <f t="shared" si="2"/>
        <v>1.0465272607430334</v>
      </c>
    </row>
    <row r="32" spans="1:9" x14ac:dyDescent="0.35">
      <c r="A32" s="55" t="s">
        <v>269</v>
      </c>
      <c r="B32" s="74">
        <v>100</v>
      </c>
      <c r="C32" s="64" t="s">
        <v>112</v>
      </c>
      <c r="D32" s="42">
        <v>0.85</v>
      </c>
      <c r="E32" s="23">
        <f t="shared" si="0"/>
        <v>85</v>
      </c>
      <c r="F32" s="19">
        <v>0.2</v>
      </c>
      <c r="G32" s="23">
        <f t="shared" si="1"/>
        <v>17</v>
      </c>
      <c r="H32" s="45">
        <f>G32*ConcCostPerGLoaded+(E32-G32)*$C$16</f>
        <v>104.65272607430335</v>
      </c>
      <c r="I32" s="23">
        <f t="shared" si="2"/>
        <v>1.0465272607430334</v>
      </c>
    </row>
    <row r="33" spans="1:9" x14ac:dyDescent="0.35">
      <c r="A33" s="55" t="s">
        <v>107</v>
      </c>
      <c r="B33" s="74">
        <v>50</v>
      </c>
      <c r="C33" s="64" t="s">
        <v>112</v>
      </c>
      <c r="D33" s="42">
        <v>0.85</v>
      </c>
      <c r="E33" s="23">
        <f t="shared" si="0"/>
        <v>42.5</v>
      </c>
      <c r="F33" s="19">
        <v>0.28000000000000003</v>
      </c>
      <c r="G33" s="23">
        <f t="shared" si="1"/>
        <v>11.9</v>
      </c>
      <c r="H33" s="45">
        <f>G33*ConcCostPerGLoaded+(E33-G33)*$C$16</f>
        <v>69.586573061663927</v>
      </c>
      <c r="I33" s="23">
        <f t="shared" si="2"/>
        <v>1.3917314612332785</v>
      </c>
    </row>
    <row r="34" spans="1:9" x14ac:dyDescent="0.35">
      <c r="A34" s="55" t="s">
        <v>270</v>
      </c>
      <c r="B34" s="74">
        <v>100</v>
      </c>
      <c r="C34" s="64" t="s">
        <v>112</v>
      </c>
      <c r="D34" s="42">
        <v>0.87</v>
      </c>
      <c r="E34" s="23">
        <f t="shared" si="0"/>
        <v>87</v>
      </c>
      <c r="F34" s="19">
        <v>0.05</v>
      </c>
      <c r="G34" s="23">
        <f t="shared" si="1"/>
        <v>4.3500000000000005</v>
      </c>
      <c r="H34" s="45">
        <f>G34*ConcCostPerGLoaded+(E34-G34-E34*0.02-E34*0.05)*$C$16+E34*0.02*$C$18+E34*0.05*$C$17</f>
        <v>39.682052252013669</v>
      </c>
      <c r="I34" s="23">
        <f t="shared" si="2"/>
        <v>0.39682052252013666</v>
      </c>
    </row>
    <row r="35" spans="1:9" x14ac:dyDescent="0.35">
      <c r="A35" s="55" t="s">
        <v>132</v>
      </c>
      <c r="B35" s="74">
        <v>100</v>
      </c>
      <c r="C35" s="64" t="s">
        <v>216</v>
      </c>
      <c r="D35" s="64"/>
      <c r="E35" s="23">
        <f t="shared" si="0"/>
        <v>100</v>
      </c>
      <c r="F35" s="19">
        <v>2.5000000000000001E-2</v>
      </c>
      <c r="G35" s="23">
        <f t="shared" si="1"/>
        <v>2.5</v>
      </c>
      <c r="H35" s="45">
        <f>G35*ConcCostPerGLoaded+G35*4*$C$19+E35*0.025*$C$18+E35*0.008*$C$20+(E35-G35-G35*4-E35*0.025-E35*0.008)*$C$17</f>
        <v>15.518086075427892</v>
      </c>
      <c r="I35" s="23">
        <f t="shared" si="2"/>
        <v>0.15518086075427892</v>
      </c>
    </row>
    <row r="36" spans="1:9" x14ac:dyDescent="0.35">
      <c r="A36" s="55" t="s">
        <v>271</v>
      </c>
      <c r="B36" s="74">
        <v>100</v>
      </c>
      <c r="C36" s="64" t="s">
        <v>216</v>
      </c>
      <c r="D36" s="64"/>
      <c r="E36" s="23">
        <f t="shared" si="0"/>
        <v>100</v>
      </c>
      <c r="F36" s="19">
        <v>0.01</v>
      </c>
      <c r="G36" s="23">
        <f t="shared" si="1"/>
        <v>1</v>
      </c>
      <c r="H36" s="45">
        <f>G36*ConcCostPerGLoaded+(E36-G36)*$C$21</f>
        <v>13.212434430171157</v>
      </c>
      <c r="I36" s="23">
        <f t="shared" si="2"/>
        <v>0.13212434430171158</v>
      </c>
    </row>
    <row r="37" spans="1:9" x14ac:dyDescent="0.35">
      <c r="A37" s="55" t="s">
        <v>272</v>
      </c>
      <c r="B37" s="74">
        <v>100</v>
      </c>
      <c r="C37" s="64" t="s">
        <v>216</v>
      </c>
      <c r="D37" s="64"/>
      <c r="E37" s="23">
        <f t="shared" si="0"/>
        <v>100</v>
      </c>
      <c r="F37" s="19">
        <v>0.01</v>
      </c>
      <c r="G37" s="23">
        <f t="shared" si="1"/>
        <v>1</v>
      </c>
      <c r="H37" s="45">
        <f>G37*ConcCostPerGLoaded+E37*(0.03*$C$18+0.05*$C$22+0.02*$C$23+0.15*$C$24+0.05*$C$25+0.01*$C$20+0.005*$C$26)+(E37-G37-E37*0.315)*$C$17</f>
        <v>9.0174344301711571</v>
      </c>
      <c r="I37" s="23">
        <f t="shared" si="2"/>
        <v>9.0174344301711576E-2</v>
      </c>
    </row>
    <row r="39" spans="1:9" ht="18" customHeight="1" x14ac:dyDescent="0.35">
      <c r="A39" s="93" t="s">
        <v>273</v>
      </c>
      <c r="B39" s="94"/>
      <c r="C39" s="94"/>
      <c r="D39" s="94"/>
      <c r="E39" s="94"/>
      <c r="F39" s="94"/>
      <c r="G39" s="94"/>
      <c r="H39" s="94"/>
      <c r="I39" s="94"/>
    </row>
    <row r="40" spans="1:9" x14ac:dyDescent="0.35">
      <c r="A40" s="91" t="s">
        <v>274</v>
      </c>
      <c r="B40" s="90"/>
      <c r="C40" s="45">
        <f>SUMPRODUCT(Inv_OnHand,Inv_PricePerG)</f>
        <v>2116.1000000000004</v>
      </c>
    </row>
    <row r="41" spans="1:9" x14ac:dyDescent="0.35">
      <c r="A41" s="91" t="s">
        <v>275</v>
      </c>
      <c r="B41" s="90"/>
      <c r="C41" s="45">
        <f>StockValueSAR*ShipLoad</f>
        <v>2467.1000000000004</v>
      </c>
    </row>
  </sheetData>
  <sheetProtection sheet="1" formatCells="0" formatColumns="0" formatRows="0"/>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5" t="s">
        <v>276</v>
      </c>
      <c r="B1" s="90"/>
      <c r="C1" s="90"/>
      <c r="D1" s="90"/>
      <c r="E1" s="90"/>
      <c r="F1" s="90"/>
      <c r="G1" s="90"/>
      <c r="H1" s="90"/>
      <c r="I1" s="90"/>
    </row>
    <row r="2" spans="1:9" x14ac:dyDescent="0.35">
      <c r="A2" s="102" t="s">
        <v>277</v>
      </c>
      <c r="B2" s="103"/>
      <c r="C2" s="103"/>
      <c r="D2" s="103"/>
      <c r="E2" s="103"/>
      <c r="F2" s="103"/>
      <c r="G2" s="103"/>
      <c r="H2" s="103"/>
      <c r="I2" s="103"/>
    </row>
    <row r="3" spans="1:9" ht="18" customHeight="1" x14ac:dyDescent="0.35">
      <c r="A3" s="93" t="s">
        <v>278</v>
      </c>
      <c r="B3" s="94"/>
      <c r="C3" s="94"/>
      <c r="D3" s="94"/>
      <c r="E3" s="94"/>
      <c r="F3" s="94"/>
      <c r="G3" s="94"/>
      <c r="H3" s="94"/>
      <c r="I3" s="94"/>
    </row>
    <row r="4" spans="1:9" x14ac:dyDescent="0.35">
      <c r="A4" s="101" t="s">
        <v>114</v>
      </c>
      <c r="B4" s="90"/>
      <c r="C4" s="19">
        <v>0.28000000000000003</v>
      </c>
      <c r="D4" s="95" t="s">
        <v>279</v>
      </c>
      <c r="E4" s="90"/>
      <c r="F4" s="90"/>
      <c r="G4" s="90"/>
      <c r="H4" s="90"/>
      <c r="I4" s="90"/>
    </row>
    <row r="5" spans="1:9" x14ac:dyDescent="0.35">
      <c r="A5" s="101" t="s">
        <v>115</v>
      </c>
      <c r="B5" s="90"/>
      <c r="C5" s="42">
        <v>0.85</v>
      </c>
      <c r="D5" s="95" t="s">
        <v>280</v>
      </c>
      <c r="E5" s="90"/>
      <c r="F5" s="90"/>
      <c r="G5" s="90"/>
      <c r="H5" s="90"/>
      <c r="I5" s="90"/>
    </row>
    <row r="6" spans="1:9" x14ac:dyDescent="0.35">
      <c r="A6" s="101" t="s">
        <v>281</v>
      </c>
      <c r="B6" s="90"/>
      <c r="C6" s="19">
        <v>0</v>
      </c>
      <c r="D6" s="95" t="s">
        <v>282</v>
      </c>
      <c r="E6" s="90"/>
      <c r="F6" s="90"/>
      <c r="G6" s="90"/>
      <c r="H6" s="90"/>
      <c r="I6" s="90"/>
    </row>
    <row r="7" spans="1:9" x14ac:dyDescent="0.35">
      <c r="A7" s="101" t="s">
        <v>283</v>
      </c>
      <c r="B7" s="90"/>
      <c r="C7" s="15" t="s">
        <v>284</v>
      </c>
      <c r="D7" s="95" t="s">
        <v>285</v>
      </c>
      <c r="E7" s="90"/>
      <c r="F7" s="90"/>
      <c r="G7" s="90"/>
      <c r="H7" s="90"/>
      <c r="I7" s="90"/>
    </row>
    <row r="9" spans="1:9" ht="18" customHeight="1" x14ac:dyDescent="0.35">
      <c r="A9" s="93" t="s">
        <v>286</v>
      </c>
      <c r="B9" s="94"/>
      <c r="C9" s="94"/>
      <c r="D9" s="94"/>
      <c r="E9" s="94"/>
      <c r="F9" s="94"/>
      <c r="G9" s="94"/>
      <c r="H9" s="94"/>
      <c r="I9" s="94"/>
    </row>
    <row r="10" spans="1:9" x14ac:dyDescent="0.35">
      <c r="B10" s="2" t="s">
        <v>287</v>
      </c>
      <c r="C10" s="2" t="s">
        <v>288</v>
      </c>
      <c r="D10" s="2" t="s">
        <v>289</v>
      </c>
      <c r="E10" s="2" t="s">
        <v>290</v>
      </c>
      <c r="F10" s="2" t="s">
        <v>291</v>
      </c>
    </row>
    <row r="11" spans="1:9" ht="26" customHeight="1" x14ac:dyDescent="0.35">
      <c r="B11" s="3">
        <f>MIN($F$27:$F$52)</f>
        <v>60</v>
      </c>
      <c r="C11" s="3">
        <f>$B$11*(1-YC_Loss)</f>
        <v>60</v>
      </c>
      <c r="D11" s="3">
        <f>IF(YC_Basis="On hand",INDEX(Inv_OnHand,MATCH("Alcohol 190 proof SDA 40B",Inv_Mat,0)),INDEX(Inv_GramsBought,MATCH("Alcohol 190 proof SDA 40B",Inv_Mat,0)))</f>
        <v>810</v>
      </c>
      <c r="E11" s="3">
        <f>IF(YC_Basis="On hand",INDEX(Inv_OnHand,MATCH("DPG (Dipropylene Glycol)",Inv_Mat,0)),INDEX(Inv_GramsBought,MATCH("DPG (Dipropylene Glycol)",Inv_Mat,0)))</f>
        <v>500</v>
      </c>
      <c r="F11" s="123" t="str">
        <f>IF(COUNT($F$27:$F$52)=0,"—",INDEX($A$27:$A$52,MATCH($B$11,$F$27:$F$52,0)))</f>
        <v>Iso E Super</v>
      </c>
      <c r="G11" s="90"/>
      <c r="H11" s="90"/>
      <c r="I11" s="90"/>
    </row>
    <row r="13" spans="1:9" ht="18" customHeight="1" x14ac:dyDescent="0.35">
      <c r="A13" s="93" t="s">
        <v>292</v>
      </c>
      <c r="B13" s="94"/>
      <c r="C13" s="94"/>
      <c r="D13" s="94"/>
      <c r="E13" s="94"/>
      <c r="F13" s="94"/>
      <c r="G13" s="94"/>
      <c r="H13" s="94"/>
      <c r="I13" s="94"/>
    </row>
    <row r="14" spans="1:9" x14ac:dyDescent="0.35">
      <c r="A14" s="95" t="str">
        <f>"At "&amp;TEXT(YC_ConcPct,"0%")&amp;" concentrate ("&amp;IF(YC_ConcPct&gt;=0.25,"Extrait",IF(YC_ConcPct&gt;=0.15,"EDP","light"))&amp;"), "&amp;TEXT(YC_Density,"0.00")&amp;" g/ml, "&amp;TEXT(YC_Loss,"0%")&amp;" bench loss, stock basis: "&amp;YC_Basis</f>
        <v>At 28% concentrate (Extrait), 0.85 g/ml, 0% bench loss, stock basis: On hand</v>
      </c>
      <c r="B14" s="90"/>
      <c r="C14" s="90"/>
      <c r="D14" s="90"/>
      <c r="E14" s="90"/>
      <c r="F14" s="90"/>
      <c r="G14" s="90"/>
      <c r="H14" s="90"/>
      <c r="I14" s="90"/>
    </row>
    <row r="15" spans="1:9" ht="24" customHeight="1" x14ac:dyDescent="0.35">
      <c r="A15" s="16" t="s">
        <v>293</v>
      </c>
      <c r="B15" s="16" t="s">
        <v>294</v>
      </c>
      <c r="C15" s="16" t="s">
        <v>295</v>
      </c>
      <c r="D15" s="16" t="s">
        <v>296</v>
      </c>
      <c r="E15" s="16" t="s">
        <v>297</v>
      </c>
      <c r="F15" s="16" t="s">
        <v>298</v>
      </c>
      <c r="G15" s="16" t="s">
        <v>299</v>
      </c>
      <c r="H15" s="16" t="s">
        <v>300</v>
      </c>
      <c r="I15" s="16" t="s">
        <v>301</v>
      </c>
    </row>
    <row r="16" spans="1:9" ht="18" x14ac:dyDescent="0.35">
      <c r="A16" s="78">
        <v>10</v>
      </c>
      <c r="B16" s="23">
        <f t="shared" ref="B16:B21" si="0">$A16*YC_Density*YC_ConcPct</f>
        <v>2.3800000000000003</v>
      </c>
      <c r="C16" s="23">
        <f t="shared" ref="C16:C21" si="1">$A16*YC_Density*(1-YC_ConcPct)</f>
        <v>6.12</v>
      </c>
      <c r="D16" s="75">
        <f t="shared" ref="D16:D21" si="2">IF(B16=0,"",YC_UsableConc/B16)</f>
        <v>25.210084033613441</v>
      </c>
      <c r="E16" s="75">
        <f t="shared" ref="E16:E21" si="3">IF(C16=0,"",YC_AlcOnHand/C16)</f>
        <v>132.35294117647058</v>
      </c>
      <c r="F16" s="79">
        <f t="shared" ref="F16:F21" si="4">FLOOR(MIN(D16,E16),1)</f>
        <v>25</v>
      </c>
      <c r="G16" s="23">
        <f t="shared" ref="G16:G21" si="5">B16*ConcCostPerGLoaded+C16*AlcCostPerG</f>
        <v>13.917314612332786</v>
      </c>
      <c r="H16" s="23">
        <f t="shared" ref="H16:H21" si="6">F16*G16</f>
        <v>347.93286530831966</v>
      </c>
      <c r="I16" s="64" t="str">
        <f t="shared" ref="I16:I21" si="7">IF(D16&lt;=E16,"concentrate ("&amp;YC_LimitMat&amp;")","alcohol")</f>
        <v>concentrate (Iso E Super)</v>
      </c>
    </row>
    <row r="17" spans="1:9" ht="18" x14ac:dyDescent="0.35">
      <c r="A17" s="78">
        <v>20</v>
      </c>
      <c r="B17" s="23">
        <f t="shared" si="0"/>
        <v>4.7600000000000007</v>
      </c>
      <c r="C17" s="23">
        <f t="shared" si="1"/>
        <v>12.24</v>
      </c>
      <c r="D17" s="75">
        <f t="shared" si="2"/>
        <v>12.605042016806721</v>
      </c>
      <c r="E17" s="75">
        <f t="shared" si="3"/>
        <v>66.17647058823529</v>
      </c>
      <c r="F17" s="79">
        <f t="shared" si="4"/>
        <v>12</v>
      </c>
      <c r="G17" s="23">
        <f t="shared" si="5"/>
        <v>27.834629224665573</v>
      </c>
      <c r="H17" s="23">
        <f t="shared" si="6"/>
        <v>334.01555069598686</v>
      </c>
      <c r="I17" s="64" t="str">
        <f t="shared" si="7"/>
        <v>concentrate (Iso E Super)</v>
      </c>
    </row>
    <row r="18" spans="1:9" ht="18" x14ac:dyDescent="0.35">
      <c r="A18" s="78">
        <v>30</v>
      </c>
      <c r="B18" s="23">
        <f t="shared" si="0"/>
        <v>7.1400000000000006</v>
      </c>
      <c r="C18" s="23">
        <f t="shared" si="1"/>
        <v>18.36</v>
      </c>
      <c r="D18" s="75">
        <f t="shared" si="2"/>
        <v>8.4033613445378137</v>
      </c>
      <c r="E18" s="75">
        <f t="shared" si="3"/>
        <v>44.117647058823529</v>
      </c>
      <c r="F18" s="79">
        <f t="shared" si="4"/>
        <v>8</v>
      </c>
      <c r="G18" s="23">
        <f t="shared" si="5"/>
        <v>41.75194383699835</v>
      </c>
      <c r="H18" s="23">
        <f t="shared" si="6"/>
        <v>334.0155506959868</v>
      </c>
      <c r="I18" s="64" t="str">
        <f t="shared" si="7"/>
        <v>concentrate (Iso E Super)</v>
      </c>
    </row>
    <row r="19" spans="1:9" ht="18" x14ac:dyDescent="0.35">
      <c r="A19" s="78">
        <v>50</v>
      </c>
      <c r="B19" s="23">
        <f t="shared" si="0"/>
        <v>11.9</v>
      </c>
      <c r="C19" s="23">
        <f t="shared" si="1"/>
        <v>30.599999999999998</v>
      </c>
      <c r="D19" s="75">
        <f t="shared" si="2"/>
        <v>5.0420168067226889</v>
      </c>
      <c r="E19" s="75">
        <f t="shared" si="3"/>
        <v>26.47058823529412</v>
      </c>
      <c r="F19" s="79">
        <f t="shared" si="4"/>
        <v>5</v>
      </c>
      <c r="G19" s="23">
        <f t="shared" si="5"/>
        <v>69.586573061663927</v>
      </c>
      <c r="H19" s="23">
        <f t="shared" si="6"/>
        <v>347.93286530831961</v>
      </c>
      <c r="I19" s="64" t="str">
        <f t="shared" si="7"/>
        <v>concentrate (Iso E Super)</v>
      </c>
    </row>
    <row r="20" spans="1:9" ht="18" x14ac:dyDescent="0.35">
      <c r="A20" s="78">
        <v>70</v>
      </c>
      <c r="B20" s="23">
        <f t="shared" si="0"/>
        <v>16.66</v>
      </c>
      <c r="C20" s="23">
        <f t="shared" si="1"/>
        <v>42.839999999999996</v>
      </c>
      <c r="D20" s="75">
        <f t="shared" si="2"/>
        <v>3.601440576230492</v>
      </c>
      <c r="E20" s="75">
        <f t="shared" si="3"/>
        <v>18.907563025210084</v>
      </c>
      <c r="F20" s="79">
        <f t="shared" si="4"/>
        <v>3</v>
      </c>
      <c r="G20" s="23">
        <f t="shared" si="5"/>
        <v>97.421202286329503</v>
      </c>
      <c r="H20" s="23">
        <f t="shared" si="6"/>
        <v>292.26360685898851</v>
      </c>
      <c r="I20" s="64" t="str">
        <f t="shared" si="7"/>
        <v>concentrate (Iso E Super)</v>
      </c>
    </row>
    <row r="21" spans="1:9" ht="18" x14ac:dyDescent="0.35">
      <c r="A21" s="78">
        <v>100</v>
      </c>
      <c r="B21" s="23">
        <f t="shared" si="0"/>
        <v>23.8</v>
      </c>
      <c r="C21" s="23">
        <f t="shared" si="1"/>
        <v>61.199999999999996</v>
      </c>
      <c r="D21" s="75">
        <f t="shared" si="2"/>
        <v>2.5210084033613445</v>
      </c>
      <c r="E21" s="75">
        <f t="shared" si="3"/>
        <v>13.23529411764706</v>
      </c>
      <c r="F21" s="79">
        <f t="shared" si="4"/>
        <v>2</v>
      </c>
      <c r="G21" s="23">
        <f t="shared" si="5"/>
        <v>139.17314612332785</v>
      </c>
      <c r="H21" s="23">
        <f t="shared" si="6"/>
        <v>278.34629224665571</v>
      </c>
      <c r="I21" s="64" t="str">
        <f t="shared" si="7"/>
        <v>concentrate (Iso E Super)</v>
      </c>
    </row>
    <row r="22" spans="1:9" x14ac:dyDescent="0.35">
      <c r="A22" s="95" t="str">
        <f>"To make more, buy more "&amp;YC_LimitMat&amp;" — it runs out first. See the material-by-material table below for the next bottlenecks."</f>
        <v>To make more, buy more Iso E Super — it runs out first. See the material-by-material table below for the next bottlenecks.</v>
      </c>
      <c r="B22" s="90"/>
      <c r="C22" s="90"/>
      <c r="D22" s="90"/>
      <c r="E22" s="90"/>
      <c r="F22" s="90"/>
      <c r="G22" s="90"/>
      <c r="H22" s="90"/>
      <c r="I22" s="90"/>
    </row>
    <row r="24" spans="1:9" ht="18" customHeight="1" x14ac:dyDescent="0.35">
      <c r="A24" s="93" t="s">
        <v>302</v>
      </c>
      <c r="B24" s="94"/>
      <c r="C24" s="94"/>
      <c r="D24" s="94"/>
      <c r="E24" s="94"/>
      <c r="F24" s="94"/>
      <c r="G24" s="94"/>
      <c r="H24" s="94"/>
      <c r="I24" s="94"/>
    </row>
    <row r="26" spans="1:9" ht="24" customHeight="1" x14ac:dyDescent="0.35">
      <c r="A26" s="16" t="s">
        <v>35</v>
      </c>
      <c r="B26" s="16" t="s">
        <v>34</v>
      </c>
      <c r="C26" s="16" t="s">
        <v>39</v>
      </c>
      <c r="D26" s="16" t="s">
        <v>303</v>
      </c>
      <c r="E26" s="16" t="s">
        <v>304</v>
      </c>
      <c r="F26" s="16" t="s">
        <v>305</v>
      </c>
      <c r="G26" s="124" t="s">
        <v>306</v>
      </c>
      <c r="H26" s="111"/>
      <c r="I26" s="112"/>
    </row>
    <row r="27" spans="1:9" x14ac:dyDescent="0.35">
      <c r="A27" s="55" t="str">
        <f>'Formula Master'!$B$7</f>
        <v>Bergamot Accord</v>
      </c>
      <c r="B27" s="64" t="str">
        <f>'Formula Master'!$A$7</f>
        <v>TOP</v>
      </c>
      <c r="C27" s="80">
        <f>'Formula Master'!$F$7</f>
        <v>0.09</v>
      </c>
      <c r="D27" s="23">
        <f t="shared" ref="D27:D51" si="8">IF(YC_Basis="On hand",INDEX(Inv_OnHand,MATCH($A27,Inv_Mat,0)),INDEX(Inv_GramsBought,MATCH($A27,Inv_Mat,0)))</f>
        <v>9</v>
      </c>
      <c r="E27" s="81">
        <f>C27*IF('Formula Master'!$D$7="D10",0.1,1)</f>
        <v>0.09</v>
      </c>
      <c r="F27" s="59">
        <f t="shared" ref="F27:F52" si="9">IF(E27&lt;=0,"",MAX(D27,0)/E27)</f>
        <v>100</v>
      </c>
      <c r="G27" s="82">
        <f t="shared" ref="G27:G52" si="10">IF(F27="","",FLOOR(F27/(50*YC_Density*YC_ConcPct),1))</f>
        <v>8</v>
      </c>
      <c r="H27" s="46"/>
      <c r="I27" s="46"/>
    </row>
    <row r="28" spans="1:9" x14ac:dyDescent="0.35">
      <c r="A28" s="55" t="str">
        <f>'Formula Master'!$B$8</f>
        <v>Petitgrain Paraguay</v>
      </c>
      <c r="B28" s="64" t="str">
        <f>'Formula Master'!$A$8</f>
        <v>TOP</v>
      </c>
      <c r="C28" s="80">
        <f>'Formula Master'!$F$8</f>
        <v>1.4999999999999999E-2</v>
      </c>
      <c r="D28" s="23">
        <f t="shared" si="8"/>
        <v>9</v>
      </c>
      <c r="E28" s="81">
        <f>C28*IF('Formula Master'!$D$8="D10",0.1,1)</f>
        <v>1.4999999999999999E-2</v>
      </c>
      <c r="F28" s="59">
        <f t="shared" si="9"/>
        <v>600</v>
      </c>
      <c r="G28" s="82">
        <f t="shared" si="10"/>
        <v>50</v>
      </c>
      <c r="H28" s="46"/>
      <c r="I28" s="46"/>
    </row>
    <row r="29" spans="1:9" x14ac:dyDescent="0.35">
      <c r="A29" s="55" t="str">
        <f>'Formula Master'!$B$9</f>
        <v>Neroli Accord</v>
      </c>
      <c r="B29" s="64" t="str">
        <f>'Formula Master'!$A$9</f>
        <v>TOP</v>
      </c>
      <c r="C29" s="80">
        <f>'Formula Master'!$F$9</f>
        <v>0.01</v>
      </c>
      <c r="D29" s="23">
        <f t="shared" si="8"/>
        <v>9</v>
      </c>
      <c r="E29" s="81">
        <f>C29*IF('Formula Master'!$D$9="D10",0.1,1)</f>
        <v>0.01</v>
      </c>
      <c r="F29" s="59">
        <f t="shared" si="9"/>
        <v>900</v>
      </c>
      <c r="G29" s="82">
        <f t="shared" si="10"/>
        <v>75</v>
      </c>
      <c r="H29" s="46"/>
      <c r="I29" s="46"/>
    </row>
    <row r="30" spans="1:9" x14ac:dyDescent="0.35">
      <c r="A30" s="55" t="str">
        <f>'Formula Master'!$B$10</f>
        <v>Pink Peppercorn</v>
      </c>
      <c r="B30" s="64" t="str">
        <f>'Formula Master'!$A$10</f>
        <v>TOP</v>
      </c>
      <c r="C30" s="80">
        <f>'Formula Master'!$F$10</f>
        <v>5.0000000000000001E-3</v>
      </c>
      <c r="D30" s="23">
        <f t="shared" si="8"/>
        <v>9</v>
      </c>
      <c r="E30" s="81">
        <f>C30*IF('Formula Master'!$D$10="D10",0.1,1)</f>
        <v>5.0000000000000001E-4</v>
      </c>
      <c r="F30" s="59">
        <f t="shared" si="9"/>
        <v>18000</v>
      </c>
      <c r="G30" s="82">
        <f t="shared" si="10"/>
        <v>1512</v>
      </c>
      <c r="H30" s="46"/>
      <c r="I30" s="46"/>
    </row>
    <row r="31" spans="1:9" x14ac:dyDescent="0.35">
      <c r="A31" s="55" t="str">
        <f>'Formula Master'!$B$11</f>
        <v>Floralozone</v>
      </c>
      <c r="B31" s="64" t="str">
        <f>'Formula Master'!$A$11</f>
        <v>TOP</v>
      </c>
      <c r="C31" s="80">
        <f>'Formula Master'!$F$11</f>
        <v>5.0000000000000001E-3</v>
      </c>
      <c r="D31" s="23">
        <f t="shared" si="8"/>
        <v>10</v>
      </c>
      <c r="E31" s="81">
        <f>C31*IF('Formula Master'!$D$11="D10",0.1,1)</f>
        <v>5.0000000000000001E-4</v>
      </c>
      <c r="F31" s="59">
        <f t="shared" si="9"/>
        <v>20000</v>
      </c>
      <c r="G31" s="82">
        <f t="shared" si="10"/>
        <v>1680</v>
      </c>
      <c r="H31" s="46"/>
      <c r="I31" s="46"/>
    </row>
    <row r="32" spans="1:9" x14ac:dyDescent="0.35">
      <c r="A32" s="55" t="str">
        <f>'Formula Master'!$B$12</f>
        <v>Hedione (Firmenich)</v>
      </c>
      <c r="B32" s="64" t="str">
        <f>'Formula Master'!$A$12</f>
        <v>HEART</v>
      </c>
      <c r="C32" s="80">
        <f>'Formula Master'!$F$12</f>
        <v>0.2</v>
      </c>
      <c r="D32" s="23">
        <f t="shared" si="8"/>
        <v>27</v>
      </c>
      <c r="E32" s="81">
        <f>C32*IF('Formula Master'!$D$12="D10",0.1,1)</f>
        <v>0.2</v>
      </c>
      <c r="F32" s="59">
        <f t="shared" si="9"/>
        <v>135</v>
      </c>
      <c r="G32" s="82">
        <f t="shared" si="10"/>
        <v>11</v>
      </c>
      <c r="H32" s="46"/>
      <c r="I32" s="46"/>
    </row>
    <row r="33" spans="1:9" x14ac:dyDescent="0.35">
      <c r="A33" s="55" t="str">
        <f>'Formula Master'!$B$13</f>
        <v>Orange Blossom Tunisia Absolute</v>
      </c>
      <c r="B33" s="64" t="str">
        <f>'Formula Master'!$A$13</f>
        <v>HEART</v>
      </c>
      <c r="C33" s="80">
        <f>'Formula Master'!$F$13</f>
        <v>2.5000000000000001E-2</v>
      </c>
      <c r="D33" s="23">
        <f t="shared" si="8"/>
        <v>10</v>
      </c>
      <c r="E33" s="81">
        <f>C33*IF('Formula Master'!$D$13="D10",0.1,1)</f>
        <v>2.5000000000000001E-2</v>
      </c>
      <c r="F33" s="59">
        <f t="shared" si="9"/>
        <v>400</v>
      </c>
      <c r="G33" s="82">
        <f t="shared" si="10"/>
        <v>33</v>
      </c>
      <c r="H33" s="46"/>
      <c r="I33" s="46"/>
    </row>
    <row r="34" spans="1:9" x14ac:dyDescent="0.35">
      <c r="A34" s="55" t="str">
        <f>'Formula Master'!$B$14</f>
        <v>Methyl Alpha Ionone Iso</v>
      </c>
      <c r="B34" s="64" t="str">
        <f>'Formula Master'!$A$14</f>
        <v>HEART</v>
      </c>
      <c r="C34" s="80">
        <f>'Formula Master'!$F$14</f>
        <v>0.04</v>
      </c>
      <c r="D34" s="23">
        <f t="shared" si="8"/>
        <v>9</v>
      </c>
      <c r="E34" s="81">
        <f>C34*IF('Formula Master'!$D$14="D10",0.1,1)</f>
        <v>0.04</v>
      </c>
      <c r="F34" s="59">
        <f t="shared" si="9"/>
        <v>225</v>
      </c>
      <c r="G34" s="82">
        <f t="shared" si="10"/>
        <v>18</v>
      </c>
      <c r="H34" s="46"/>
      <c r="I34" s="46"/>
    </row>
    <row r="35" spans="1:9" x14ac:dyDescent="0.35">
      <c r="A35" s="55" t="str">
        <f>'Formula Master'!$B$15</f>
        <v>Irone Alpha</v>
      </c>
      <c r="B35" s="64" t="str">
        <f>'Formula Master'!$A$15</f>
        <v>HEART</v>
      </c>
      <c r="C35" s="80">
        <f>'Formula Master'!$F$15</f>
        <v>0.01</v>
      </c>
      <c r="D35" s="23">
        <f t="shared" si="8"/>
        <v>10</v>
      </c>
      <c r="E35" s="81">
        <f>C35*IF('Formula Master'!$D$15="D10",0.1,1)</f>
        <v>1E-3</v>
      </c>
      <c r="F35" s="59">
        <f t="shared" si="9"/>
        <v>10000</v>
      </c>
      <c r="G35" s="82">
        <f t="shared" si="10"/>
        <v>840</v>
      </c>
      <c r="H35" s="46"/>
      <c r="I35" s="46"/>
    </row>
    <row r="36" spans="1:9" x14ac:dyDescent="0.35">
      <c r="A36" s="55" t="str">
        <f>'Formula Master'!$B$16</f>
        <v>Benzyl Salicylate</v>
      </c>
      <c r="B36" s="64" t="str">
        <f>'Formula Master'!$A$16</f>
        <v>HEART</v>
      </c>
      <c r="C36" s="80">
        <f>'Formula Master'!$F$16</f>
        <v>0.03</v>
      </c>
      <c r="D36" s="23">
        <f t="shared" si="8"/>
        <v>9</v>
      </c>
      <c r="E36" s="81">
        <f>C36*IF('Formula Master'!$D$16="D10",0.1,1)</f>
        <v>0.03</v>
      </c>
      <c r="F36" s="59">
        <f t="shared" si="9"/>
        <v>300</v>
      </c>
      <c r="G36" s="82">
        <f t="shared" si="10"/>
        <v>25</v>
      </c>
      <c r="H36" s="46"/>
      <c r="I36" s="46"/>
    </row>
    <row r="37" spans="1:9" x14ac:dyDescent="0.35">
      <c r="A37" s="55" t="str">
        <f>'Formula Master'!$B$17</f>
        <v>Linalool</v>
      </c>
      <c r="B37" s="64" t="str">
        <f>'Formula Master'!$A$17</f>
        <v>HEART</v>
      </c>
      <c r="C37" s="80">
        <f>'Formula Master'!$F$17</f>
        <v>0.01</v>
      </c>
      <c r="D37" s="23">
        <f t="shared" si="8"/>
        <v>9</v>
      </c>
      <c r="E37" s="81">
        <f>C37*IF('Formula Master'!$D$17="D10",0.1,1)</f>
        <v>0.01</v>
      </c>
      <c r="F37" s="59">
        <f t="shared" si="9"/>
        <v>900</v>
      </c>
      <c r="G37" s="82">
        <f t="shared" si="10"/>
        <v>75</v>
      </c>
      <c r="H37" s="46"/>
      <c r="I37" s="46"/>
    </row>
    <row r="38" spans="1:9" x14ac:dyDescent="0.35">
      <c r="A38" s="55" t="str">
        <f>'Formula Master'!$B$18</f>
        <v>Iso E Super</v>
      </c>
      <c r="B38" s="64" t="str">
        <f>'Formula Master'!$A$18</f>
        <v>BASE</v>
      </c>
      <c r="C38" s="80">
        <f>'Formula Master'!$F$18</f>
        <v>0.15</v>
      </c>
      <c r="D38" s="23">
        <f t="shared" si="8"/>
        <v>9</v>
      </c>
      <c r="E38" s="81">
        <f>C38*IF('Formula Master'!$D$18="D10",0.1,1)</f>
        <v>0.15</v>
      </c>
      <c r="F38" s="59">
        <f t="shared" si="9"/>
        <v>60</v>
      </c>
      <c r="G38" s="82">
        <f t="shared" si="10"/>
        <v>5</v>
      </c>
      <c r="H38" s="46"/>
      <c r="I38" s="46"/>
    </row>
    <row r="39" spans="1:9" x14ac:dyDescent="0.35">
      <c r="A39" s="55" t="str">
        <f>'Formula Master'!$B$19</f>
        <v>Amberxan (Ambroxan)</v>
      </c>
      <c r="B39" s="64" t="str">
        <f>'Formula Master'!$A$19</f>
        <v>BASE</v>
      </c>
      <c r="C39" s="80">
        <f>'Formula Master'!$F$19</f>
        <v>0.08</v>
      </c>
      <c r="D39" s="23">
        <f t="shared" si="8"/>
        <v>10</v>
      </c>
      <c r="E39" s="81">
        <f>C39*IF('Formula Master'!$D$19="D10",0.1,1)</f>
        <v>0.08</v>
      </c>
      <c r="F39" s="59">
        <f t="shared" si="9"/>
        <v>125</v>
      </c>
      <c r="G39" s="82">
        <f t="shared" si="10"/>
        <v>10</v>
      </c>
      <c r="H39" s="46"/>
      <c r="I39" s="46"/>
    </row>
    <row r="40" spans="1:9" x14ac:dyDescent="0.35">
      <c r="A40" s="55" t="str">
        <f>'Formula Master'!$B$20</f>
        <v>Cashmeran IFF</v>
      </c>
      <c r="B40" s="64" t="str">
        <f>'Formula Master'!$A$20</f>
        <v>BASE</v>
      </c>
      <c r="C40" s="80">
        <f>'Formula Master'!$F$20</f>
        <v>2.5000000000000001E-2</v>
      </c>
      <c r="D40" s="23">
        <f t="shared" si="8"/>
        <v>9</v>
      </c>
      <c r="E40" s="81">
        <f>C40*IF('Formula Master'!$D$20="D10",0.1,1)</f>
        <v>2.5000000000000001E-2</v>
      </c>
      <c r="F40" s="59">
        <f t="shared" si="9"/>
        <v>360</v>
      </c>
      <c r="G40" s="82">
        <f t="shared" si="10"/>
        <v>30</v>
      </c>
      <c r="H40" s="46"/>
      <c r="I40" s="46"/>
    </row>
    <row r="41" spans="1:9" x14ac:dyDescent="0.35">
      <c r="A41" s="55" t="str">
        <f>'Formula Master'!$B$21</f>
        <v>Sandal Spicatum Australia</v>
      </c>
      <c r="B41" s="64" t="str">
        <f>'Formula Master'!$A$21</f>
        <v>BASE</v>
      </c>
      <c r="C41" s="80">
        <f>'Formula Master'!$F$21</f>
        <v>0.04</v>
      </c>
      <c r="D41" s="23">
        <f t="shared" si="8"/>
        <v>10</v>
      </c>
      <c r="E41" s="81">
        <f>C41*IF('Formula Master'!$D$21="D10",0.1,1)</f>
        <v>0.04</v>
      </c>
      <c r="F41" s="59">
        <f t="shared" si="9"/>
        <v>250</v>
      </c>
      <c r="G41" s="82">
        <f t="shared" si="10"/>
        <v>21</v>
      </c>
      <c r="H41" s="46"/>
      <c r="I41" s="46"/>
    </row>
    <row r="42" spans="1:9" x14ac:dyDescent="0.35">
      <c r="A42" s="55" t="str">
        <f>'Formula Master'!$B$22</f>
        <v>Sandalore (Givaudan)</v>
      </c>
      <c r="B42" s="64" t="str">
        <f>'Formula Master'!$A$22</f>
        <v>BASE</v>
      </c>
      <c r="C42" s="80">
        <f>'Formula Master'!$F$22</f>
        <v>0.03</v>
      </c>
      <c r="D42" s="23">
        <f t="shared" si="8"/>
        <v>9</v>
      </c>
      <c r="E42" s="81">
        <f>C42*IF('Formula Master'!$D$22="D10",0.1,1)</f>
        <v>0.03</v>
      </c>
      <c r="F42" s="59">
        <f t="shared" si="9"/>
        <v>300</v>
      </c>
      <c r="G42" s="82">
        <f t="shared" si="10"/>
        <v>25</v>
      </c>
      <c r="H42" s="46"/>
      <c r="I42" s="46"/>
    </row>
    <row r="43" spans="1:9" x14ac:dyDescent="0.35">
      <c r="A43" s="55" t="str">
        <f>'Formula Master'!$B$23</f>
        <v>Javanol</v>
      </c>
      <c r="B43" s="64" t="str">
        <f>'Formula Master'!$A$23</f>
        <v>BASE</v>
      </c>
      <c r="C43" s="80">
        <f>'Formula Master'!$F$23</f>
        <v>5.0000000000000001E-3</v>
      </c>
      <c r="D43" s="23">
        <f t="shared" si="8"/>
        <v>10</v>
      </c>
      <c r="E43" s="81">
        <f>C43*IF('Formula Master'!$D$23="D10",0.1,1)</f>
        <v>5.0000000000000001E-4</v>
      </c>
      <c r="F43" s="59">
        <f t="shared" si="9"/>
        <v>20000</v>
      </c>
      <c r="G43" s="82">
        <f t="shared" si="10"/>
        <v>1680</v>
      </c>
      <c r="H43" s="46"/>
      <c r="I43" s="46"/>
    </row>
    <row r="44" spans="1:9" x14ac:dyDescent="0.35">
      <c r="A44" s="55" t="str">
        <f>'Formula Master'!$B$24</f>
        <v>Globalide (Habanolide)</v>
      </c>
      <c r="B44" s="64" t="str">
        <f>'Formula Master'!$A$24</f>
        <v>BASE</v>
      </c>
      <c r="C44" s="80">
        <f>'Formula Master'!$F$24</f>
        <v>6.5000000000000002E-2</v>
      </c>
      <c r="D44" s="23">
        <f t="shared" si="8"/>
        <v>10</v>
      </c>
      <c r="E44" s="81">
        <f>C44*IF('Formula Master'!$D$24="D10",0.1,1)</f>
        <v>6.5000000000000002E-2</v>
      </c>
      <c r="F44" s="59">
        <f t="shared" si="9"/>
        <v>153.84615384615384</v>
      </c>
      <c r="G44" s="82">
        <f t="shared" si="10"/>
        <v>12</v>
      </c>
      <c r="H44" s="46"/>
      <c r="I44" s="46"/>
    </row>
    <row r="45" spans="1:9" x14ac:dyDescent="0.35">
      <c r="A45" s="55" t="str">
        <f>'Formula Master'!$B$25</f>
        <v>Helvetolide</v>
      </c>
      <c r="B45" s="64" t="str">
        <f>'Formula Master'!$A$25</f>
        <v>BASE</v>
      </c>
      <c r="C45" s="80">
        <f>'Formula Master'!$F$25</f>
        <v>0.05</v>
      </c>
      <c r="D45" s="23">
        <f t="shared" si="8"/>
        <v>10</v>
      </c>
      <c r="E45" s="81">
        <f>C45*IF('Formula Master'!$D$25="D10",0.1,1)</f>
        <v>0.05</v>
      </c>
      <c r="F45" s="59">
        <f t="shared" si="9"/>
        <v>200</v>
      </c>
      <c r="G45" s="82">
        <f t="shared" si="10"/>
        <v>16</v>
      </c>
      <c r="H45" s="46"/>
      <c r="I45" s="46"/>
    </row>
    <row r="46" spans="1:9" x14ac:dyDescent="0.35">
      <c r="A46" s="55" t="str">
        <f>'Formula Master'!$B$26</f>
        <v>Ambrettolide (Givaudan)</v>
      </c>
      <c r="B46" s="64" t="str">
        <f>'Formula Master'!$A$26</f>
        <v>BASE</v>
      </c>
      <c r="C46" s="80">
        <f>'Formula Master'!$F$26</f>
        <v>2.5000000000000001E-2</v>
      </c>
      <c r="D46" s="23">
        <f t="shared" si="8"/>
        <v>9</v>
      </c>
      <c r="E46" s="81">
        <f>C46*IF('Formula Master'!$D$26="D10",0.1,1)</f>
        <v>2.5000000000000001E-2</v>
      </c>
      <c r="F46" s="59">
        <f t="shared" si="9"/>
        <v>360</v>
      </c>
      <c r="G46" s="82">
        <f t="shared" si="10"/>
        <v>30</v>
      </c>
      <c r="H46" s="46"/>
      <c r="I46" s="46"/>
    </row>
    <row r="47" spans="1:9" x14ac:dyDescent="0.35">
      <c r="A47" s="55" t="str">
        <f>'Formula Master'!$B$27</f>
        <v>Ethylene Brassylate</v>
      </c>
      <c r="B47" s="64" t="str">
        <f>'Formula Master'!$A$27</f>
        <v>BASE</v>
      </c>
      <c r="C47" s="80">
        <f>'Formula Master'!$F$27</f>
        <v>3.5000000000000003E-2</v>
      </c>
      <c r="D47" s="23">
        <f t="shared" si="8"/>
        <v>9</v>
      </c>
      <c r="E47" s="81">
        <f>C47*IF('Formula Master'!$D$27="D10",0.1,1)</f>
        <v>3.5000000000000003E-2</v>
      </c>
      <c r="F47" s="59">
        <f t="shared" si="9"/>
        <v>257.14285714285711</v>
      </c>
      <c r="G47" s="82">
        <f t="shared" si="10"/>
        <v>21</v>
      </c>
      <c r="H47" s="46"/>
      <c r="I47" s="46"/>
    </row>
    <row r="48" spans="1:9" x14ac:dyDescent="0.35">
      <c r="A48" s="55" t="str">
        <f>'Formula Master'!$B$28</f>
        <v>Exaltolide Total (Firmenich)</v>
      </c>
      <c r="B48" s="64" t="str">
        <f>'Formula Master'!$A$28</f>
        <v>BASE</v>
      </c>
      <c r="C48" s="80">
        <f>'Formula Master'!$F$28</f>
        <v>0.02</v>
      </c>
      <c r="D48" s="23">
        <f t="shared" si="8"/>
        <v>9</v>
      </c>
      <c r="E48" s="81">
        <f>C48*IF('Formula Master'!$D$28="D10",0.1,1)</f>
        <v>0.02</v>
      </c>
      <c r="F48" s="59">
        <f t="shared" si="9"/>
        <v>450</v>
      </c>
      <c r="G48" s="82">
        <f t="shared" si="10"/>
        <v>37</v>
      </c>
      <c r="H48" s="46"/>
      <c r="I48" s="46"/>
    </row>
    <row r="49" spans="1:9" x14ac:dyDescent="0.35">
      <c r="A49" s="55" t="str">
        <f>'Formula Master'!$B$29</f>
        <v>Cedarwood Virginia</v>
      </c>
      <c r="B49" s="64" t="str">
        <f>'Formula Master'!$A$29</f>
        <v>BASE</v>
      </c>
      <c r="C49" s="80">
        <f>'Formula Master'!$F$29</f>
        <v>0.02</v>
      </c>
      <c r="D49" s="23">
        <f t="shared" si="8"/>
        <v>10</v>
      </c>
      <c r="E49" s="81">
        <f>C49*IF('Formula Master'!$D$29="D10",0.1,1)</f>
        <v>0.02</v>
      </c>
      <c r="F49" s="59">
        <f t="shared" si="9"/>
        <v>500</v>
      </c>
      <c r="G49" s="82">
        <f t="shared" si="10"/>
        <v>42</v>
      </c>
      <c r="H49" s="46"/>
      <c r="I49" s="46"/>
    </row>
    <row r="50" spans="1:9" x14ac:dyDescent="0.35">
      <c r="A50" s="55" t="str">
        <f>'Formula Master'!$B$30</f>
        <v>Vetyveryle Acetate</v>
      </c>
      <c r="B50" s="64" t="str">
        <f>'Formula Master'!$A$30</f>
        <v>BASE</v>
      </c>
      <c r="C50" s="80">
        <f>'Formula Master'!$F$30</f>
        <v>5.0000000000000001E-3</v>
      </c>
      <c r="D50" s="23">
        <f t="shared" si="8"/>
        <v>10</v>
      </c>
      <c r="E50" s="81">
        <f>C50*IF('Formula Master'!$D$30="D10",0.1,1)</f>
        <v>5.0000000000000001E-3</v>
      </c>
      <c r="F50" s="59">
        <f t="shared" si="9"/>
        <v>2000</v>
      </c>
      <c r="G50" s="82">
        <f t="shared" si="10"/>
        <v>168</v>
      </c>
      <c r="H50" s="46"/>
      <c r="I50" s="46"/>
    </row>
    <row r="51" spans="1:9" x14ac:dyDescent="0.35">
      <c r="A51" s="55" t="str">
        <f>'Formula Master'!$B$31</f>
        <v>Safraleine</v>
      </c>
      <c r="B51" s="64" t="str">
        <f>'Formula Master'!$A$31</f>
        <v>BASE</v>
      </c>
      <c r="C51" s="80">
        <f>'Formula Master'!$F$31</f>
        <v>0.01</v>
      </c>
      <c r="D51" s="23">
        <f t="shared" si="8"/>
        <v>10</v>
      </c>
      <c r="E51" s="81">
        <f>C51*IF('Formula Master'!$D$31="D10",0.1,1)</f>
        <v>1E-3</v>
      </c>
      <c r="F51" s="59">
        <f t="shared" si="9"/>
        <v>10000</v>
      </c>
      <c r="G51" s="82">
        <f t="shared" si="10"/>
        <v>840</v>
      </c>
      <c r="H51" s="46"/>
      <c r="I51" s="46"/>
    </row>
    <row r="52" spans="1:9" x14ac:dyDescent="0.35">
      <c r="A52" s="56" t="s">
        <v>218</v>
      </c>
      <c r="B52" s="64" t="s">
        <v>307</v>
      </c>
      <c r="C52" s="80">
        <f>D10ActivePct</f>
        <v>3.5000000000000003E-2</v>
      </c>
      <c r="D52" s="23">
        <f>YC_DPGOnHand</f>
        <v>500</v>
      </c>
      <c r="E52" s="81">
        <f>D10ActivePct*0.9</f>
        <v>3.1500000000000007E-2</v>
      </c>
      <c r="F52" s="59">
        <f t="shared" si="9"/>
        <v>15873.015873015869</v>
      </c>
      <c r="G52" s="82">
        <f t="shared" si="10"/>
        <v>1333</v>
      </c>
      <c r="H52" s="46"/>
      <c r="I52" s="46"/>
    </row>
  </sheetData>
  <sheetProtection sheet="1" formatCells="0" formatColumns="0" formatRows="0"/>
  <mergeCells count="18">
    <mergeCell ref="A1:I1"/>
    <mergeCell ref="D7:I7"/>
    <mergeCell ref="A9:I9"/>
    <mergeCell ref="A3:I3"/>
    <mergeCell ref="G26:I26"/>
    <mergeCell ref="D6:I6"/>
    <mergeCell ref="A6:B6"/>
    <mergeCell ref="A24:I24"/>
    <mergeCell ref="A4:B4"/>
    <mergeCell ref="A2:I2"/>
    <mergeCell ref="A22:I22"/>
    <mergeCell ref="A7:B7"/>
    <mergeCell ref="D4:I4"/>
    <mergeCell ref="D5:I5"/>
    <mergeCell ref="A13:I13"/>
    <mergeCell ref="A14:I14"/>
    <mergeCell ref="F11:I11"/>
    <mergeCell ref="A5:B5"/>
  </mergeCells>
  <conditionalFormatting sqref="A16:I21">
    <cfRule type="expression" dxfId="1" priority="1">
      <formula>$F16=0</formula>
    </cfRule>
  </conditionalFormatting>
  <conditionalFormatting sqref="A27:I52">
    <cfRule type="expression" dxfId="0" priority="2">
      <formula>AND($F27&lt;&gt;"",$F27=$B$11)</formula>
    </cfRule>
  </conditionalFormatting>
  <dataValidations count="4">
    <dataValidation type="decimal" error="Enter a fraction between 2% and 35%, e.g. 0.28" sqref="C4" xr:uid="{00000000-0002-0000-0800-000000000000}">
      <formula1>0.02</formula1>
      <formula2>0.35</formula2>
    </dataValidation>
    <dataValidation type="decimal" sqref="C5" xr:uid="{00000000-0002-0000-0800-000001000000}">
      <formula1>0.5</formula1>
      <formula2>1.2</formula2>
    </dataValidation>
    <dataValidation type="decimal" sqref="C6" xr:uid="{00000000-0002-0000-0800-000002000000}">
      <formula1>0</formula1>
      <formula2>0.3</formula2>
    </dataValidation>
    <dataValidation type="list" sqref="C7" xr:uid="{00000000-0002-0000-0800-000003000000}">
      <formula1>"On hand,Purchased"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5" t="s">
        <v>308</v>
      </c>
      <c r="B1" s="90"/>
      <c r="C1" s="90"/>
      <c r="D1" s="90"/>
      <c r="E1" s="90"/>
      <c r="F1" s="90"/>
      <c r="G1" s="90"/>
      <c r="H1" s="90"/>
      <c r="I1" s="90"/>
    </row>
    <row r="2" spans="1:9" x14ac:dyDescent="0.35">
      <c r="A2" s="102" t="s">
        <v>309</v>
      </c>
      <c r="B2" s="103"/>
      <c r="C2" s="103"/>
      <c r="D2" s="103"/>
      <c r="E2" s="103"/>
      <c r="F2" s="103"/>
      <c r="G2" s="103"/>
      <c r="H2" s="103"/>
      <c r="I2" s="103"/>
    </row>
    <row r="3" spans="1:9" ht="18" customHeight="1" x14ac:dyDescent="0.35">
      <c r="A3" s="93" t="s">
        <v>310</v>
      </c>
      <c r="B3" s="94"/>
      <c r="C3" s="94"/>
      <c r="D3" s="94"/>
      <c r="E3" s="94"/>
      <c r="F3" s="94"/>
      <c r="G3" s="94"/>
      <c r="H3" s="94"/>
      <c r="I3" s="94"/>
    </row>
    <row r="4" spans="1:9" x14ac:dyDescent="0.35">
      <c r="A4" s="101" t="s">
        <v>114</v>
      </c>
      <c r="B4" s="90"/>
      <c r="C4" s="19">
        <v>0.28000000000000003</v>
      </c>
      <c r="D4" s="95" t="s">
        <v>311</v>
      </c>
      <c r="E4" s="90"/>
      <c r="F4" s="90"/>
      <c r="G4" s="90"/>
      <c r="H4" s="90"/>
      <c r="I4" s="90"/>
    </row>
    <row r="5" spans="1:9" x14ac:dyDescent="0.35">
      <c r="A5" s="101" t="s">
        <v>115</v>
      </c>
      <c r="B5" s="90"/>
      <c r="C5" s="42">
        <v>0.85</v>
      </c>
      <c r="D5" s="95" t="s">
        <v>312</v>
      </c>
      <c r="E5" s="90"/>
      <c r="F5" s="90"/>
      <c r="G5" s="90"/>
      <c r="H5" s="90"/>
      <c r="I5" s="90"/>
    </row>
    <row r="6" spans="1:9" x14ac:dyDescent="0.35">
      <c r="A6" s="101" t="s">
        <v>313</v>
      </c>
      <c r="B6" s="90"/>
      <c r="C6" s="41">
        <v>0</v>
      </c>
      <c r="D6" s="95" t="s">
        <v>314</v>
      </c>
      <c r="E6" s="90"/>
      <c r="F6" s="90"/>
      <c r="G6" s="90"/>
      <c r="H6" s="90"/>
      <c r="I6" s="90"/>
    </row>
    <row r="7" spans="1:9" x14ac:dyDescent="0.35">
      <c r="A7" s="101" t="s">
        <v>315</v>
      </c>
      <c r="B7" s="90"/>
      <c r="C7" s="83">
        <v>3</v>
      </c>
      <c r="D7" s="95" t="s">
        <v>316</v>
      </c>
      <c r="E7" s="90"/>
      <c r="F7" s="90"/>
      <c r="G7" s="90"/>
      <c r="H7" s="90"/>
      <c r="I7" s="90"/>
    </row>
    <row r="8" spans="1:9" x14ac:dyDescent="0.35">
      <c r="A8" s="101" t="s">
        <v>317</v>
      </c>
      <c r="B8" s="90"/>
      <c r="C8" s="19">
        <v>0.15</v>
      </c>
      <c r="D8" s="95" t="s">
        <v>318</v>
      </c>
      <c r="E8" s="90"/>
      <c r="F8" s="90"/>
      <c r="G8" s="90"/>
      <c r="H8" s="90"/>
      <c r="I8" s="90"/>
    </row>
    <row r="10" spans="1:9" ht="18" customHeight="1" x14ac:dyDescent="0.35">
      <c r="A10" s="93" t="s">
        <v>319</v>
      </c>
      <c r="B10" s="94"/>
      <c r="C10" s="94"/>
      <c r="D10" s="94"/>
      <c r="E10" s="94"/>
      <c r="F10" s="94"/>
      <c r="G10" s="94"/>
      <c r="H10" s="94"/>
      <c r="I10" s="94"/>
    </row>
    <row r="11" spans="1:9" ht="24" customHeight="1" x14ac:dyDescent="0.35">
      <c r="A11" s="16" t="s">
        <v>293</v>
      </c>
      <c r="B11" s="16" t="s">
        <v>320</v>
      </c>
      <c r="C11" s="16" t="s">
        <v>321</v>
      </c>
      <c r="D11" s="16" t="s">
        <v>322</v>
      </c>
      <c r="E11" s="16" t="s">
        <v>323</v>
      </c>
      <c r="F11" s="16" t="s">
        <v>324</v>
      </c>
      <c r="G11" s="16" t="s">
        <v>325</v>
      </c>
      <c r="H11" s="16" t="s">
        <v>326</v>
      </c>
      <c r="I11" s="16" t="s">
        <v>327</v>
      </c>
    </row>
    <row r="12" spans="1:9" ht="18" x14ac:dyDescent="0.35">
      <c r="A12" s="78">
        <v>30</v>
      </c>
      <c r="B12" s="23">
        <f>$A12*PR_Density*PR_ConcPct*ConcCostPerGLoaded+$A12*PR_Density*(1-PR_ConcPct)*AlcCostPerG</f>
        <v>41.75194383699835</v>
      </c>
      <c r="C12" s="41">
        <v>30</v>
      </c>
      <c r="D12" s="23">
        <f>PR_Labour</f>
        <v>0</v>
      </c>
      <c r="E12" s="52">
        <f>B12+C12+D12</f>
        <v>71.75194383699835</v>
      </c>
      <c r="F12" s="3">
        <f>E12*PR_Mult</f>
        <v>215.25583151099505</v>
      </c>
      <c r="G12" s="23">
        <f>F12*(1+PR_Vat)</f>
        <v>247.54420623764429</v>
      </c>
      <c r="H12" s="23">
        <f>F12-E12</f>
        <v>143.5038876739967</v>
      </c>
      <c r="I12" s="84">
        <f>IF(F12=0,"",(F12-E12)/F12)</f>
        <v>0.66666666666666663</v>
      </c>
    </row>
    <row r="13" spans="1:9" ht="18" x14ac:dyDescent="0.35">
      <c r="A13" s="78">
        <v>50</v>
      </c>
      <c r="B13" s="23">
        <f>$A13*PR_Density*PR_ConcPct*ConcCostPerGLoaded+$A13*PR_Density*(1-PR_ConcPct)*AlcCostPerG</f>
        <v>69.586573061663927</v>
      </c>
      <c r="C13" s="41">
        <v>40</v>
      </c>
      <c r="D13" s="23">
        <f>PR_Labour</f>
        <v>0</v>
      </c>
      <c r="E13" s="52">
        <f>B13+C13+D13</f>
        <v>109.58657306166393</v>
      </c>
      <c r="F13" s="3">
        <f>E13*PR_Mult</f>
        <v>328.75971918499181</v>
      </c>
      <c r="G13" s="23">
        <f>F13*(1+PR_Vat)</f>
        <v>378.07367706274056</v>
      </c>
      <c r="H13" s="23">
        <f>F13-E13</f>
        <v>219.17314612332788</v>
      </c>
      <c r="I13" s="84">
        <f>IF(F13=0,"",(F13-E13)/F13)</f>
        <v>0.66666666666666674</v>
      </c>
    </row>
    <row r="14" spans="1:9" ht="18" x14ac:dyDescent="0.35">
      <c r="A14" s="78">
        <v>100</v>
      </c>
      <c r="B14" s="23">
        <f>$A14*PR_Density*PR_ConcPct*ConcCostPerGLoaded+$A14*PR_Density*(1-PR_ConcPct)*AlcCostPerG</f>
        <v>139.17314612332785</v>
      </c>
      <c r="C14" s="41">
        <v>55</v>
      </c>
      <c r="D14" s="23">
        <f>PR_Labour</f>
        <v>0</v>
      </c>
      <c r="E14" s="52">
        <f>B14+C14+D14</f>
        <v>194.17314612332785</v>
      </c>
      <c r="F14" s="3">
        <f>E14*PR_Mult</f>
        <v>582.51943836998362</v>
      </c>
      <c r="G14" s="23">
        <f>F14*(1+PR_Vat)</f>
        <v>669.89735412548112</v>
      </c>
      <c r="H14" s="23">
        <f>F14-E14</f>
        <v>388.34629224665576</v>
      </c>
      <c r="I14" s="84">
        <f>IF(F14=0,"",(F14-E14)/F14)</f>
        <v>0.66666666666666674</v>
      </c>
    </row>
    <row r="16" spans="1:9" ht="18" customHeight="1" x14ac:dyDescent="0.35">
      <c r="A16" s="93" t="s">
        <v>328</v>
      </c>
      <c r="B16" s="94"/>
      <c r="C16" s="94"/>
      <c r="D16" s="94"/>
      <c r="E16" s="94"/>
      <c r="F16" s="94"/>
      <c r="G16" s="94"/>
      <c r="H16" s="94"/>
      <c r="I16" s="94"/>
    </row>
    <row r="17" spans="1:9" ht="24" customHeight="1" x14ac:dyDescent="0.35">
      <c r="A17" s="16" t="s">
        <v>329</v>
      </c>
      <c r="B17" s="16" t="s">
        <v>330</v>
      </c>
      <c r="C17" s="16" t="s">
        <v>331</v>
      </c>
      <c r="D17" s="16" t="s">
        <v>332</v>
      </c>
      <c r="E17" s="16" t="s">
        <v>333</v>
      </c>
      <c r="F17" s="124" t="s">
        <v>334</v>
      </c>
      <c r="G17" s="111"/>
      <c r="H17" s="111"/>
      <c r="I17" s="112"/>
    </row>
    <row r="18" spans="1:9" x14ac:dyDescent="0.35">
      <c r="A18" s="85" t="s">
        <v>335</v>
      </c>
      <c r="B18" s="23">
        <f>$E$13*2</f>
        <v>219.17314612332785</v>
      </c>
      <c r="C18" s="23">
        <f>$E$13*2.5</f>
        <v>273.9664326541598</v>
      </c>
      <c r="D18" s="23">
        <f>$E$13*3</f>
        <v>328.75971918499181</v>
      </c>
      <c r="E18" s="23">
        <f>$E$13*4</f>
        <v>438.34629224665571</v>
      </c>
      <c r="F18" s="107" t="str">
        <f>"Your total cost for a 50 ml = "&amp;TEXT($E$13,"0.00")&amp;" SAR"</f>
        <v>Your total cost for a 50 ml = 109.59 SAR</v>
      </c>
      <c r="G18" s="90"/>
      <c r="H18" s="90"/>
      <c r="I18" s="90"/>
    </row>
    <row r="20" spans="1:9" ht="18" customHeight="1" x14ac:dyDescent="0.35">
      <c r="A20" s="93" t="s">
        <v>336</v>
      </c>
      <c r="B20" s="94"/>
      <c r="C20" s="94"/>
      <c r="D20" s="94"/>
      <c r="E20" s="94"/>
      <c r="F20" s="94"/>
      <c r="G20" s="94"/>
      <c r="H20" s="94"/>
      <c r="I20" s="94"/>
    </row>
    <row r="21" spans="1:9" x14ac:dyDescent="0.35">
      <c r="A21" s="91" t="s">
        <v>337</v>
      </c>
      <c r="B21" s="90"/>
      <c r="C21" s="63">
        <v>4</v>
      </c>
      <c r="D21" s="95" t="s">
        <v>338</v>
      </c>
      <c r="E21" s="90"/>
      <c r="F21" s="90"/>
      <c r="G21" s="90"/>
      <c r="H21" s="90"/>
      <c r="I21" s="90"/>
    </row>
    <row r="22" spans="1:9" x14ac:dyDescent="0.35">
      <c r="A22" s="91" t="s">
        <v>339</v>
      </c>
      <c r="B22" s="90"/>
      <c r="C22" s="45">
        <f>PR_NSell*$F$13</f>
        <v>1315.0388767399672</v>
      </c>
      <c r="D22" s="95" t="s">
        <v>340</v>
      </c>
      <c r="E22" s="90"/>
      <c r="F22" s="90"/>
      <c r="G22" s="90"/>
      <c r="H22" s="90"/>
      <c r="I22" s="90"/>
    </row>
    <row r="23" spans="1:9" x14ac:dyDescent="0.35">
      <c r="A23" s="91" t="s">
        <v>341</v>
      </c>
      <c r="B23" s="90"/>
      <c r="C23" s="45">
        <f>PR_NSell*$E$13</f>
        <v>438.34629224665571</v>
      </c>
      <c r="D23" s="95" t="s">
        <v>342</v>
      </c>
      <c r="E23" s="90"/>
      <c r="F23" s="90"/>
      <c r="G23" s="90"/>
      <c r="H23" s="90"/>
      <c r="I23" s="90"/>
    </row>
    <row r="24" spans="1:9" x14ac:dyDescent="0.35">
      <c r="A24" s="101" t="s">
        <v>343</v>
      </c>
      <c r="B24" s="90"/>
      <c r="C24" s="45">
        <f>PR_NSell*($F$13-$E$13)</f>
        <v>876.69258449331153</v>
      </c>
      <c r="D24" s="95" t="s">
        <v>344</v>
      </c>
      <c r="E24" s="90"/>
      <c r="F24" s="90"/>
      <c r="G24" s="90"/>
      <c r="H24" s="90"/>
      <c r="I24" s="90"/>
    </row>
    <row r="25" spans="1:9" x14ac:dyDescent="0.35">
      <c r="A25" s="91" t="s">
        <v>345</v>
      </c>
      <c r="B25" s="90"/>
      <c r="C25" s="45">
        <f>$E$13</f>
        <v>109.58657306166393</v>
      </c>
      <c r="D25" s="95" t="s">
        <v>346</v>
      </c>
      <c r="E25" s="90"/>
      <c r="F25" s="90"/>
      <c r="G25" s="90"/>
      <c r="H25" s="90"/>
      <c r="I25" s="90"/>
    </row>
    <row r="27" spans="1:9" ht="18" customHeight="1" x14ac:dyDescent="0.35">
      <c r="A27" s="125" t="s">
        <v>347</v>
      </c>
      <c r="B27" s="126"/>
      <c r="C27" s="126"/>
      <c r="D27" s="126"/>
      <c r="E27" s="126"/>
      <c r="F27" s="126"/>
      <c r="G27" s="126"/>
      <c r="H27" s="126"/>
      <c r="I27" s="126"/>
    </row>
    <row r="28" spans="1:9" ht="28" customHeight="1" x14ac:dyDescent="0.35">
      <c r="A28" s="104" t="s">
        <v>348</v>
      </c>
      <c r="B28" s="90"/>
      <c r="C28" s="90"/>
      <c r="D28" s="90"/>
      <c r="E28" s="90"/>
      <c r="F28" s="90"/>
      <c r="G28" s="90"/>
      <c r="H28" s="90"/>
      <c r="I28" s="90"/>
    </row>
    <row r="29" spans="1:9" ht="28" customHeight="1" x14ac:dyDescent="0.35">
      <c r="A29" s="104" t="s">
        <v>349</v>
      </c>
      <c r="B29" s="90"/>
      <c r="C29" s="90"/>
      <c r="D29" s="90"/>
      <c r="E29" s="90"/>
      <c r="F29" s="90"/>
      <c r="G29" s="90"/>
      <c r="H29" s="90"/>
      <c r="I29" s="90"/>
    </row>
    <row r="30" spans="1:9" ht="28" customHeight="1" x14ac:dyDescent="0.35">
      <c r="A30" s="104" t="s">
        <v>350</v>
      </c>
      <c r="B30" s="90"/>
      <c r="C30" s="90"/>
      <c r="D30" s="90"/>
      <c r="E30" s="90"/>
      <c r="F30" s="90"/>
      <c r="G30" s="90"/>
      <c r="H30" s="90"/>
      <c r="I30" s="90"/>
    </row>
    <row r="31" spans="1:9" ht="28" customHeight="1" x14ac:dyDescent="0.35">
      <c r="A31" s="104" t="s">
        <v>351</v>
      </c>
      <c r="B31" s="90"/>
      <c r="C31" s="90"/>
      <c r="D31" s="90"/>
      <c r="E31" s="90"/>
      <c r="F31" s="90"/>
      <c r="G31" s="90"/>
      <c r="H31" s="90"/>
      <c r="I31" s="90"/>
    </row>
    <row r="32" spans="1:9" ht="28" customHeight="1" x14ac:dyDescent="0.35">
      <c r="A32" s="104" t="s">
        <v>352</v>
      </c>
      <c r="B32" s="90"/>
      <c r="C32" s="90"/>
      <c r="D32" s="90"/>
      <c r="E32" s="90"/>
      <c r="F32" s="90"/>
      <c r="G32" s="90"/>
      <c r="H32" s="90"/>
      <c r="I32" s="90"/>
    </row>
    <row r="33" spans="1:9" ht="28" customHeight="1" x14ac:dyDescent="0.35">
      <c r="A33" s="104" t="s">
        <v>353</v>
      </c>
      <c r="B33" s="90"/>
      <c r="C33" s="90"/>
      <c r="D33" s="90"/>
      <c r="E33" s="90"/>
      <c r="F33" s="90"/>
      <c r="G33" s="90"/>
      <c r="H33" s="90"/>
      <c r="I33" s="90"/>
    </row>
  </sheetData>
  <sheetProtection sheet="1" formatCells="0" formatColumns="0" formatRows="0"/>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900-000000000000}">
      <formula1>0.02</formula1>
      <formula2>0.35</formula2>
    </dataValidation>
    <dataValidation type="decimal" sqref="C5" xr:uid="{00000000-0002-0000-0900-000001000000}">
      <formula1>0.5</formula1>
      <formula2>1.2</formula2>
    </dataValidation>
    <dataValidation type="decimal" sqref="C6 C12:C14" xr:uid="{00000000-0002-0000-0900-000002000000}">
      <formula1>0</formula1>
      <formula2>100000</formula2>
    </dataValidation>
    <dataValidation type="decimal" sqref="C7" xr:uid="{00000000-0002-0000-0900-000003000000}">
      <formula1>1</formula1>
      <formula2>20</formula2>
    </dataValidation>
    <dataValidation type="decimal" sqref="C8" xr:uid="{00000000-0002-0000-0900-000004000000}">
      <formula1>0</formula1>
      <formula2>0.3</formula2>
    </dataValidation>
    <dataValidation type="whole" sqref="C21" xr:uid="{00000000-0002-0000-0900-000005000000}">
      <formula1>0</formula1>
      <formula2>100000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5" t="s">
        <v>354</v>
      </c>
      <c r="B1" s="90"/>
      <c r="C1" s="90"/>
      <c r="D1" s="90"/>
      <c r="E1" s="90"/>
      <c r="F1" s="90"/>
      <c r="G1" s="90"/>
      <c r="H1" s="90"/>
      <c r="I1" s="90"/>
    </row>
    <row r="2" spans="1:9" x14ac:dyDescent="0.35">
      <c r="A2" s="102" t="s">
        <v>355</v>
      </c>
      <c r="B2" s="103"/>
      <c r="C2" s="103"/>
      <c r="D2" s="103"/>
      <c r="E2" s="103"/>
      <c r="F2" s="103"/>
      <c r="G2" s="103"/>
      <c r="H2" s="103"/>
      <c r="I2" s="103"/>
    </row>
    <row r="4" spans="1:9" ht="18" customHeight="1" x14ac:dyDescent="0.35">
      <c r="A4" s="93" t="s">
        <v>356</v>
      </c>
      <c r="B4" s="94"/>
      <c r="C4" s="94"/>
      <c r="D4" s="94"/>
      <c r="E4" s="94"/>
      <c r="F4" s="94"/>
      <c r="G4" s="94"/>
      <c r="H4" s="94"/>
      <c r="I4" s="94"/>
    </row>
    <row r="5" spans="1:9" ht="16" customHeight="1" x14ac:dyDescent="0.35">
      <c r="B5" s="127" t="s">
        <v>357</v>
      </c>
      <c r="C5" s="90"/>
      <c r="D5" s="90"/>
      <c r="E5" s="90"/>
      <c r="F5" s="90"/>
      <c r="G5" s="90"/>
      <c r="H5" s="90"/>
      <c r="I5" s="90"/>
    </row>
    <row r="6" spans="1:9" ht="28" customHeight="1" x14ac:dyDescent="0.35">
      <c r="B6" s="127" t="s">
        <v>358</v>
      </c>
      <c r="C6" s="90"/>
      <c r="D6" s="90"/>
      <c r="E6" s="90"/>
      <c r="F6" s="90"/>
      <c r="G6" s="90"/>
      <c r="H6" s="90"/>
      <c r="I6" s="90"/>
    </row>
    <row r="7" spans="1:9" ht="16" customHeight="1" x14ac:dyDescent="0.35">
      <c r="B7" s="127" t="s">
        <v>359</v>
      </c>
      <c r="C7" s="90"/>
      <c r="D7" s="90"/>
      <c r="E7" s="90"/>
      <c r="F7" s="90"/>
      <c r="G7" s="90"/>
      <c r="H7" s="90"/>
      <c r="I7" s="90"/>
    </row>
    <row r="9" spans="1:9" ht="18" customHeight="1" x14ac:dyDescent="0.35">
      <c r="A9" s="93" t="s">
        <v>360</v>
      </c>
      <c r="B9" s="94"/>
      <c r="C9" s="94"/>
      <c r="D9" s="94"/>
      <c r="E9" s="94"/>
      <c r="F9" s="94"/>
      <c r="G9" s="94"/>
      <c r="H9" s="94"/>
      <c r="I9" s="94"/>
    </row>
    <row r="10" spans="1:9" ht="56" customHeight="1" x14ac:dyDescent="0.35">
      <c r="B10" s="127" t="s">
        <v>361</v>
      </c>
      <c r="C10" s="90"/>
      <c r="D10" s="90"/>
      <c r="E10" s="90"/>
      <c r="F10" s="90"/>
      <c r="G10" s="90"/>
      <c r="H10" s="90"/>
      <c r="I10" s="90"/>
    </row>
    <row r="11" spans="1:9" ht="42" customHeight="1" x14ac:dyDescent="0.35">
      <c r="B11" s="127" t="s">
        <v>362</v>
      </c>
      <c r="C11" s="90"/>
      <c r="D11" s="90"/>
      <c r="E11" s="90"/>
      <c r="F11" s="90"/>
      <c r="G11" s="90"/>
      <c r="H11" s="90"/>
      <c r="I11" s="90"/>
    </row>
    <row r="12" spans="1:9" ht="28" customHeight="1" x14ac:dyDescent="0.35">
      <c r="B12" s="127" t="s">
        <v>363</v>
      </c>
      <c r="C12" s="90"/>
      <c r="D12" s="90"/>
      <c r="E12" s="90"/>
      <c r="F12" s="90"/>
      <c r="G12" s="90"/>
      <c r="H12" s="90"/>
      <c r="I12" s="90"/>
    </row>
    <row r="13" spans="1:9" ht="42" customHeight="1" x14ac:dyDescent="0.35">
      <c r="B13" s="127" t="s">
        <v>364</v>
      </c>
      <c r="C13" s="90"/>
      <c r="D13" s="90"/>
      <c r="E13" s="90"/>
      <c r="F13" s="90"/>
      <c r="G13" s="90"/>
      <c r="H13" s="90"/>
      <c r="I13" s="90"/>
    </row>
    <row r="14" spans="1:9" ht="28" customHeight="1" x14ac:dyDescent="0.35">
      <c r="B14" s="127" t="s">
        <v>365</v>
      </c>
      <c r="C14" s="90"/>
      <c r="D14" s="90"/>
      <c r="E14" s="90"/>
      <c r="F14" s="90"/>
      <c r="G14" s="90"/>
      <c r="H14" s="90"/>
      <c r="I14" s="90"/>
    </row>
    <row r="15" spans="1:9" ht="28" customHeight="1" x14ac:dyDescent="0.35">
      <c r="B15" s="127" t="s">
        <v>366</v>
      </c>
      <c r="C15" s="90"/>
      <c r="D15" s="90"/>
      <c r="E15" s="90"/>
      <c r="F15" s="90"/>
      <c r="G15" s="90"/>
      <c r="H15" s="90"/>
      <c r="I15" s="90"/>
    </row>
    <row r="16" spans="1:9" ht="42" customHeight="1" x14ac:dyDescent="0.35">
      <c r="B16" s="127" t="s">
        <v>367</v>
      </c>
      <c r="C16" s="90"/>
      <c r="D16" s="90"/>
      <c r="E16" s="90"/>
      <c r="F16" s="90"/>
      <c r="G16" s="90"/>
      <c r="H16" s="90"/>
      <c r="I16" s="90"/>
    </row>
    <row r="17" spans="1:9" ht="16" customHeight="1" x14ac:dyDescent="0.35">
      <c r="B17" s="127" t="s">
        <v>368</v>
      </c>
      <c r="C17" s="90"/>
      <c r="D17" s="90"/>
      <c r="E17" s="90"/>
      <c r="F17" s="90"/>
      <c r="G17" s="90"/>
      <c r="H17" s="90"/>
      <c r="I17" s="90"/>
    </row>
    <row r="18" spans="1:9" ht="16" customHeight="1" x14ac:dyDescent="0.35">
      <c r="B18" s="127" t="s">
        <v>369</v>
      </c>
      <c r="C18" s="90"/>
      <c r="D18" s="90"/>
      <c r="E18" s="90"/>
      <c r="F18" s="90"/>
      <c r="G18" s="90"/>
      <c r="H18" s="90"/>
      <c r="I18" s="90"/>
    </row>
    <row r="19" spans="1:9" ht="42" customHeight="1" x14ac:dyDescent="0.35">
      <c r="B19" s="127" t="s">
        <v>370</v>
      </c>
      <c r="C19" s="90"/>
      <c r="D19" s="90"/>
      <c r="E19" s="90"/>
      <c r="F19" s="90"/>
      <c r="G19" s="90"/>
      <c r="H19" s="90"/>
      <c r="I19" s="90"/>
    </row>
    <row r="20" spans="1:9" ht="28" customHeight="1" x14ac:dyDescent="0.35">
      <c r="B20" s="127" t="s">
        <v>371</v>
      </c>
      <c r="C20" s="90"/>
      <c r="D20" s="90"/>
      <c r="E20" s="90"/>
      <c r="F20" s="90"/>
      <c r="G20" s="90"/>
      <c r="H20" s="90"/>
      <c r="I20" s="90"/>
    </row>
    <row r="22" spans="1:9" ht="18" customHeight="1" x14ac:dyDescent="0.35">
      <c r="A22" s="93" t="s">
        <v>372</v>
      </c>
      <c r="B22" s="94"/>
      <c r="C22" s="94"/>
      <c r="D22" s="94"/>
      <c r="E22" s="94"/>
      <c r="F22" s="94"/>
      <c r="G22" s="94"/>
      <c r="H22" s="94"/>
      <c r="I22" s="94"/>
    </row>
    <row r="23" spans="1:9" ht="28" customHeight="1" x14ac:dyDescent="0.35">
      <c r="B23" s="127" t="s">
        <v>373</v>
      </c>
      <c r="C23" s="90"/>
      <c r="D23" s="90"/>
      <c r="E23" s="90"/>
      <c r="F23" s="90"/>
      <c r="G23" s="90"/>
      <c r="H23" s="90"/>
      <c r="I23" s="90"/>
    </row>
    <row r="24" spans="1:9" ht="16" customHeight="1" x14ac:dyDescent="0.35">
      <c r="B24" s="127" t="s">
        <v>374</v>
      </c>
      <c r="C24" s="90"/>
      <c r="D24" s="90"/>
      <c r="E24" s="90"/>
      <c r="F24" s="90"/>
      <c r="G24" s="90"/>
      <c r="H24" s="90"/>
      <c r="I24" s="90"/>
    </row>
    <row r="26" spans="1:9" ht="18" customHeight="1" x14ac:dyDescent="0.35">
      <c r="A26" s="93" t="s">
        <v>375</v>
      </c>
      <c r="B26" s="94"/>
      <c r="C26" s="94"/>
      <c r="D26" s="94"/>
      <c r="E26" s="94"/>
      <c r="F26" s="94"/>
      <c r="G26" s="94"/>
      <c r="H26" s="94"/>
      <c r="I26" s="94"/>
    </row>
    <row r="27" spans="1:9" ht="16" customHeight="1" x14ac:dyDescent="0.35">
      <c r="B27" s="127" t="s">
        <v>376</v>
      </c>
      <c r="C27" s="90"/>
      <c r="D27" s="90"/>
      <c r="E27" s="90"/>
      <c r="F27" s="90"/>
      <c r="G27" s="90"/>
      <c r="H27" s="90"/>
      <c r="I27" s="90"/>
    </row>
    <row r="28" spans="1:9" ht="16" customHeight="1" x14ac:dyDescent="0.35">
      <c r="B28" s="127" t="s">
        <v>377</v>
      </c>
      <c r="C28" s="90"/>
      <c r="D28" s="90"/>
      <c r="E28" s="90"/>
      <c r="F28" s="90"/>
      <c r="G28" s="90"/>
      <c r="H28" s="90"/>
      <c r="I28" s="90"/>
    </row>
    <row r="29" spans="1:9" ht="16" customHeight="1" x14ac:dyDescent="0.35">
      <c r="B29" s="127" t="s">
        <v>378</v>
      </c>
      <c r="C29" s="90"/>
      <c r="D29" s="90"/>
      <c r="E29" s="90"/>
      <c r="F29" s="90"/>
      <c r="G29" s="90"/>
      <c r="H29" s="90"/>
      <c r="I29" s="90"/>
    </row>
    <row r="30" spans="1:9" ht="16" customHeight="1" x14ac:dyDescent="0.35">
      <c r="B30" s="127" t="s">
        <v>379</v>
      </c>
      <c r="C30" s="90"/>
      <c r="D30" s="90"/>
      <c r="E30" s="90"/>
      <c r="F30" s="90"/>
      <c r="G30" s="90"/>
      <c r="H30" s="90"/>
      <c r="I30" s="90"/>
    </row>
    <row r="31" spans="1:9" ht="28" customHeight="1" x14ac:dyDescent="0.35">
      <c r="B31" s="127" t="s">
        <v>380</v>
      </c>
      <c r="C31" s="90"/>
      <c r="D31" s="90"/>
      <c r="E31" s="90"/>
      <c r="F31" s="90"/>
      <c r="G31" s="90"/>
      <c r="H31" s="90"/>
      <c r="I31" s="90"/>
    </row>
    <row r="33" spans="1:9" ht="18" customHeight="1" x14ac:dyDescent="0.35">
      <c r="A33" s="93" t="s">
        <v>381</v>
      </c>
      <c r="B33" s="94"/>
      <c r="C33" s="94"/>
      <c r="D33" s="94"/>
      <c r="E33" s="94"/>
      <c r="F33" s="94"/>
      <c r="G33" s="94"/>
      <c r="H33" s="94"/>
      <c r="I33" s="94"/>
    </row>
    <row r="34" spans="1:9" ht="16" customHeight="1" x14ac:dyDescent="0.35">
      <c r="B34" s="127" t="s">
        <v>382</v>
      </c>
      <c r="C34" s="90"/>
      <c r="D34" s="90"/>
      <c r="E34" s="90"/>
      <c r="F34" s="90"/>
      <c r="G34" s="90"/>
      <c r="H34" s="90"/>
      <c r="I34" s="90"/>
    </row>
    <row r="35" spans="1:9" ht="28" customHeight="1" x14ac:dyDescent="0.35">
      <c r="B35" s="127" t="s">
        <v>383</v>
      </c>
      <c r="C35" s="90"/>
      <c r="D35" s="90"/>
      <c r="E35" s="90"/>
      <c r="F35" s="90"/>
      <c r="G35" s="90"/>
      <c r="H35" s="90"/>
      <c r="I35" s="90"/>
    </row>
    <row r="36" spans="1:9" ht="16" customHeight="1" x14ac:dyDescent="0.35">
      <c r="B36" s="127" t="s">
        <v>384</v>
      </c>
      <c r="C36" s="90"/>
      <c r="D36" s="90"/>
      <c r="E36" s="90"/>
      <c r="F36" s="90"/>
      <c r="G36" s="90"/>
      <c r="H36" s="90"/>
      <c r="I36" s="90"/>
    </row>
    <row r="38" spans="1:9" ht="18" customHeight="1" x14ac:dyDescent="0.35">
      <c r="A38" s="93" t="s">
        <v>385</v>
      </c>
      <c r="B38" s="94"/>
      <c r="C38" s="94"/>
      <c r="D38" s="94"/>
      <c r="E38" s="94"/>
      <c r="F38" s="94"/>
      <c r="G38" s="94"/>
      <c r="H38" s="94"/>
      <c r="I38" s="94"/>
    </row>
    <row r="39" spans="1:9" ht="16" customHeight="1" x14ac:dyDescent="0.35">
      <c r="B39" s="127" t="s">
        <v>386</v>
      </c>
      <c r="C39" s="90"/>
      <c r="D39" s="90"/>
      <c r="E39" s="90"/>
      <c r="F39" s="90"/>
      <c r="G39" s="90"/>
      <c r="H39" s="90"/>
      <c r="I39" s="90"/>
    </row>
    <row r="40" spans="1:9" ht="16" customHeight="1" x14ac:dyDescent="0.35">
      <c r="B40" s="127" t="s">
        <v>387</v>
      </c>
      <c r="C40" s="90"/>
      <c r="D40" s="90"/>
      <c r="E40" s="90"/>
      <c r="F40" s="90"/>
      <c r="G40" s="90"/>
      <c r="H40" s="90"/>
      <c r="I40" s="90"/>
    </row>
    <row r="41" spans="1:9" ht="16" customHeight="1" x14ac:dyDescent="0.35">
      <c r="B41" s="127" t="s">
        <v>388</v>
      </c>
      <c r="C41" s="90"/>
      <c r="D41" s="90"/>
      <c r="E41" s="90"/>
      <c r="F41" s="90"/>
      <c r="G41" s="90"/>
      <c r="H41" s="90"/>
      <c r="I41" s="90"/>
    </row>
    <row r="42" spans="1:9" ht="16" customHeight="1" x14ac:dyDescent="0.35">
      <c r="B42" s="127" t="s">
        <v>389</v>
      </c>
      <c r="C42" s="90"/>
      <c r="D42" s="90"/>
      <c r="E42" s="90"/>
      <c r="F42" s="90"/>
      <c r="G42" s="90"/>
      <c r="H42" s="90"/>
      <c r="I42" s="90"/>
    </row>
    <row r="43" spans="1:9" ht="16" customHeight="1" x14ac:dyDescent="0.35">
      <c r="B43" s="127" t="s">
        <v>390</v>
      </c>
      <c r="C43" s="90"/>
      <c r="D43" s="90"/>
      <c r="E43" s="90"/>
      <c r="F43" s="90"/>
      <c r="G43" s="90"/>
      <c r="H43" s="90"/>
      <c r="I43" s="90"/>
    </row>
    <row r="44" spans="1:9" ht="16" customHeight="1" x14ac:dyDescent="0.35">
      <c r="B44" s="127" t="s">
        <v>391</v>
      </c>
      <c r="C44" s="90"/>
      <c r="D44" s="90"/>
      <c r="E44" s="90"/>
      <c r="F44" s="90"/>
      <c r="G44" s="90"/>
      <c r="H44" s="90"/>
      <c r="I44" s="90"/>
    </row>
  </sheetData>
  <sheetProtection sheet="1" formatCells="0" formatColumns="0" formatRows="0"/>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5" t="s">
        <v>392</v>
      </c>
      <c r="B1" s="90"/>
      <c r="C1" s="90"/>
      <c r="D1" s="90"/>
      <c r="E1" s="90"/>
      <c r="F1" s="90"/>
      <c r="G1" s="90"/>
      <c r="H1" s="90"/>
      <c r="I1" s="90"/>
    </row>
    <row r="2" spans="1:9" x14ac:dyDescent="0.35">
      <c r="A2" s="102" t="s">
        <v>393</v>
      </c>
      <c r="B2" s="103"/>
      <c r="C2" s="103"/>
      <c r="D2" s="103"/>
      <c r="E2" s="103"/>
      <c r="F2" s="103"/>
      <c r="G2" s="103"/>
      <c r="H2" s="103"/>
      <c r="I2" s="103"/>
    </row>
    <row r="4" spans="1:9" ht="28" customHeight="1" x14ac:dyDescent="0.35">
      <c r="A4" s="86" t="s">
        <v>394</v>
      </c>
      <c r="B4" s="127" t="s">
        <v>395</v>
      </c>
      <c r="C4" s="90"/>
      <c r="D4" s="90"/>
      <c r="E4" s="90"/>
      <c r="F4" s="90"/>
      <c r="G4" s="90"/>
      <c r="H4" s="90"/>
      <c r="I4" s="90"/>
    </row>
    <row r="6" spans="1:9" ht="28" customHeight="1" x14ac:dyDescent="0.35">
      <c r="A6" s="86" t="s">
        <v>394</v>
      </c>
      <c r="B6" s="127" t="s">
        <v>396</v>
      </c>
      <c r="C6" s="90"/>
      <c r="D6" s="90"/>
      <c r="E6" s="90"/>
      <c r="F6" s="90"/>
      <c r="G6" s="90"/>
      <c r="H6" s="90"/>
      <c r="I6" s="90"/>
    </row>
    <row r="8" spans="1:9" ht="18" customHeight="1" x14ac:dyDescent="0.35">
      <c r="A8" s="86" t="s">
        <v>394</v>
      </c>
      <c r="B8" s="127" t="s">
        <v>397</v>
      </c>
      <c r="C8" s="90"/>
      <c r="D8" s="90"/>
      <c r="E8" s="90"/>
      <c r="F8" s="90"/>
      <c r="G8" s="90"/>
      <c r="H8" s="90"/>
      <c r="I8" s="90"/>
    </row>
    <row r="10" spans="1:9" ht="18" customHeight="1" x14ac:dyDescent="0.35">
      <c r="A10" s="87" t="s">
        <v>398</v>
      </c>
      <c r="B10" s="127" t="s">
        <v>399</v>
      </c>
      <c r="C10" s="90"/>
      <c r="D10" s="90"/>
      <c r="E10" s="90"/>
      <c r="F10" s="90"/>
      <c r="G10" s="90"/>
      <c r="H10" s="90"/>
      <c r="I10" s="90"/>
    </row>
    <row r="12" spans="1:9" ht="28" customHeight="1" x14ac:dyDescent="0.35">
      <c r="A12" s="87" t="s">
        <v>398</v>
      </c>
      <c r="B12" s="127" t="s">
        <v>400</v>
      </c>
      <c r="C12" s="90"/>
      <c r="D12" s="90"/>
      <c r="E12" s="90"/>
      <c r="F12" s="90"/>
      <c r="G12" s="90"/>
      <c r="H12" s="90"/>
      <c r="I12" s="90"/>
    </row>
    <row r="14" spans="1:9" ht="18" customHeight="1" x14ac:dyDescent="0.35">
      <c r="A14" s="87" t="s">
        <v>398</v>
      </c>
      <c r="B14" s="127" t="s">
        <v>401</v>
      </c>
      <c r="C14" s="90"/>
      <c r="D14" s="90"/>
      <c r="E14" s="90"/>
      <c r="F14" s="90"/>
      <c r="G14" s="90"/>
      <c r="H14" s="90"/>
      <c r="I14" s="90"/>
    </row>
    <row r="16" spans="1:9" ht="18" customHeight="1" x14ac:dyDescent="0.35">
      <c r="A16" s="87" t="s">
        <v>398</v>
      </c>
      <c r="B16" s="127" t="s">
        <v>402</v>
      </c>
      <c r="C16" s="90"/>
      <c r="D16" s="90"/>
      <c r="E16" s="90"/>
      <c r="F16" s="90"/>
      <c r="G16" s="90"/>
      <c r="H16" s="90"/>
      <c r="I16" s="90"/>
    </row>
    <row r="18" spans="1:9" ht="28" customHeight="1" x14ac:dyDescent="0.35">
      <c r="A18" s="88" t="s">
        <v>403</v>
      </c>
      <c r="B18" s="127" t="s">
        <v>404</v>
      </c>
      <c r="C18" s="90"/>
      <c r="D18" s="90"/>
      <c r="E18" s="90"/>
      <c r="F18" s="90"/>
      <c r="G18" s="90"/>
      <c r="H18" s="90"/>
      <c r="I18" s="90"/>
    </row>
    <row r="20" spans="1:9" ht="28" customHeight="1" x14ac:dyDescent="0.35">
      <c r="A20" s="88" t="s">
        <v>403</v>
      </c>
      <c r="B20" s="127" t="s">
        <v>405</v>
      </c>
      <c r="C20" s="90"/>
      <c r="D20" s="90"/>
      <c r="E20" s="90"/>
      <c r="F20" s="90"/>
      <c r="G20" s="90"/>
      <c r="H20" s="90"/>
      <c r="I20" s="90"/>
    </row>
    <row r="22" spans="1:9" ht="18" customHeight="1" x14ac:dyDescent="0.35">
      <c r="A22" s="88" t="s">
        <v>403</v>
      </c>
      <c r="B22" s="127" t="s">
        <v>406</v>
      </c>
      <c r="C22" s="90"/>
      <c r="D22" s="90"/>
      <c r="E22" s="90"/>
      <c r="F22" s="90"/>
      <c r="G22" s="90"/>
      <c r="H22" s="90"/>
      <c r="I22" s="90"/>
    </row>
  </sheetData>
  <sheetProtection sheet="1" formatCells="0" formatColumns="0" formatRows="0"/>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
  <sheetViews>
    <sheetView workbookViewId="0"/>
  </sheetViews>
  <sheetFormatPr defaultRowHeight="14.5" x14ac:dyDescent="0.35"/>
  <sheetData>
    <row r="1" spans="1:9" x14ac:dyDescent="0.35">
      <c r="A1" t="s">
        <v>10</v>
      </c>
      <c r="B1" t="s">
        <v>407</v>
      </c>
      <c r="C1" t="s">
        <v>408</v>
      </c>
      <c r="D1" t="s">
        <v>409</v>
      </c>
      <c r="E1" t="s">
        <v>207</v>
      </c>
      <c r="G1" t="s">
        <v>215</v>
      </c>
      <c r="H1" t="s">
        <v>410</v>
      </c>
      <c r="I1" t="s">
        <v>205</v>
      </c>
    </row>
    <row r="2" spans="1:9" x14ac:dyDescent="0.35">
      <c r="A2" t="s">
        <v>269</v>
      </c>
      <c r="B2">
        <v>0.2</v>
      </c>
      <c r="C2">
        <v>0.12</v>
      </c>
      <c r="D2">
        <v>0.3</v>
      </c>
      <c r="E2">
        <v>0.85</v>
      </c>
      <c r="G2" t="s">
        <v>411</v>
      </c>
      <c r="H2" t="s">
        <v>32</v>
      </c>
      <c r="I2" t="s">
        <v>112</v>
      </c>
    </row>
    <row r="3" spans="1:9" x14ac:dyDescent="0.35">
      <c r="A3" t="s">
        <v>107</v>
      </c>
      <c r="B3">
        <v>0.28000000000000003</v>
      </c>
      <c r="C3">
        <v>0.2</v>
      </c>
      <c r="D3">
        <v>0.35</v>
      </c>
      <c r="E3">
        <v>0.85</v>
      </c>
      <c r="G3" t="s">
        <v>412</v>
      </c>
      <c r="H3" t="s">
        <v>413</v>
      </c>
      <c r="I3" t="s">
        <v>216</v>
      </c>
    </row>
    <row r="4" spans="1:9" x14ac:dyDescent="0.35">
      <c r="A4" t="s">
        <v>270</v>
      </c>
      <c r="B4">
        <v>0.05</v>
      </c>
      <c r="C4">
        <v>0.03</v>
      </c>
      <c r="D4">
        <v>0.06</v>
      </c>
      <c r="E4">
        <v>0.87</v>
      </c>
      <c r="G4" t="s">
        <v>414</v>
      </c>
    </row>
    <row r="5" spans="1:9" x14ac:dyDescent="0.35">
      <c r="A5" t="s">
        <v>132</v>
      </c>
      <c r="B5">
        <v>2.5000000000000001E-2</v>
      </c>
      <c r="C5">
        <v>0.02</v>
      </c>
      <c r="D5">
        <v>0.03</v>
      </c>
      <c r="E5">
        <v>0.99</v>
      </c>
    </row>
    <row r="6" spans="1:9" x14ac:dyDescent="0.35">
      <c r="A6" t="s">
        <v>415</v>
      </c>
      <c r="B6">
        <v>0.01</v>
      </c>
      <c r="C6">
        <v>8.0000000000000002E-3</v>
      </c>
      <c r="D6">
        <v>1.2E-2</v>
      </c>
      <c r="E6">
        <v>0.98</v>
      </c>
    </row>
    <row r="7" spans="1:9" x14ac:dyDescent="0.35">
      <c r="A7" t="s">
        <v>416</v>
      </c>
      <c r="B7">
        <v>0.01</v>
      </c>
      <c r="C7">
        <v>8.0000000000000002E-3</v>
      </c>
      <c r="D7">
        <v>1.2E-2</v>
      </c>
      <c r="E7">
        <v>0.98</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89</vt:i4>
      </vt:variant>
    </vt:vector>
  </HeadingPairs>
  <TitlesOfParts>
    <vt:vector size="102" baseType="lpstr">
      <vt:lpstr>Dashboard</vt:lpstr>
      <vt:lpstr>Formula Master</vt:lpstr>
      <vt:lpstr>Batch Calculator</vt:lpstr>
      <vt:lpstr>Dilution Prep (D10)</vt:lpstr>
      <vt:lpstr>Inventory</vt:lpstr>
      <vt:lpstr>Production Log</vt:lpstr>
      <vt:lpstr>Maceration Tracker</vt:lpstr>
      <vt:lpstr>Cost Analysis</vt:lpstr>
      <vt:lpstr>Yield &amp; Capacity</vt:lpstr>
      <vt:lpstr>Pricing &amp; Sales</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ShipLoad</vt:lpstr>
      <vt:lpstr>ShippingSAR</vt:lpstr>
      <vt:lpstr>SolubRatio</vt:lpstr>
      <vt:lpstr>StatusList</vt:lpstr>
      <vt:lpstr>StockValueSAR</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2026-07-10T07:59:10Z</dcterms:modified>
</cp:coreProperties>
</file>