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B46E10EB-4A6D-4BE4-839C-88AC6642994F}"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Inventory Bottles"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B40" i="11"/>
  <c r="A40" i="11"/>
  <c r="B39" i="11"/>
  <c r="A39" i="11"/>
  <c r="B38" i="11"/>
  <c r="A38" i="11"/>
  <c r="B37" i="11"/>
  <c r="A37" i="11"/>
  <c r="B36" i="11"/>
  <c r="A36" i="11"/>
  <c r="B35" i="11"/>
  <c r="A35" i="11"/>
  <c r="B34" i="11"/>
  <c r="A34" i="11"/>
  <c r="G34" i="11" s="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I37" i="8"/>
  <c r="H37" i="8"/>
  <c r="C37" i="8"/>
  <c r="B37" i="8"/>
  <c r="A37" i="8"/>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F34" i="6"/>
  <c r="D34" i="6"/>
  <c r="C34" i="6"/>
  <c r="B34" i="6"/>
  <c r="A34" i="6"/>
  <c r="F33" i="6"/>
  <c r="D33" i="6"/>
  <c r="C33" i="6"/>
  <c r="B33" i="6"/>
  <c r="A33" i="6"/>
  <c r="F32" i="6"/>
  <c r="D32" i="6"/>
  <c r="C32" i="6"/>
  <c r="B32" i="6"/>
  <c r="A32" i="6"/>
  <c r="F31" i="6"/>
  <c r="D31" i="6"/>
  <c r="C31" i="6"/>
  <c r="B31" i="6"/>
  <c r="A31" i="6"/>
  <c r="F30" i="6"/>
  <c r="D30" i="6"/>
  <c r="C30" i="6"/>
  <c r="B30" i="6"/>
  <c r="A30" i="6"/>
  <c r="F29" i="6"/>
  <c r="D29" i="6"/>
  <c r="C29" i="6"/>
  <c r="B29" i="6"/>
  <c r="A29" i="6"/>
  <c r="F28" i="6"/>
  <c r="D28" i="6"/>
  <c r="C28" i="6"/>
  <c r="B28" i="6"/>
  <c r="A28" i="6"/>
  <c r="F27" i="6"/>
  <c r="D27" i="6"/>
  <c r="C27" i="6"/>
  <c r="B27" i="6"/>
  <c r="A27" i="6"/>
  <c r="F26" i="6"/>
  <c r="D26" i="6"/>
  <c r="C26" i="6"/>
  <c r="B26" i="6"/>
  <c r="A26" i="6"/>
  <c r="F25" i="6"/>
  <c r="D25" i="6"/>
  <c r="C25" i="6"/>
  <c r="B25" i="6"/>
  <c r="A25" i="6"/>
  <c r="F24" i="6"/>
  <c r="D24" i="6"/>
  <c r="C24" i="6"/>
  <c r="B24" i="6"/>
  <c r="A24" i="6"/>
  <c r="F23" i="6"/>
  <c r="D23" i="6"/>
  <c r="C23" i="6"/>
  <c r="B23" i="6"/>
  <c r="A23" i="6"/>
  <c r="F22" i="6"/>
  <c r="D22" i="6"/>
  <c r="C22" i="6"/>
  <c r="B22" i="6"/>
  <c r="A22" i="6"/>
  <c r="F21" i="6"/>
  <c r="D21" i="6"/>
  <c r="C21" i="6"/>
  <c r="B21" i="6"/>
  <c r="A21" i="6"/>
  <c r="F20" i="6"/>
  <c r="D20" i="6"/>
  <c r="C20" i="6"/>
  <c r="B20" i="6"/>
  <c r="A20" i="6"/>
  <c r="F19" i="6"/>
  <c r="D19" i="6"/>
  <c r="C19" i="6"/>
  <c r="B19" i="6"/>
  <c r="A19" i="6"/>
  <c r="F18" i="6"/>
  <c r="D18" i="6"/>
  <c r="C18" i="6"/>
  <c r="B18" i="6"/>
  <c r="A18" i="6"/>
  <c r="F17" i="6"/>
  <c r="D17" i="6"/>
  <c r="C17" i="6"/>
  <c r="B17" i="6"/>
  <c r="A17" i="6"/>
  <c r="F16" i="6"/>
  <c r="D16" i="6"/>
  <c r="C16" i="6"/>
  <c r="B16" i="6"/>
  <c r="A16" i="6"/>
  <c r="F15" i="6"/>
  <c r="D15" i="6"/>
  <c r="C15" i="6"/>
  <c r="B15" i="6"/>
  <c r="A15" i="6"/>
  <c r="F14" i="6"/>
  <c r="D14" i="6"/>
  <c r="C14" i="6"/>
  <c r="B14" i="6"/>
  <c r="A14" i="6"/>
  <c r="F13" i="6"/>
  <c r="D13" i="6"/>
  <c r="C13" i="6"/>
  <c r="B13" i="6"/>
  <c r="A13" i="6"/>
  <c r="F12" i="6"/>
  <c r="D12" i="6"/>
  <c r="C12" i="6"/>
  <c r="B12" i="6"/>
  <c r="A12" i="6"/>
  <c r="F11" i="6"/>
  <c r="D11" i="6"/>
  <c r="C11" i="6"/>
  <c r="B11" i="6"/>
  <c r="A11" i="6"/>
  <c r="F10" i="6"/>
  <c r="D10" i="6"/>
  <c r="C10" i="6"/>
  <c r="B10" i="6"/>
  <c r="A10" i="6"/>
  <c r="F9" i="6"/>
  <c r="D9" i="6"/>
  <c r="C9" i="6"/>
  <c r="B9" i="6"/>
  <c r="A9" i="6"/>
  <c r="F8" i="6"/>
  <c r="D8" i="6"/>
  <c r="C8" i="6"/>
  <c r="B8" i="6"/>
  <c r="A8" i="6"/>
  <c r="F7" i="6"/>
  <c r="D7" i="6"/>
  <c r="C7" i="6"/>
  <c r="B7" i="6"/>
  <c r="A7" i="6"/>
  <c r="J31" i="5"/>
  <c r="H31" i="5"/>
  <c r="F31" i="5"/>
  <c r="H30" i="5"/>
  <c r="F30" i="5"/>
  <c r="I30" i="5" s="1"/>
  <c r="C10" i="9" s="1"/>
  <c r="H29" i="5"/>
  <c r="F29" i="5"/>
  <c r="H28" i="5"/>
  <c r="F28" i="5"/>
  <c r="H27" i="5"/>
  <c r="F27" i="5"/>
  <c r="H26" i="5"/>
  <c r="F26" i="5"/>
  <c r="H25" i="5"/>
  <c r="F25" i="5"/>
  <c r="H24" i="5"/>
  <c r="F24" i="5"/>
  <c r="H23" i="5"/>
  <c r="F23" i="5"/>
  <c r="H22" i="5"/>
  <c r="F22" i="5"/>
  <c r="H21" i="5"/>
  <c r="F21" i="5"/>
  <c r="H20" i="5"/>
  <c r="F20" i="5"/>
  <c r="I20" i="5" s="1"/>
  <c r="H16" i="2" s="1"/>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F30" i="2"/>
  <c r="F29" i="2"/>
  <c r="F28" i="2"/>
  <c r="F27" i="2"/>
  <c r="F26" i="2"/>
  <c r="F25" i="2"/>
  <c r="F24" i="2"/>
  <c r="F23" i="2"/>
  <c r="F22" i="2"/>
  <c r="F21" i="2"/>
  <c r="J13" i="5" s="1"/>
  <c r="F20" i="2"/>
  <c r="J12" i="5" s="1"/>
  <c r="F19" i="2"/>
  <c r="J6" i="5" s="1"/>
  <c r="F18" i="2"/>
  <c r="J5" i="5" s="1"/>
  <c r="F17" i="2"/>
  <c r="F16" i="2"/>
  <c r="D47" i="3" s="1"/>
  <c r="F15" i="2"/>
  <c r="F14" i="2"/>
  <c r="F13" i="2"/>
  <c r="F12" i="2"/>
  <c r="F11" i="2"/>
  <c r="D53" i="3" s="1"/>
  <c r="F10" i="2"/>
  <c r="D52" i="3" s="1"/>
  <c r="F9" i="2"/>
  <c r="F8" i="2"/>
  <c r="D50" i="3" s="1"/>
  <c r="F7" i="2"/>
  <c r="D49" i="3" s="1"/>
  <c r="I4" i="2"/>
  <c r="I3" i="2"/>
  <c r="G15" i="1"/>
  <c r="G14" i="1"/>
  <c r="G13" i="1"/>
  <c r="G12" i="1"/>
  <c r="G11" i="1"/>
  <c r="C11" i="1"/>
  <c r="G10" i="1"/>
  <c r="C10" i="1"/>
  <c r="F7" i="1"/>
  <c r="E7" i="1"/>
  <c r="J20" i="5" l="1"/>
  <c r="K20" i="5" s="1"/>
  <c r="E37" i="8"/>
  <c r="G37" i="8"/>
  <c r="G16" i="8"/>
  <c r="E16" i="8"/>
  <c r="H32" i="5"/>
  <c r="C4" i="9"/>
  <c r="L16" i="5"/>
  <c r="L13" i="5"/>
  <c r="L12" i="5"/>
  <c r="L14" i="5"/>
  <c r="L11" i="5"/>
  <c r="L15" i="5"/>
  <c r="C23" i="3"/>
  <c r="D59" i="3"/>
  <c r="D42" i="3"/>
  <c r="E42" i="3" s="1"/>
  <c r="G42" i="3" s="1"/>
  <c r="J29" i="5"/>
  <c r="K29" i="5" s="1"/>
  <c r="D43" i="11" s="1"/>
  <c r="D41" i="3"/>
  <c r="E41" i="3" s="1"/>
  <c r="G41" i="3" s="1"/>
  <c r="J17" i="5"/>
  <c r="K17" i="5" s="1"/>
  <c r="D42" i="11" s="1"/>
  <c r="D40" i="3"/>
  <c r="E40" i="3" s="1"/>
  <c r="G40" i="3" s="1"/>
  <c r="J16" i="5"/>
  <c r="K16" i="5" s="1"/>
  <c r="D41" i="11" s="1"/>
  <c r="D39" i="3"/>
  <c r="E39" i="3" s="1"/>
  <c r="G39" i="3" s="1"/>
  <c r="J11" i="5"/>
  <c r="K11" i="5" s="1"/>
  <c r="D40" i="11" s="1"/>
  <c r="D38" i="3"/>
  <c r="E38" i="3" s="1"/>
  <c r="G38" i="3" s="1"/>
  <c r="J10" i="5"/>
  <c r="K10" i="5" s="1"/>
  <c r="D39" i="11" s="1"/>
  <c r="D37" i="3"/>
  <c r="E37" i="3" s="1"/>
  <c r="G37" i="3" s="1"/>
  <c r="J9" i="5"/>
  <c r="K9" i="5" s="1"/>
  <c r="D38" i="11" s="1"/>
  <c r="J8" i="5"/>
  <c r="K8" i="5" s="1"/>
  <c r="D37" i="11" s="1"/>
  <c r="D36" i="3"/>
  <c r="E36" i="3" s="1"/>
  <c r="G36" i="3" s="1"/>
  <c r="J7" i="5"/>
  <c r="K7" i="5" s="1"/>
  <c r="D36" i="11" s="1"/>
  <c r="D35" i="3"/>
  <c r="E35" i="3" s="1"/>
  <c r="G35" i="3" s="1"/>
  <c r="J15" i="5"/>
  <c r="K15" i="5" s="1"/>
  <c r="D35" i="11" s="1"/>
  <c r="D34" i="3"/>
  <c r="E34" i="3" s="1"/>
  <c r="G34" i="3" s="1"/>
  <c r="J14" i="5"/>
  <c r="K14" i="5" s="1"/>
  <c r="D33" i="3"/>
  <c r="E33" i="3" s="1"/>
  <c r="G33" i="3" s="1"/>
  <c r="D48" i="3"/>
  <c r="E48" i="3" s="1"/>
  <c r="G48" i="3" s="1"/>
  <c r="J21" i="5"/>
  <c r="K21" i="5" s="1"/>
  <c r="D29" i="11" s="1"/>
  <c r="J19" i="5"/>
  <c r="K19" i="5" s="1"/>
  <c r="D27" i="11" s="1"/>
  <c r="D46" i="3"/>
  <c r="E46" i="3" s="1"/>
  <c r="G46" i="3" s="1"/>
  <c r="D45" i="3"/>
  <c r="J18" i="5"/>
  <c r="J23" i="5"/>
  <c r="D44" i="3"/>
  <c r="D43" i="3"/>
  <c r="J4" i="5"/>
  <c r="D51" i="3"/>
  <c r="J22" i="5"/>
  <c r="K22" i="5" s="1"/>
  <c r="D21" i="11" s="1"/>
  <c r="G43" i="11"/>
  <c r="G42" i="11"/>
  <c r="G41" i="11"/>
  <c r="G40" i="11"/>
  <c r="G39" i="11"/>
  <c r="G38" i="11"/>
  <c r="G37" i="11"/>
  <c r="G36" i="11"/>
  <c r="G35" i="11"/>
  <c r="D33" i="11"/>
  <c r="G33" i="11"/>
  <c r="G32" i="11"/>
  <c r="D32" i="11"/>
  <c r="D31" i="11"/>
  <c r="G31" i="11"/>
  <c r="D30" i="11"/>
  <c r="G30" i="11"/>
  <c r="G29" i="11"/>
  <c r="G28" i="11"/>
  <c r="G27" i="11"/>
  <c r="G26" i="11"/>
  <c r="G25" i="11"/>
  <c r="G24" i="11"/>
  <c r="G23" i="11"/>
  <c r="G22" i="11"/>
  <c r="G21" i="11"/>
  <c r="G20" i="11"/>
  <c r="G19" i="11"/>
  <c r="G44" i="8"/>
  <c r="E44" i="8"/>
  <c r="G43" i="8"/>
  <c r="E43" i="8"/>
  <c r="G42" i="8"/>
  <c r="E42" i="8"/>
  <c r="G41" i="8"/>
  <c r="E41" i="8"/>
  <c r="G40" i="8"/>
  <c r="E40" i="8"/>
  <c r="E39" i="8"/>
  <c r="G39" i="8"/>
  <c r="G38" i="8"/>
  <c r="E38" i="8"/>
  <c r="G36" i="8"/>
  <c r="E36" i="8"/>
  <c r="G35" i="8"/>
  <c r="E35" i="8"/>
  <c r="E34" i="8"/>
  <c r="G34" i="8"/>
  <c r="E33" i="8"/>
  <c r="G33" i="8"/>
  <c r="E32" i="8"/>
  <c r="G32" i="8"/>
  <c r="G31" i="8"/>
  <c r="E31" i="8"/>
  <c r="E30" i="8"/>
  <c r="G30" i="8"/>
  <c r="E29" i="8"/>
  <c r="G29" i="8"/>
  <c r="E28" i="8"/>
  <c r="G28" i="8"/>
  <c r="E27" i="8"/>
  <c r="G27" i="8"/>
  <c r="E26" i="8"/>
  <c r="G26" i="8"/>
  <c r="G25" i="8"/>
  <c r="E25" i="8"/>
  <c r="E24" i="8"/>
  <c r="G24" i="8"/>
  <c r="E23" i="8"/>
  <c r="G23" i="8"/>
  <c r="E22" i="8"/>
  <c r="G22" i="8"/>
  <c r="E21" i="8"/>
  <c r="G21" i="8"/>
  <c r="E20" i="8"/>
  <c r="G20" i="8"/>
  <c r="G19" i="8"/>
  <c r="E19" i="8"/>
  <c r="G18" i="8"/>
  <c r="E18" i="8"/>
  <c r="E17" i="8"/>
  <c r="G17" i="8"/>
  <c r="E15" i="8"/>
  <c r="G15" i="8"/>
  <c r="G14" i="8"/>
  <c r="E14" i="8"/>
  <c r="E13" i="8"/>
  <c r="G13" i="8"/>
  <c r="G12" i="8"/>
  <c r="E12" i="8"/>
  <c r="E11" i="8"/>
  <c r="G11" i="8"/>
  <c r="G10" i="8"/>
  <c r="E10" i="8"/>
  <c r="E9" i="8"/>
  <c r="G9" i="8"/>
  <c r="E8" i="8"/>
  <c r="G8" i="8"/>
  <c r="G7" i="8"/>
  <c r="E7" i="8"/>
  <c r="G6" i="8"/>
  <c r="E6" i="8"/>
  <c r="G5" i="8"/>
  <c r="E5" i="8"/>
  <c r="I34" i="6"/>
  <c r="J34" i="6"/>
  <c r="J33" i="6"/>
  <c r="I33" i="6"/>
  <c r="I32" i="6"/>
  <c r="J32" i="6" s="1"/>
  <c r="I31" i="6"/>
  <c r="J31" i="6" s="1"/>
  <c r="I30" i="6"/>
  <c r="J30" i="6" s="1"/>
  <c r="I29" i="6"/>
  <c r="J29" i="6" s="1"/>
  <c r="I28" i="6"/>
  <c r="J28" i="6" s="1"/>
  <c r="I27" i="6"/>
  <c r="J27" i="6" s="1"/>
  <c r="I26" i="6"/>
  <c r="J26" i="6"/>
  <c r="I25" i="6"/>
  <c r="J25" i="6" s="1"/>
  <c r="I24" i="6"/>
  <c r="J24" i="6" s="1"/>
  <c r="I23" i="6"/>
  <c r="J23" i="6" s="1"/>
  <c r="I22" i="6"/>
  <c r="J22" i="6" s="1"/>
  <c r="I21" i="6"/>
  <c r="J21" i="6" s="1"/>
  <c r="I20" i="6"/>
  <c r="J20" i="6" s="1"/>
  <c r="I19" i="6"/>
  <c r="J19" i="6" s="1"/>
  <c r="I17" i="6"/>
  <c r="J17" i="6" s="1"/>
  <c r="I16" i="6"/>
  <c r="J16" i="6" s="1"/>
  <c r="I15" i="6"/>
  <c r="J15" i="6" s="1"/>
  <c r="I14" i="6"/>
  <c r="J14" i="6" s="1"/>
  <c r="I13" i="6"/>
  <c r="J13" i="6" s="1"/>
  <c r="I12" i="6"/>
  <c r="J12" i="6" s="1"/>
  <c r="I11" i="6"/>
  <c r="J11" i="6" s="1"/>
  <c r="I10" i="6"/>
  <c r="J10" i="6" s="1"/>
  <c r="I9" i="6"/>
  <c r="J9" i="6"/>
  <c r="I8" i="6"/>
  <c r="J8" i="6" s="1"/>
  <c r="I7" i="6"/>
  <c r="J7" i="6" s="1"/>
  <c r="K31" i="5"/>
  <c r="I31" i="5"/>
  <c r="I29" i="5"/>
  <c r="H31" i="2" s="1"/>
  <c r="K28" i="5"/>
  <c r="D23" i="11" s="1"/>
  <c r="I28" i="5"/>
  <c r="H11" i="2" s="1"/>
  <c r="K27" i="5"/>
  <c r="I27" i="5"/>
  <c r="I26" i="5"/>
  <c r="H7" i="2" s="1"/>
  <c r="I25" i="5"/>
  <c r="H10" i="2" s="1"/>
  <c r="K25" i="5"/>
  <c r="D22" i="11" s="1"/>
  <c r="I24" i="5"/>
  <c r="H8" i="2" s="1"/>
  <c r="K24" i="5"/>
  <c r="D20" i="11" s="1"/>
  <c r="K23" i="5"/>
  <c r="D25" i="11" s="1"/>
  <c r="I23" i="5"/>
  <c r="H13" i="2" s="1"/>
  <c r="I22" i="5"/>
  <c r="H9" i="2" s="1"/>
  <c r="I21" i="5"/>
  <c r="H17" i="2" s="1"/>
  <c r="I19" i="5"/>
  <c r="H15" i="2" s="1"/>
  <c r="K18" i="5"/>
  <c r="D26" i="11" s="1"/>
  <c r="I18" i="5"/>
  <c r="H14" i="2" s="1"/>
  <c r="I17" i="5"/>
  <c r="H30" i="2" s="1"/>
  <c r="I16" i="5"/>
  <c r="H29" i="2" s="1"/>
  <c r="I15" i="5"/>
  <c r="H23" i="2" s="1"/>
  <c r="I14" i="5"/>
  <c r="H22" i="2" s="1"/>
  <c r="I13" i="5"/>
  <c r="H21" i="2" s="1"/>
  <c r="K13" i="5"/>
  <c r="I12" i="5"/>
  <c r="H20" i="2" s="1"/>
  <c r="K12" i="5"/>
  <c r="I11" i="5"/>
  <c r="H28" i="2" s="1"/>
  <c r="I10" i="5"/>
  <c r="H27" i="2" s="1"/>
  <c r="I9" i="5"/>
  <c r="H26" i="2" s="1"/>
  <c r="I8" i="5"/>
  <c r="H25" i="2" s="1"/>
  <c r="I7" i="5"/>
  <c r="H24" i="2" s="1"/>
  <c r="I6" i="5"/>
  <c r="H19" i="2" s="1"/>
  <c r="K6" i="5"/>
  <c r="K5" i="5"/>
  <c r="I5" i="5"/>
  <c r="H18" i="2" s="1"/>
  <c r="I4" i="5"/>
  <c r="H12" i="2" s="1"/>
  <c r="K4" i="5"/>
  <c r="D24" i="11" s="1"/>
  <c r="L25" i="5"/>
  <c r="L29" i="5"/>
  <c r="L28" i="5"/>
  <c r="L20" i="5"/>
  <c r="L19" i="5"/>
  <c r="L8" i="5"/>
  <c r="L30" i="5"/>
  <c r="L18" i="5"/>
  <c r="L21" i="5"/>
  <c r="L10" i="5"/>
  <c r="L24" i="5"/>
  <c r="L9" i="5"/>
  <c r="L4" i="5"/>
  <c r="L5" i="5"/>
  <c r="L26" i="5"/>
  <c r="L23" i="5"/>
  <c r="L17" i="5"/>
  <c r="L6" i="5"/>
  <c r="L7" i="5"/>
  <c r="L22" i="5"/>
  <c r="E29" i="3"/>
  <c r="E30" i="3"/>
  <c r="G30" i="3" s="1"/>
  <c r="E31" i="3"/>
  <c r="G31" i="3" s="1"/>
  <c r="E32" i="3"/>
  <c r="G32" i="3" s="1"/>
  <c r="C12" i="1"/>
  <c r="E44" i="3"/>
  <c r="G44" i="3" s="1"/>
  <c r="E49" i="3"/>
  <c r="G49" i="3" s="1"/>
  <c r="E50" i="3"/>
  <c r="G50" i="3" s="1"/>
  <c r="E52" i="3"/>
  <c r="G52" i="3" s="1"/>
  <c r="D58" i="3"/>
  <c r="E47" i="3"/>
  <c r="G47" i="3" s="1"/>
  <c r="E51" i="3"/>
  <c r="G51" i="3" s="1"/>
  <c r="E53" i="3"/>
  <c r="G53" i="3" s="1"/>
  <c r="E45" i="3"/>
  <c r="G45" i="3" s="1"/>
  <c r="E43" i="3"/>
  <c r="G43" i="3" s="1"/>
  <c r="C51" i="10"/>
  <c r="E51" i="10" s="1"/>
  <c r="C43" i="11"/>
  <c r="C50" i="10"/>
  <c r="E50" i="10" s="1"/>
  <c r="C42" i="11"/>
  <c r="C49" i="10"/>
  <c r="E49" i="10" s="1"/>
  <c r="C41" i="11"/>
  <c r="C48" i="10"/>
  <c r="E48" i="10" s="1"/>
  <c r="C40" i="11"/>
  <c r="C47" i="10"/>
  <c r="E47" i="10" s="1"/>
  <c r="C39" i="11"/>
  <c r="C46" i="10"/>
  <c r="E46" i="10" s="1"/>
  <c r="C38" i="11"/>
  <c r="C45" i="10"/>
  <c r="E45" i="10" s="1"/>
  <c r="C37" i="11"/>
  <c r="C44" i="10"/>
  <c r="E44" i="10" s="1"/>
  <c r="C36" i="11"/>
  <c r="C43" i="10"/>
  <c r="E43" i="10" s="1"/>
  <c r="C35" i="11"/>
  <c r="I18" i="6"/>
  <c r="J18" i="6" s="1"/>
  <c r="C42" i="10"/>
  <c r="E42" i="10" s="1"/>
  <c r="C34" i="11"/>
  <c r="D32" i="3"/>
  <c r="C33" i="11"/>
  <c r="C41" i="10"/>
  <c r="E41" i="10" s="1"/>
  <c r="C32" i="11"/>
  <c r="D31" i="3"/>
  <c r="C40" i="10"/>
  <c r="E40" i="10" s="1"/>
  <c r="C31" i="11"/>
  <c r="D30" i="3"/>
  <c r="C39" i="10"/>
  <c r="E39" i="10" s="1"/>
  <c r="C38" i="10"/>
  <c r="E38" i="10" s="1"/>
  <c r="C30" i="11"/>
  <c r="D29" i="3"/>
  <c r="C37" i="10"/>
  <c r="E37" i="10" s="1"/>
  <c r="C29" i="11"/>
  <c r="C28" i="11"/>
  <c r="C36" i="10"/>
  <c r="E36" i="10" s="1"/>
  <c r="C35" i="10"/>
  <c r="E35" i="10" s="1"/>
  <c r="C27" i="11"/>
  <c r="C34" i="10"/>
  <c r="E34" i="10" s="1"/>
  <c r="C26" i="11"/>
  <c r="C25" i="11"/>
  <c r="C33" i="10"/>
  <c r="E33" i="10" s="1"/>
  <c r="C32" i="10"/>
  <c r="E32" i="10" s="1"/>
  <c r="C24" i="11"/>
  <c r="C31" i="10"/>
  <c r="E31" i="10" s="1"/>
  <c r="J28" i="5"/>
  <c r="C23" i="11"/>
  <c r="C30" i="10"/>
  <c r="E30" i="10" s="1"/>
  <c r="C22" i="11"/>
  <c r="J25" i="5"/>
  <c r="C29" i="10"/>
  <c r="E29" i="10" s="1"/>
  <c r="C21" i="11"/>
  <c r="C28" i="10"/>
  <c r="E28" i="10" s="1"/>
  <c r="J24" i="5"/>
  <c r="C20" i="11"/>
  <c r="J26" i="5"/>
  <c r="K26" i="5" s="1"/>
  <c r="D19" i="11" s="1"/>
  <c r="C27" i="10"/>
  <c r="E27" i="10" s="1"/>
  <c r="C19" i="11"/>
  <c r="F33" i="2"/>
  <c r="A34" i="2" s="1"/>
  <c r="J30" i="5"/>
  <c r="K30" i="5" s="1"/>
  <c r="P30" i="5" s="1"/>
  <c r="E52" i="10"/>
  <c r="C52" i="10"/>
  <c r="C52" i="11"/>
  <c r="C11" i="9" l="1"/>
  <c r="C12" i="9" s="1"/>
  <c r="D28" i="11"/>
  <c r="D36" i="10"/>
  <c r="G23" i="6"/>
  <c r="Q20" i="5"/>
  <c r="M20" i="5"/>
  <c r="P20" i="5"/>
  <c r="C6" i="9"/>
  <c r="B7" i="1" s="1"/>
  <c r="C7" i="9"/>
  <c r="C16" i="9" s="1"/>
  <c r="M31" i="5"/>
  <c r="Q31" i="5"/>
  <c r="P31" i="5"/>
  <c r="D11" i="10"/>
  <c r="D53" i="11"/>
  <c r="G34" i="6"/>
  <c r="D51" i="10"/>
  <c r="F51" i="10" s="1"/>
  <c r="M29" i="5"/>
  <c r="P29" i="5"/>
  <c r="Q29" i="5"/>
  <c r="G32" i="6"/>
  <c r="D31" i="10"/>
  <c r="F31" i="10" s="1"/>
  <c r="M28" i="5"/>
  <c r="G31" i="6"/>
  <c r="P28" i="5"/>
  <c r="Q28" i="5"/>
  <c r="G30" i="6"/>
  <c r="M27" i="5"/>
  <c r="Q27" i="5"/>
  <c r="D27" i="10"/>
  <c r="F27" i="10" s="1"/>
  <c r="M26" i="5"/>
  <c r="Q26" i="5"/>
  <c r="P26" i="5"/>
  <c r="G29" i="6"/>
  <c r="M25" i="5"/>
  <c r="D30" i="10"/>
  <c r="F30" i="10" s="1"/>
  <c r="P25" i="5"/>
  <c r="Q25" i="5"/>
  <c r="G28" i="6"/>
  <c r="D28" i="10"/>
  <c r="F28" i="10" s="1"/>
  <c r="M24" i="5"/>
  <c r="Q24" i="5"/>
  <c r="G27" i="6"/>
  <c r="P24" i="5"/>
  <c r="D33" i="10"/>
  <c r="F33" i="10" s="1"/>
  <c r="M23" i="5"/>
  <c r="Q23" i="5"/>
  <c r="P23" i="5"/>
  <c r="G26" i="6"/>
  <c r="D29" i="10"/>
  <c r="F29" i="10" s="1"/>
  <c r="P22" i="5"/>
  <c r="Q22" i="5"/>
  <c r="G25" i="6"/>
  <c r="M22" i="5"/>
  <c r="D37" i="10"/>
  <c r="F37" i="10" s="1"/>
  <c r="G24" i="6"/>
  <c r="P21" i="5"/>
  <c r="M21" i="5"/>
  <c r="Q21" i="5"/>
  <c r="D35" i="10"/>
  <c r="F35" i="10" s="1"/>
  <c r="M19" i="5"/>
  <c r="P19" i="5"/>
  <c r="Q19" i="5"/>
  <c r="G22" i="6"/>
  <c r="D34" i="10"/>
  <c r="F34" i="10" s="1"/>
  <c r="M18" i="5"/>
  <c r="G21" i="6"/>
  <c r="P18" i="5"/>
  <c r="Q18" i="5"/>
  <c r="D50" i="10"/>
  <c r="F50" i="10" s="1"/>
  <c r="Q17" i="5"/>
  <c r="M17" i="5"/>
  <c r="P17" i="5"/>
  <c r="G20" i="6"/>
  <c r="D49" i="10"/>
  <c r="F49" i="10" s="1"/>
  <c r="M16" i="5"/>
  <c r="Q16" i="5"/>
  <c r="P16" i="5"/>
  <c r="G19" i="6"/>
  <c r="D43" i="10"/>
  <c r="F43" i="10" s="1"/>
  <c r="M15" i="5"/>
  <c r="G18" i="6"/>
  <c r="P15" i="5"/>
  <c r="Q15" i="5"/>
  <c r="D42" i="10"/>
  <c r="F42" i="10" s="1"/>
  <c r="D34" i="11"/>
  <c r="P14" i="5"/>
  <c r="Q14" i="5"/>
  <c r="G17" i="6"/>
  <c r="M14" i="5"/>
  <c r="D41" i="10"/>
  <c r="F41" i="10" s="1"/>
  <c r="M13" i="5"/>
  <c r="P13" i="5"/>
  <c r="Q13" i="5"/>
  <c r="G16" i="6"/>
  <c r="D40" i="10"/>
  <c r="F40" i="10" s="1"/>
  <c r="M12" i="5"/>
  <c r="G15" i="6"/>
  <c r="P12" i="5"/>
  <c r="Q12" i="5"/>
  <c r="D48" i="10"/>
  <c r="F48" i="10" s="1"/>
  <c r="M11" i="5"/>
  <c r="P11" i="5"/>
  <c r="Q11" i="5"/>
  <c r="G14" i="6"/>
  <c r="D47" i="10"/>
  <c r="F47" i="10" s="1"/>
  <c r="M10" i="5"/>
  <c r="P10" i="5"/>
  <c r="Q10" i="5"/>
  <c r="G13" i="6"/>
  <c r="D46" i="10"/>
  <c r="F46" i="10" s="1"/>
  <c r="M9" i="5"/>
  <c r="P9" i="5"/>
  <c r="Q9" i="5"/>
  <c r="G12" i="6"/>
  <c r="D45" i="10"/>
  <c r="F45" i="10" s="1"/>
  <c r="M8" i="5"/>
  <c r="P8" i="5"/>
  <c r="Q8" i="5"/>
  <c r="G11" i="6"/>
  <c r="D44" i="10"/>
  <c r="F44" i="10" s="1"/>
  <c r="M7" i="5"/>
  <c r="P7" i="5"/>
  <c r="Q7" i="5"/>
  <c r="G10" i="6"/>
  <c r="D39" i="10"/>
  <c r="F39" i="10" s="1"/>
  <c r="M6" i="5"/>
  <c r="P6" i="5"/>
  <c r="Q6" i="5"/>
  <c r="G9" i="6"/>
  <c r="D38" i="10"/>
  <c r="F38" i="10" s="1"/>
  <c r="M5" i="5"/>
  <c r="P5" i="5"/>
  <c r="Q5" i="5"/>
  <c r="G8" i="6"/>
  <c r="D32" i="10"/>
  <c r="F32" i="10" s="1"/>
  <c r="M4" i="5"/>
  <c r="P4" i="5"/>
  <c r="Q4" i="5"/>
  <c r="R4" i="5" s="1"/>
  <c r="G7" i="6"/>
  <c r="G7" i="1"/>
  <c r="B18" i="1" s="1"/>
  <c r="C40" i="9"/>
  <c r="G29" i="3"/>
  <c r="G54" i="3" s="1"/>
  <c r="E54" i="3"/>
  <c r="F54" i="3" s="1"/>
  <c r="G47" i="10"/>
  <c r="I47" i="10"/>
  <c r="G46" i="10"/>
  <c r="I46" i="10"/>
  <c r="H31" i="9"/>
  <c r="I31" i="9" s="1"/>
  <c r="H32" i="9"/>
  <c r="I32" i="9" s="1"/>
  <c r="H34" i="9"/>
  <c r="I34" i="9" s="1"/>
  <c r="H37" i="9"/>
  <c r="I37" i="9" s="1"/>
  <c r="H30" i="9"/>
  <c r="I30" i="9" s="1"/>
  <c r="H35" i="9"/>
  <c r="I35" i="9" s="1"/>
  <c r="H33" i="9"/>
  <c r="I33" i="9" s="1"/>
  <c r="H36" i="9"/>
  <c r="I36" i="9" s="1"/>
  <c r="B12" i="12"/>
  <c r="E12" i="12" s="1"/>
  <c r="B13" i="12"/>
  <c r="E13" i="12" s="1"/>
  <c r="B14" i="12"/>
  <c r="E14" i="12" s="1"/>
  <c r="D7" i="1"/>
  <c r="M30" i="5"/>
  <c r="Q30" i="5"/>
  <c r="E11" i="10"/>
  <c r="D52" i="10" s="1"/>
  <c r="F52" i="10" s="1"/>
  <c r="D52" i="11"/>
  <c r="G33" i="6"/>
  <c r="G52" i="10"/>
  <c r="I52" i="10"/>
  <c r="F36" i="10"/>
  <c r="C13" i="1"/>
  <c r="D69" i="3"/>
  <c r="E69" i="3" s="1"/>
  <c r="M23" i="6" l="1"/>
  <c r="P23" i="6"/>
  <c r="K23" i="6"/>
  <c r="O23" i="6"/>
  <c r="N23" i="6"/>
  <c r="L23" i="6"/>
  <c r="H23" i="6"/>
  <c r="G17" i="10"/>
  <c r="C24" i="3"/>
  <c r="G16" i="10"/>
  <c r="G18" i="10"/>
  <c r="G21" i="10"/>
  <c r="G19" i="10"/>
  <c r="G20" i="10"/>
  <c r="G28" i="10"/>
  <c r="I28" i="10"/>
  <c r="I40" i="10"/>
  <c r="G40" i="10"/>
  <c r="E18" i="10"/>
  <c r="E19" i="10"/>
  <c r="E21" i="10"/>
  <c r="E16" i="10"/>
  <c r="E17" i="10"/>
  <c r="E20" i="10"/>
  <c r="C4" i="11"/>
  <c r="F12" i="11"/>
  <c r="L34" i="6"/>
  <c r="M34" i="6"/>
  <c r="N34" i="6"/>
  <c r="O34" i="6"/>
  <c r="P34" i="6"/>
  <c r="K34" i="6"/>
  <c r="H34" i="6"/>
  <c r="M32" i="6"/>
  <c r="L32" i="6"/>
  <c r="K32" i="6"/>
  <c r="O32" i="6"/>
  <c r="P32" i="6"/>
  <c r="N32" i="6"/>
  <c r="H32" i="6"/>
  <c r="K31" i="6"/>
  <c r="N31" i="6"/>
  <c r="P31" i="6"/>
  <c r="O31" i="6"/>
  <c r="M31" i="6"/>
  <c r="L31" i="6"/>
  <c r="H31" i="6"/>
  <c r="M30" i="6"/>
  <c r="K30" i="6"/>
  <c r="O30" i="6"/>
  <c r="L30" i="6"/>
  <c r="N30" i="6"/>
  <c r="W30" i="6" s="1"/>
  <c r="H30" i="6"/>
  <c r="P30" i="6"/>
  <c r="L29" i="6"/>
  <c r="O29" i="6"/>
  <c r="P29" i="6"/>
  <c r="N29" i="6"/>
  <c r="K29" i="6"/>
  <c r="M29" i="6"/>
  <c r="H29" i="6"/>
  <c r="P28" i="6"/>
  <c r="K28" i="6"/>
  <c r="M28" i="6"/>
  <c r="O28" i="6"/>
  <c r="L28" i="6"/>
  <c r="N28" i="6"/>
  <c r="H28" i="6"/>
  <c r="O27" i="6"/>
  <c r="K27" i="6"/>
  <c r="M27" i="6"/>
  <c r="L27" i="6"/>
  <c r="N27" i="6"/>
  <c r="P27" i="6"/>
  <c r="H27" i="6"/>
  <c r="M26" i="6"/>
  <c r="L26" i="6"/>
  <c r="O26" i="6"/>
  <c r="K26" i="6"/>
  <c r="N26" i="6"/>
  <c r="P26" i="6"/>
  <c r="H26" i="6"/>
  <c r="P25" i="6"/>
  <c r="M25" i="6"/>
  <c r="L25" i="6"/>
  <c r="O25" i="6"/>
  <c r="K25" i="6"/>
  <c r="N25" i="6"/>
  <c r="H25" i="6"/>
  <c r="M24" i="6"/>
  <c r="N24" i="6"/>
  <c r="O24" i="6"/>
  <c r="L24" i="6"/>
  <c r="K24" i="6"/>
  <c r="P24" i="6"/>
  <c r="H24" i="6"/>
  <c r="M22" i="6"/>
  <c r="P22" i="6"/>
  <c r="N22" i="6"/>
  <c r="K22" i="6"/>
  <c r="O22" i="6"/>
  <c r="L22" i="6"/>
  <c r="H22" i="6"/>
  <c r="L21" i="6"/>
  <c r="O21" i="6"/>
  <c r="N21" i="6"/>
  <c r="K21" i="6"/>
  <c r="P21" i="6"/>
  <c r="M21" i="6"/>
  <c r="H21" i="6"/>
  <c r="K20" i="6"/>
  <c r="O20" i="6"/>
  <c r="M20" i="6"/>
  <c r="N20" i="6"/>
  <c r="L20" i="6"/>
  <c r="P20" i="6"/>
  <c r="H20" i="6"/>
  <c r="L19" i="6"/>
  <c r="M19" i="6"/>
  <c r="N19" i="6"/>
  <c r="K19" i="6"/>
  <c r="P19" i="6"/>
  <c r="O19" i="6"/>
  <c r="H19" i="6"/>
  <c r="H18" i="6"/>
  <c r="L18" i="6"/>
  <c r="N18" i="6"/>
  <c r="P18" i="6"/>
  <c r="K18" i="6"/>
  <c r="M18" i="6"/>
  <c r="O18" i="6"/>
  <c r="K17" i="6"/>
  <c r="L17" i="6"/>
  <c r="M17" i="6"/>
  <c r="N17" i="6"/>
  <c r="O17" i="6"/>
  <c r="P17" i="6"/>
  <c r="H17" i="6"/>
  <c r="K16" i="6"/>
  <c r="L16" i="6"/>
  <c r="M16" i="6"/>
  <c r="N16" i="6"/>
  <c r="O16" i="6"/>
  <c r="P16" i="6"/>
  <c r="H16" i="6"/>
  <c r="N15" i="6"/>
  <c r="K15" i="6"/>
  <c r="L15" i="6"/>
  <c r="M15" i="6"/>
  <c r="O15" i="6"/>
  <c r="P15" i="6"/>
  <c r="H15" i="6"/>
  <c r="K14" i="6"/>
  <c r="M14" i="6"/>
  <c r="N14" i="6"/>
  <c r="O14" i="6"/>
  <c r="P14" i="6"/>
  <c r="L14" i="6"/>
  <c r="H14" i="6"/>
  <c r="K13" i="6"/>
  <c r="L13" i="6"/>
  <c r="M13" i="6"/>
  <c r="N13" i="6"/>
  <c r="O13" i="6"/>
  <c r="P13" i="6"/>
  <c r="H13" i="6"/>
  <c r="K12" i="6"/>
  <c r="L12" i="6"/>
  <c r="M12" i="6"/>
  <c r="N12" i="6"/>
  <c r="O12" i="6"/>
  <c r="P12" i="6"/>
  <c r="H12" i="6"/>
  <c r="K11" i="6"/>
  <c r="L11" i="6"/>
  <c r="M11" i="6"/>
  <c r="O11" i="6"/>
  <c r="P11" i="6"/>
  <c r="N11" i="6"/>
  <c r="H11" i="6"/>
  <c r="N10" i="6"/>
  <c r="M10" i="6"/>
  <c r="L10" i="6"/>
  <c r="K10" i="6"/>
  <c r="O10" i="6"/>
  <c r="P10" i="6"/>
  <c r="H10" i="6"/>
  <c r="P9" i="6"/>
  <c r="M9" i="6"/>
  <c r="O9" i="6"/>
  <c r="N9" i="6"/>
  <c r="L9" i="6"/>
  <c r="K9" i="6"/>
  <c r="H9" i="6"/>
  <c r="P8" i="6"/>
  <c r="N8" i="6"/>
  <c r="K8" i="6"/>
  <c r="O8" i="6"/>
  <c r="M8" i="6"/>
  <c r="L8" i="6"/>
  <c r="H8" i="6"/>
  <c r="O7" i="6"/>
  <c r="N7" i="6"/>
  <c r="L7" i="6"/>
  <c r="K7" i="6"/>
  <c r="P7" i="6"/>
  <c r="M7" i="6"/>
  <c r="H7" i="6"/>
  <c r="C41" i="9"/>
  <c r="C7" i="1"/>
  <c r="F12" i="12"/>
  <c r="B12" i="13"/>
  <c r="F13" i="12"/>
  <c r="B18" i="12"/>
  <c r="C18" i="12"/>
  <c r="D18" i="12"/>
  <c r="E18" i="12"/>
  <c r="F18" i="12"/>
  <c r="C23" i="12"/>
  <c r="C25" i="12"/>
  <c r="B13" i="13"/>
  <c r="F18" i="13"/>
  <c r="F19" i="13"/>
  <c r="F20" i="13"/>
  <c r="F14" i="12"/>
  <c r="B14" i="13"/>
  <c r="P33" i="6"/>
  <c r="O33" i="6"/>
  <c r="N33" i="6"/>
  <c r="L33" i="6"/>
  <c r="M33" i="6"/>
  <c r="K33" i="6"/>
  <c r="H33" i="6"/>
  <c r="I36" i="10"/>
  <c r="G36" i="10"/>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G51" i="10"/>
  <c r="I51" i="10"/>
  <c r="I31" i="10"/>
  <c r="G31" i="10"/>
  <c r="G27" i="10"/>
  <c r="B11" i="10"/>
  <c r="I27" i="10"/>
  <c r="F11" i="10"/>
  <c r="I30" i="10"/>
  <c r="G30" i="10"/>
  <c r="I33" i="10"/>
  <c r="G33" i="10"/>
  <c r="G29" i="10"/>
  <c r="I29" i="10"/>
  <c r="G37" i="10"/>
  <c r="I37" i="10"/>
  <c r="I35" i="10"/>
  <c r="G35" i="10"/>
  <c r="I34" i="10"/>
  <c r="G34" i="10"/>
  <c r="G50" i="10"/>
  <c r="I50" i="10"/>
  <c r="G49" i="10"/>
  <c r="I49" i="10"/>
  <c r="I43" i="10"/>
  <c r="G43" i="10"/>
  <c r="I42" i="10"/>
  <c r="G42" i="10"/>
  <c r="I41" i="10"/>
  <c r="G41" i="10"/>
  <c r="I48" i="10"/>
  <c r="G48" i="10"/>
  <c r="I45" i="10"/>
  <c r="G45" i="10"/>
  <c r="I44" i="10"/>
  <c r="G44" i="10"/>
  <c r="G39" i="10"/>
  <c r="I39" i="10"/>
  <c r="I38" i="10"/>
  <c r="G38" i="10"/>
  <c r="G32" i="10"/>
  <c r="I32" i="10"/>
  <c r="U23" i="6" l="1"/>
  <c r="R23" i="6"/>
  <c r="V23" i="6"/>
  <c r="Q23" i="6"/>
  <c r="T23" i="6"/>
  <c r="S23" i="6"/>
  <c r="C14" i="1"/>
  <c r="C25" i="3"/>
  <c r="C15" i="1" s="1"/>
  <c r="B12" i="11"/>
  <c r="C12" i="11"/>
  <c r="E53" i="11" s="1"/>
  <c r="F53" i="11" s="1"/>
  <c r="H53" i="11" s="1"/>
  <c r="C4" i="13"/>
  <c r="A14" i="11"/>
  <c r="R34" i="6"/>
  <c r="Q34" i="6"/>
  <c r="S34" i="6"/>
  <c r="U34" i="6"/>
  <c r="T34" i="6"/>
  <c r="V34" i="6"/>
  <c r="Q32" i="6"/>
  <c r="R32" i="6"/>
  <c r="V32" i="6"/>
  <c r="S32" i="6"/>
  <c r="U32" i="6"/>
  <c r="T32" i="6"/>
  <c r="Q31" i="6"/>
  <c r="T31" i="6"/>
  <c r="V31" i="6"/>
  <c r="U31" i="6"/>
  <c r="S31" i="6"/>
  <c r="R31" i="6"/>
  <c r="V30" i="6"/>
  <c r="Q30" i="6"/>
  <c r="T30" i="6"/>
  <c r="R30" i="6"/>
  <c r="S30" i="6"/>
  <c r="U30" i="6"/>
  <c r="R29" i="6"/>
  <c r="S29" i="6"/>
  <c r="U29" i="6"/>
  <c r="Q29" i="6"/>
  <c r="V29" i="6"/>
  <c r="T29" i="6"/>
  <c r="S28" i="6"/>
  <c r="V28" i="6"/>
  <c r="T28" i="6"/>
  <c r="Q28" i="6"/>
  <c r="R28" i="6"/>
  <c r="U28" i="6"/>
  <c r="R27" i="6"/>
  <c r="S27" i="6"/>
  <c r="T27" i="6"/>
  <c r="Q27" i="6"/>
  <c r="U27" i="6"/>
  <c r="V27" i="6"/>
  <c r="Q26" i="6"/>
  <c r="V26" i="6"/>
  <c r="R26" i="6"/>
  <c r="T26" i="6"/>
  <c r="U26" i="6"/>
  <c r="S26" i="6"/>
  <c r="S25" i="6"/>
  <c r="T25" i="6"/>
  <c r="Q25" i="6"/>
  <c r="R25" i="6"/>
  <c r="U25" i="6"/>
  <c r="V25" i="6"/>
  <c r="R24" i="6"/>
  <c r="V24" i="6"/>
  <c r="S24" i="6"/>
  <c r="T24" i="6"/>
  <c r="Q24" i="6"/>
  <c r="U24" i="6"/>
  <c r="Q22" i="6"/>
  <c r="S22" i="6"/>
  <c r="U22" i="6"/>
  <c r="T22" i="6"/>
  <c r="R22" i="6"/>
  <c r="V22" i="6"/>
  <c r="S21" i="6"/>
  <c r="R21" i="6"/>
  <c r="V21" i="6"/>
  <c r="U21" i="6"/>
  <c r="Q21" i="6"/>
  <c r="T21" i="6"/>
  <c r="S20" i="6"/>
  <c r="Q20" i="6"/>
  <c r="V20" i="6"/>
  <c r="T20" i="6"/>
  <c r="R20" i="6"/>
  <c r="U20" i="6"/>
  <c r="R19" i="6"/>
  <c r="S19" i="6"/>
  <c r="T19" i="6"/>
  <c r="U19" i="6"/>
  <c r="Q19" i="6"/>
  <c r="V19" i="6"/>
  <c r="R18" i="6"/>
  <c r="S18" i="6"/>
  <c r="Q18" i="6"/>
  <c r="T18" i="6"/>
  <c r="U18" i="6"/>
  <c r="V18" i="6"/>
  <c r="V17" i="6"/>
  <c r="Q17" i="6"/>
  <c r="R17" i="6"/>
  <c r="S17" i="6"/>
  <c r="T17" i="6"/>
  <c r="U17" i="6"/>
  <c r="U16" i="6"/>
  <c r="Q16" i="6"/>
  <c r="R16" i="6"/>
  <c r="S16" i="6"/>
  <c r="T16" i="6"/>
  <c r="V16" i="6"/>
  <c r="V15" i="6"/>
  <c r="Q15" i="6"/>
  <c r="R15" i="6"/>
  <c r="S15" i="6"/>
  <c r="T15" i="6"/>
  <c r="U15" i="6"/>
  <c r="Q14" i="6"/>
  <c r="R14" i="6"/>
  <c r="S14" i="6"/>
  <c r="T14" i="6"/>
  <c r="U14" i="6"/>
  <c r="V14" i="6"/>
  <c r="T13" i="6"/>
  <c r="Q13" i="6"/>
  <c r="R13" i="6"/>
  <c r="S13" i="6"/>
  <c r="V13" i="6"/>
  <c r="U13" i="6"/>
  <c r="R12" i="6"/>
  <c r="Q12" i="6"/>
  <c r="S12" i="6"/>
  <c r="T12" i="6"/>
  <c r="U12" i="6"/>
  <c r="V12" i="6"/>
  <c r="Q11" i="6"/>
  <c r="S11" i="6"/>
  <c r="T11" i="6"/>
  <c r="U11" i="6"/>
  <c r="V11" i="6"/>
  <c r="R11" i="6"/>
  <c r="Q10" i="6"/>
  <c r="R10" i="6"/>
  <c r="S10" i="6"/>
  <c r="T10" i="6"/>
  <c r="U10" i="6"/>
  <c r="V10" i="6"/>
  <c r="R9" i="6"/>
  <c r="S9" i="6"/>
  <c r="U9" i="6"/>
  <c r="V9" i="6"/>
  <c r="T9" i="6"/>
  <c r="Q9" i="6"/>
  <c r="Q8" i="6"/>
  <c r="V8" i="6"/>
  <c r="R8" i="6"/>
  <c r="U8" i="6"/>
  <c r="S8" i="6"/>
  <c r="T8" i="6"/>
  <c r="E4" i="6"/>
  <c r="W7" i="6"/>
  <c r="X7" i="6" s="1"/>
  <c r="Q7" i="6"/>
  <c r="V7" i="6"/>
  <c r="U7" i="6"/>
  <c r="S7" i="6"/>
  <c r="R7" i="6"/>
  <c r="T7" i="6"/>
  <c r="G12" i="12"/>
  <c r="H12" i="12"/>
  <c r="I12" i="12"/>
  <c r="C12" i="13"/>
  <c r="D12" i="13" s="1"/>
  <c r="G13" i="12"/>
  <c r="H13" i="12"/>
  <c r="I13" i="12"/>
  <c r="C22" i="12"/>
  <c r="C24" i="12"/>
  <c r="C13" i="13"/>
  <c r="D13" i="13" s="1"/>
  <c r="G14" i="12"/>
  <c r="H14" i="12"/>
  <c r="I14" i="12"/>
  <c r="C14" i="13"/>
  <c r="D14" i="13" s="1"/>
  <c r="V33" i="6"/>
  <c r="U33" i="6"/>
  <c r="T33" i="6"/>
  <c r="S33" i="6"/>
  <c r="R33" i="6"/>
  <c r="Q33" i="6"/>
  <c r="D12" i="11"/>
  <c r="C11" i="10"/>
  <c r="I12" i="11"/>
  <c r="A22" i="10"/>
  <c r="W8" i="6"/>
  <c r="X8" i="6" s="1"/>
  <c r="W13" i="6"/>
  <c r="X13" i="6" s="1"/>
  <c r="F4" i="6"/>
  <c r="C4" i="6"/>
  <c r="B4" i="6"/>
  <c r="G4" i="6"/>
  <c r="D4" i="6"/>
  <c r="W33" i="6"/>
  <c r="X33" i="6" s="1"/>
  <c r="W28" i="6" l="1"/>
  <c r="X28" i="6" s="1"/>
  <c r="W34" i="6"/>
  <c r="X34" i="6" s="1"/>
  <c r="W31" i="6"/>
  <c r="X31" i="6" s="1"/>
  <c r="W32" i="6"/>
  <c r="X32" i="6" s="1"/>
  <c r="W21" i="6"/>
  <c r="X21" i="6" s="1"/>
  <c r="W19" i="6"/>
  <c r="X19" i="6" s="1"/>
  <c r="W17" i="6"/>
  <c r="X17" i="6" s="1"/>
  <c r="W14" i="6"/>
  <c r="X14" i="6" s="1"/>
  <c r="W27" i="6"/>
  <c r="X27" i="6" s="1"/>
  <c r="W26" i="6"/>
  <c r="X26" i="6" s="1"/>
  <c r="W9" i="6"/>
  <c r="X9" i="6" s="1"/>
  <c r="E34" i="11"/>
  <c r="F34" i="11" s="1"/>
  <c r="H34" i="11" s="1"/>
  <c r="E35" i="11"/>
  <c r="F35" i="11" s="1"/>
  <c r="H35" i="11" s="1"/>
  <c r="E36" i="11"/>
  <c r="F36" i="11" s="1"/>
  <c r="H36" i="11" s="1"/>
  <c r="E37" i="11"/>
  <c r="F37" i="11" s="1"/>
  <c r="H37" i="11" s="1"/>
  <c r="E38" i="11"/>
  <c r="F38" i="11" s="1"/>
  <c r="H38" i="11" s="1"/>
  <c r="E39" i="11"/>
  <c r="F39" i="11" s="1"/>
  <c r="H39" i="11" s="1"/>
  <c r="E40" i="11"/>
  <c r="F40" i="11" s="1"/>
  <c r="H40" i="11" s="1"/>
  <c r="E41" i="11"/>
  <c r="F41" i="11" s="1"/>
  <c r="H41" i="11" s="1"/>
  <c r="E42" i="11"/>
  <c r="F42" i="11" s="1"/>
  <c r="H42" i="11" s="1"/>
  <c r="E43" i="11"/>
  <c r="F43" i="11" s="1"/>
  <c r="H43" i="11" s="1"/>
  <c r="E52" i="11"/>
  <c r="F52" i="11" s="1"/>
  <c r="H52" i="11" s="1"/>
  <c r="E19" i="1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27" i="11"/>
  <c r="F27" i="11" s="1"/>
  <c r="H27" i="11" s="1"/>
  <c r="E28" i="11"/>
  <c r="F28" i="11" s="1"/>
  <c r="H28" i="11" s="1"/>
  <c r="E29" i="11"/>
  <c r="F29" i="11" s="1"/>
  <c r="H29" i="11" s="1"/>
  <c r="E30" i="11"/>
  <c r="F30" i="11" s="1"/>
  <c r="H30" i="11" s="1"/>
  <c r="E31" i="11"/>
  <c r="F31" i="11" s="1"/>
  <c r="H31" i="11" s="1"/>
  <c r="E32" i="11"/>
  <c r="F32" i="11" s="1"/>
  <c r="H32" i="11" s="1"/>
  <c r="E33" i="11"/>
  <c r="F33" i="11" s="1"/>
  <c r="H33" i="11" s="1"/>
  <c r="I53" i="11"/>
  <c r="J53" i="11"/>
  <c r="K53" i="11"/>
  <c r="C5" i="13"/>
  <c r="B19" i="13" s="1"/>
  <c r="X30" i="6"/>
  <c r="W10" i="6"/>
  <c r="X10" i="6" s="1"/>
  <c r="W11" i="6"/>
  <c r="X11" i="6" s="1"/>
  <c r="E12" i="13"/>
  <c r="F12" i="13"/>
  <c r="G12" i="13"/>
  <c r="E13" i="13"/>
  <c r="F13" i="13"/>
  <c r="G13" i="13"/>
  <c r="C18" i="13"/>
  <c r="C20" i="13"/>
  <c r="E14" i="13"/>
  <c r="F14" i="13"/>
  <c r="G14" i="13"/>
  <c r="D17" i="10"/>
  <c r="D21" i="10"/>
  <c r="D16" i="10"/>
  <c r="D19" i="10"/>
  <c r="D18" i="10"/>
  <c r="D20" i="10"/>
  <c r="E12" i="11"/>
  <c r="B5" i="6"/>
  <c r="G5" i="6"/>
  <c r="F5" i="6"/>
  <c r="D5" i="6"/>
  <c r="C5" i="6"/>
  <c r="E5" i="6"/>
  <c r="W23" i="6"/>
  <c r="X23" i="6" s="1"/>
  <c r="W25" i="6"/>
  <c r="X25" i="6" s="1"/>
  <c r="W24" i="6"/>
  <c r="X24" i="6" s="1"/>
  <c r="W12" i="6"/>
  <c r="X12" i="6" s="1"/>
  <c r="W15" i="6"/>
  <c r="X15" i="6" s="1"/>
  <c r="W29" i="6"/>
  <c r="X29" i="6" s="1"/>
  <c r="W22" i="6"/>
  <c r="X22" i="6" s="1"/>
  <c r="W18" i="6"/>
  <c r="X18" i="6" s="1"/>
  <c r="W20" i="6"/>
  <c r="X20" i="6" s="1"/>
  <c r="W16" i="6"/>
  <c r="X16" i="6" s="1"/>
  <c r="E19" i="13" l="1"/>
  <c r="G19" i="13" s="1"/>
  <c r="B20" i="13"/>
  <c r="B18" i="13" s="1"/>
  <c r="E18" i="13" s="1"/>
  <c r="G18" i="13" s="1"/>
  <c r="I34" i="11"/>
  <c r="J34" i="11"/>
  <c r="K34" i="11"/>
  <c r="I35" i="11"/>
  <c r="J35" i="11"/>
  <c r="K35" i="11"/>
  <c r="I36" i="11"/>
  <c r="J36" i="11"/>
  <c r="K36" i="11"/>
  <c r="I37" i="11"/>
  <c r="J37" i="11"/>
  <c r="K37" i="11"/>
  <c r="I38" i="11"/>
  <c r="J38" i="11"/>
  <c r="K38" i="11"/>
  <c r="I39" i="11"/>
  <c r="J39" i="11"/>
  <c r="K39" i="11"/>
  <c r="I40" i="11"/>
  <c r="J40" i="11"/>
  <c r="K40" i="11"/>
  <c r="I41" i="11"/>
  <c r="J41" i="11"/>
  <c r="K41" i="11"/>
  <c r="I42" i="11"/>
  <c r="J42" i="11"/>
  <c r="K42" i="11"/>
  <c r="I43" i="11"/>
  <c r="J43" i="11"/>
  <c r="K43" i="11"/>
  <c r="I52" i="11"/>
  <c r="J52" i="11"/>
  <c r="K52" i="11"/>
  <c r="I19" i="11"/>
  <c r="J19" i="11"/>
  <c r="K19" i="11"/>
  <c r="G12" i="11"/>
  <c r="I20" i="11"/>
  <c r="J20" i="11"/>
  <c r="K20" i="11"/>
  <c r="I21" i="11"/>
  <c r="J21" i="11"/>
  <c r="K21" i="11"/>
  <c r="I22" i="11"/>
  <c r="J22" i="11"/>
  <c r="K22" i="11"/>
  <c r="I23" i="11"/>
  <c r="J23" i="11"/>
  <c r="K23" i="11"/>
  <c r="I24" i="11"/>
  <c r="J24" i="11"/>
  <c r="K24" i="11"/>
  <c r="I25" i="11"/>
  <c r="J25" i="11"/>
  <c r="K25" i="11"/>
  <c r="I26" i="11"/>
  <c r="J26" i="11"/>
  <c r="K26" i="11"/>
  <c r="I27" i="11"/>
  <c r="J27" i="11"/>
  <c r="K27" i="11"/>
  <c r="I28" i="11"/>
  <c r="J28" i="11"/>
  <c r="K28" i="11"/>
  <c r="I29" i="11"/>
  <c r="J29" i="11"/>
  <c r="K29" i="11"/>
  <c r="I30" i="11"/>
  <c r="J30" i="11"/>
  <c r="K30" i="11"/>
  <c r="I31" i="11"/>
  <c r="J31" i="11"/>
  <c r="K31" i="11"/>
  <c r="I32" i="11"/>
  <c r="J32" i="11"/>
  <c r="K32" i="11"/>
  <c r="I33" i="11"/>
  <c r="J33" i="11"/>
  <c r="K33" i="11"/>
  <c r="I17" i="10"/>
  <c r="F17" i="10"/>
  <c r="H17" i="10" s="1"/>
  <c r="I21" i="10"/>
  <c r="F21" i="10"/>
  <c r="H21" i="10" s="1"/>
  <c r="I16" i="10"/>
  <c r="F16" i="10"/>
  <c r="H16" i="10" s="1"/>
  <c r="I19" i="10"/>
  <c r="F19" i="10"/>
  <c r="H19" i="10" s="1"/>
  <c r="I18" i="10"/>
  <c r="F18" i="10"/>
  <c r="H18" i="10" s="1"/>
  <c r="I20" i="10"/>
  <c r="F20" i="10"/>
  <c r="H20" i="10" s="1"/>
  <c r="E20" i="13"/>
  <c r="G20" i="13" s="1"/>
  <c r="H1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N7" authorId="0" shapeId="0" xr:uid="{00000000-0006-0000-0400-000004000000}">
      <text>
        <r>
          <rPr>
            <sz val="11"/>
            <color theme="1"/>
            <rFont val="Calibri"/>
            <family val="2"/>
            <scheme val="minor"/>
          </rPr>
          <t>NOT SOLD ON iterji.com (checked 2026-07). Suggested source: Fraterworks (intl). See the Sourcing note and the Scale-Up Plan tab.</t>
        </r>
      </text>
    </comment>
    <comment ref="N8" authorId="0" shapeId="0" xr:uid="{00000000-0006-0000-0400-000005000000}">
      <text>
        <r>
          <rPr>
            <sz val="11"/>
            <color theme="1"/>
            <rFont val="Calibri"/>
            <family val="2"/>
            <scheme val="minor"/>
          </rPr>
          <t>NOT SOLD ON iterji.com (checked 2026-07). Suggested source: Fraterworks (intl). See the Sourcing note and the Scale-Up Plan tab.</t>
        </r>
      </text>
    </comment>
    <comment ref="N13" authorId="0" shapeId="0" xr:uid="{00000000-0006-0000-0400-000006000000}">
      <text>
        <r>
          <rPr>
            <sz val="11"/>
            <color theme="1"/>
            <rFont val="Calibri"/>
            <family val="2"/>
            <scheme val="minor"/>
          </rPr>
          <t>NOT SOLD ON iterji.com (checked 2026-07). Suggested source: Jozoor / mygezor.com (KSA). See the Sourcing note and the Scale-Up Plan tab.</t>
        </r>
      </text>
    </comment>
    <comment ref="N15" authorId="0" shapeId="0" xr:uid="{00000000-0006-0000-0400-000007000000}">
      <text>
        <r>
          <rPr>
            <sz val="11"/>
            <color theme="1"/>
            <rFont val="Calibri"/>
            <family val="2"/>
            <scheme val="minor"/>
          </rPr>
          <t>NOT SOLD ON iterji.com (checked 2026-07). Suggested source: Aromology (intl). See the Sourcing note and the Scale-Up Plan tab.</t>
        </r>
      </text>
    </comment>
    <comment ref="N17" authorId="0" shapeId="0" xr:uid="{00000000-0006-0000-0400-000008000000}">
      <text>
        <r>
          <rPr>
            <sz val="11"/>
            <color theme="1"/>
            <rFont val="Calibri"/>
            <family val="2"/>
            <scheme val="minor"/>
          </rPr>
          <t>NOT SOLD ON iterji.com (checked 2026-07). Suggested source: Perfumer's Apprentice (intl). See the Sourcing note and the Scale-Up Plan tab.</t>
        </r>
      </text>
    </comment>
    <comment ref="N23" authorId="0" shapeId="0" xr:uid="{00000000-0006-0000-0400-000009000000}">
      <text>
        <r>
          <rPr>
            <sz val="11"/>
            <color theme="1"/>
            <rFont val="Calibri"/>
            <family val="2"/>
            <scheme val="minor"/>
          </rPr>
          <t>NOT SOLD ON iterji.com (checked 2026-07). Suggested source: Jozoor / mygezor.com (KSA). See the Sourcing note and the Scale-Up Plan tab.</t>
        </r>
      </text>
    </comment>
    <comment ref="A27" authorId="0" shapeId="0" xr:uid="{00000000-0006-0000-0400-00000A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B000000}">
      <text>
        <r>
          <rPr>
            <sz val="11"/>
            <color theme="1"/>
            <rFont val="Calibri"/>
            <family val="2"/>
            <scheme val="minor"/>
          </rPr>
          <t>Fabric use only — track manually.</t>
        </r>
      </text>
    </comment>
    <comment ref="N28" authorId="0" shapeId="0" xr:uid="{00000000-0006-0000-0400-00000C000000}">
      <text>
        <r>
          <rPr>
            <sz val="11"/>
            <color theme="1"/>
            <rFont val="Calibri"/>
            <family val="2"/>
            <scheme val="minor"/>
          </rPr>
          <t>NOT SOLD ON iterji.com (checked 2026-07). Suggested source: Perfumer's Apprentice (intl). See the Sourcing note and the Scale-Up Plan tab.</t>
        </r>
      </text>
    </comment>
    <comment ref="N29" authorId="0" shapeId="0" xr:uid="{00000000-0006-0000-0400-00000D000000}">
      <text>
        <r>
          <rPr>
            <sz val="11"/>
            <color theme="1"/>
            <rFont val="Calibri"/>
            <family val="2"/>
            <scheme val="minor"/>
          </rPr>
          <t>NOT SOLD ON iterji.com (checked 2026-07). Suggested source: Perfumer's Apprentice (intl). See the Sourcing note and the Scale-Up Plan tab.</t>
        </r>
      </text>
    </comment>
    <comment ref="B30" authorId="0" shapeId="0" xr:uid="{00000000-0006-0000-0400-00000E000000}">
      <text>
        <r>
          <rPr>
            <sz val="11"/>
            <color theme="1"/>
            <rFont val="Calibri"/>
            <family val="2"/>
            <scheme val="minor"/>
          </rPr>
          <t>ASSUMED pack content — edit to the real amount.</t>
        </r>
      </text>
    </comment>
    <comment ref="B31" authorId="0" shapeId="0" xr:uid="{00000000-0006-0000-0400-00000F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ASMR-YYYYMMDD-01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<sst xmlns="http://schemas.openxmlformats.org/spreadsheetml/2006/main" count="857" uniqueCount="538">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</sst>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6" fillId="3" borderId="3" xfId="0" applyFont="1" applyFill="1" applyBorder="1" applyAlignment="1" applyProtection="1">
      <alignment horizontal="center" vertical="center"/>
      <protection locked="0"/>
    </xf>
    <xf numFmtId="0" fontId="5" fillId="0" borderId="0" xfId="0" applyFont="1" applyAlignment="1" applyProtection="1">
      <alignment vertical="center" wrapText="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1" t="s">
        <v>0</v>
      </c>
      <c r="C2" s="92"/>
      <c r="D2" s="92"/>
      <c r="E2" s="92"/>
      <c r="F2" s="92"/>
      <c r="G2" s="92"/>
    </row>
    <row r="3" spans="1:7" x14ac:dyDescent="0.35">
      <c r="A3" s="1"/>
      <c r="B3" s="100" t="s">
        <v>1</v>
      </c>
      <c r="C3" s="92"/>
      <c r="D3" s="92"/>
      <c r="E3" s="92"/>
      <c r="F3" s="92"/>
      <c r="G3" s="92"/>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5" t="s">
        <v>8</v>
      </c>
      <c r="C9" s="96"/>
      <c r="D9" s="96"/>
      <c r="E9" s="95" t="s">
        <v>9</v>
      </c>
      <c r="F9" s="96"/>
      <c r="G9" s="96"/>
    </row>
    <row r="10" spans="1:7" x14ac:dyDescent="0.35">
      <c r="A10" s="1"/>
      <c r="B10" s="6" t="s">
        <v>10</v>
      </c>
      <c r="C10" s="98" t="str">
        <f>BatchFormat</f>
        <v>Extrait de Parfum</v>
      </c>
      <c r="D10" s="92"/>
      <c r="E10" s="93" t="s">
        <v>11</v>
      </c>
      <c r="F10" s="92"/>
      <c r="G10" s="7" t="str">
        <f>IF(COUNTIFS(LogStatus,"Macerating",LogStart,"&lt;&gt;")=0,"—",TEXT(MIN(LogMacStart)+28,"yyyy-mm-dd"))</f>
        <v>—</v>
      </c>
    </row>
    <row r="11" spans="1:7" x14ac:dyDescent="0.35">
      <c r="A11" s="1"/>
      <c r="B11" s="6" t="s">
        <v>12</v>
      </c>
      <c r="C11" s="98" t="str">
        <f>BatchSize&amp;" "&amp;BatchUnit</f>
        <v>50 ml</v>
      </c>
      <c r="D11" s="92"/>
      <c r="E11" s="93" t="s">
        <v>13</v>
      </c>
      <c r="F11" s="92"/>
      <c r="G11" s="7" t="str">
        <f>IF(COUNTIFS(LogStatus,"Macerating",LogStart,"&lt;&gt;")=0,"—",TEXT(MIN(LogMacStart)+MacDays,"yyyy-mm-dd"))</f>
        <v>—</v>
      </c>
    </row>
    <row r="12" spans="1:7" x14ac:dyDescent="0.35">
      <c r="A12" s="1"/>
      <c r="B12" s="6" t="s">
        <v>14</v>
      </c>
      <c r="C12" s="94">
        <f>ConcG</f>
        <v>11.9</v>
      </c>
      <c r="D12" s="92"/>
      <c r="E12" s="93" t="s">
        <v>15</v>
      </c>
      <c r="F12" s="92"/>
      <c r="G12" s="9">
        <f ca="1">SUMPRODUCT((LogStatus="Macerating")*(LogStart&lt;&gt;"")*((TODAY()-LogStart)&gt;=28))</f>
        <v>0</v>
      </c>
    </row>
    <row r="13" spans="1:7" x14ac:dyDescent="0.35">
      <c r="A13" s="1"/>
      <c r="B13" s="6" t="s">
        <v>16</v>
      </c>
      <c r="C13" s="101">
        <f>AlcoholG</f>
        <v>30.6</v>
      </c>
      <c r="D13" s="92"/>
      <c r="E13" s="93" t="s">
        <v>17</v>
      </c>
      <c r="F13" s="92"/>
      <c r="G13" s="8">
        <f>TotalConcUsedG</f>
        <v>0</v>
      </c>
    </row>
    <row r="14" spans="1:7" x14ac:dyDescent="0.35">
      <c r="A14" s="1"/>
      <c r="B14" s="6" t="s">
        <v>18</v>
      </c>
      <c r="C14" s="94">
        <f>BatchCostSAR</f>
        <v>74.816424189431729</v>
      </c>
      <c r="D14" s="92"/>
      <c r="E14" s="93" t="s">
        <v>19</v>
      </c>
      <c r="F14" s="92"/>
      <c r="G14" s="8">
        <f>AlcoholUsedG</f>
        <v>0</v>
      </c>
    </row>
    <row r="15" spans="1:7" x14ac:dyDescent="0.35">
      <c r="A15" s="1"/>
      <c r="B15" s="6" t="s">
        <v>20</v>
      </c>
      <c r="C15" s="94">
        <f>CostPerMl</f>
        <v>1.4963284837886346</v>
      </c>
      <c r="D15" s="92"/>
      <c r="E15" s="93" t="s">
        <v>21</v>
      </c>
      <c r="F15" s="92"/>
      <c r="G15" s="9">
        <f>MacDays</f>
        <v>42</v>
      </c>
    </row>
    <row r="16" spans="1:7" x14ac:dyDescent="0.35">
      <c r="A16" s="1"/>
      <c r="B16" s="1"/>
      <c r="C16" s="1"/>
      <c r="D16" s="1"/>
      <c r="E16" s="1"/>
      <c r="F16" s="1"/>
      <c r="G16" s="1"/>
    </row>
    <row r="17" spans="1:7" ht="18" customHeight="1" x14ac:dyDescent="0.35">
      <c r="A17" s="1"/>
      <c r="B17" s="95" t="s">
        <v>22</v>
      </c>
      <c r="C17" s="96"/>
      <c r="D17" s="96"/>
      <c r="E17" s="96"/>
      <c r="F17" s="96"/>
      <c r="G17" s="96"/>
    </row>
    <row r="18" spans="1:7" ht="30" customHeight="1" x14ac:dyDescent="0.35">
      <c r="A18" s="1"/>
      <c r="B18" s="102" t="str">
        <f>IF($G$7=0,"✓ All materials stocked for at least two default batches.","⚠ Low stock — reorder:  "&amp;Inv_LowJoined)</f>
        <v>✓ All materials stocked for at least two default batches.</v>
      </c>
      <c r="C18" s="92"/>
      <c r="D18" s="92"/>
      <c r="E18" s="92"/>
      <c r="F18" s="92"/>
      <c r="G18" s="92"/>
    </row>
    <row r="19" spans="1:7" x14ac:dyDescent="0.35">
      <c r="A19" s="1"/>
      <c r="B19" s="1"/>
      <c r="C19" s="1"/>
      <c r="D19" s="1"/>
      <c r="E19" s="1"/>
      <c r="F19" s="1"/>
      <c r="G19" s="1"/>
    </row>
    <row r="20" spans="1:7" ht="18" customHeight="1" x14ac:dyDescent="0.35">
      <c r="A20" s="1"/>
      <c r="B20" s="95" t="s">
        <v>23</v>
      </c>
      <c r="C20" s="96"/>
      <c r="D20" s="96"/>
      <c r="E20" s="96"/>
      <c r="F20" s="96"/>
      <c r="G20" s="96"/>
    </row>
    <row r="21" spans="1:7" x14ac:dyDescent="0.35">
      <c r="A21" s="1"/>
      <c r="B21" s="97" t="s">
        <v>24</v>
      </c>
      <c r="C21" s="92"/>
      <c r="D21" s="92"/>
      <c r="E21" s="92"/>
      <c r="F21" s="92"/>
      <c r="G21" s="92"/>
    </row>
    <row r="22" spans="1:7" x14ac:dyDescent="0.35">
      <c r="A22" s="1"/>
      <c r="B22" s="97" t="s">
        <v>25</v>
      </c>
      <c r="C22" s="92"/>
      <c r="D22" s="92"/>
      <c r="E22" s="92"/>
      <c r="F22" s="92"/>
      <c r="G22" s="92"/>
    </row>
    <row r="23" spans="1:7" x14ac:dyDescent="0.35">
      <c r="A23" s="1"/>
      <c r="B23" s="97" t="s">
        <v>26</v>
      </c>
      <c r="C23" s="92"/>
      <c r="D23" s="92"/>
      <c r="E23" s="92"/>
      <c r="F23" s="92"/>
      <c r="G23" s="92"/>
    </row>
    <row r="24" spans="1:7" x14ac:dyDescent="0.35">
      <c r="A24" s="1"/>
      <c r="B24" s="1"/>
      <c r="C24" s="1"/>
      <c r="D24" s="1"/>
      <c r="E24" s="1"/>
      <c r="F24" s="1"/>
      <c r="G24" s="1"/>
    </row>
    <row r="25" spans="1:7" x14ac:dyDescent="0.35">
      <c r="A25" s="1"/>
      <c r="B25" s="99" t="s">
        <v>27</v>
      </c>
      <c r="C25" s="92"/>
      <c r="D25" s="92"/>
      <c r="E25" s="92"/>
      <c r="F25" s="92"/>
      <c r="G25" s="92"/>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7" t="s">
        <v>28</v>
      </c>
      <c r="B1" s="92"/>
      <c r="C1" s="92"/>
      <c r="D1" s="92"/>
      <c r="E1" s="92"/>
      <c r="F1" s="92"/>
      <c r="G1" s="92"/>
      <c r="H1" s="92"/>
      <c r="I1" s="92"/>
    </row>
    <row r="2" spans="1:9" x14ac:dyDescent="0.35">
      <c r="A2" s="104" t="s">
        <v>29</v>
      </c>
      <c r="B2" s="105"/>
      <c r="C2" s="105"/>
      <c r="D2" s="105"/>
      <c r="E2" s="105"/>
      <c r="F2" s="105"/>
      <c r="G2" s="105"/>
      <c r="H2" s="105"/>
      <c r="I2" s="105"/>
    </row>
    <row r="3" spans="1:9" x14ac:dyDescent="0.35">
      <c r="A3" s="1"/>
      <c r="B3" s="1"/>
      <c r="C3" s="1"/>
      <c r="D3" s="1"/>
      <c r="E3" s="1"/>
      <c r="F3" s="1"/>
      <c r="G3" s="1"/>
      <c r="H3" s="13" t="s">
        <v>30</v>
      </c>
      <c r="I3" s="14">
        <f>SUMIF($E$7:$E$31,"OPT",$C$7:$C$31)</f>
        <v>1.4999999999999999E-2</v>
      </c>
    </row>
    <row r="4" spans="1:9" x14ac:dyDescent="0.35">
      <c r="A4" s="103" t="s">
        <v>31</v>
      </c>
      <c r="B4" s="92"/>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8" t="str">
        <f>IF(AND(ROUND(C33,6)=1,ROUND(F33,6)=1),"✓ BALANCED — input Σ = "&amp;TEXT(C33,"0.00%")&amp;"   ·   active Σ = "&amp;TEXT(F33,"0.00%"),"⚠ FORMULA DOES NOT SUM TO 100% — check the Input % column")</f>
        <v>✓ BALANCED — input Σ = 100.00%   ·   active Σ = 100.00%</v>
      </c>
      <c r="B34" s="92"/>
      <c r="C34" s="92"/>
      <c r="D34" s="92"/>
      <c r="E34" s="92"/>
      <c r="F34" s="92"/>
      <c r="G34" s="92"/>
      <c r="H34" s="92"/>
      <c r="I34" s="1"/>
    </row>
    <row r="35" spans="1:9" x14ac:dyDescent="0.35">
      <c r="A35" s="1"/>
      <c r="B35" s="1"/>
      <c r="C35" s="1"/>
      <c r="D35" s="1"/>
      <c r="E35" s="1"/>
      <c r="F35" s="1"/>
      <c r="G35" s="1"/>
      <c r="H35" s="1"/>
      <c r="I35" s="1"/>
    </row>
    <row r="36" spans="1:9" x14ac:dyDescent="0.35">
      <c r="A36" s="15" t="s">
        <v>97</v>
      </c>
      <c r="B36" s="30" t="s">
        <v>98</v>
      </c>
      <c r="C36" s="97" t="s">
        <v>99</v>
      </c>
      <c r="D36" s="92"/>
      <c r="E36" s="1"/>
      <c r="F36" s="1"/>
      <c r="G36" s="1"/>
      <c r="H36" s="1"/>
      <c r="I36" s="1"/>
    </row>
    <row r="37" spans="1:9" x14ac:dyDescent="0.35">
      <c r="A37" s="1"/>
      <c r="B37" s="35" t="s">
        <v>100</v>
      </c>
      <c r="C37" s="97" t="s">
        <v>101</v>
      </c>
      <c r="D37" s="92"/>
      <c r="E37" s="92"/>
      <c r="F37" s="92"/>
      <c r="G37" s="92"/>
      <c r="H37" s="1"/>
      <c r="I37" s="1"/>
    </row>
    <row r="38" spans="1:9" ht="24" customHeight="1" x14ac:dyDescent="0.35">
      <c r="A38" s="106" t="s">
        <v>102</v>
      </c>
      <c r="B38" s="92"/>
      <c r="C38" s="92"/>
      <c r="D38" s="92"/>
      <c r="E38" s="92"/>
      <c r="F38" s="92"/>
      <c r="G38" s="92"/>
      <c r="H38" s="92"/>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7" t="s">
        <v>103</v>
      </c>
      <c r="B1" s="92"/>
      <c r="C1" s="92"/>
      <c r="D1" s="92"/>
      <c r="E1" s="92"/>
      <c r="F1" s="92"/>
      <c r="G1" s="92"/>
      <c r="H1" s="92"/>
    </row>
    <row r="2" spans="1:8" x14ac:dyDescent="0.35">
      <c r="A2" s="104" t="s">
        <v>104</v>
      </c>
      <c r="B2" s="105"/>
      <c r="C2" s="105"/>
      <c r="D2" s="105"/>
      <c r="E2" s="105"/>
      <c r="F2" s="105"/>
      <c r="G2" s="105"/>
      <c r="H2" s="105"/>
    </row>
    <row r="3" spans="1:8" ht="18" customHeight="1" x14ac:dyDescent="0.35">
      <c r="A3" s="95" t="s">
        <v>105</v>
      </c>
      <c r="B3" s="96"/>
      <c r="C3" s="96"/>
      <c r="D3" s="96"/>
      <c r="E3" s="96"/>
      <c r="F3" s="96"/>
      <c r="G3" s="96"/>
      <c r="H3" s="96"/>
    </row>
    <row r="4" spans="1:8" x14ac:dyDescent="0.35">
      <c r="A4" s="103" t="s">
        <v>106</v>
      </c>
      <c r="B4" s="92"/>
      <c r="C4" s="16" t="s">
        <v>107</v>
      </c>
      <c r="D4" s="97" t="s">
        <v>108</v>
      </c>
      <c r="E4" s="92"/>
      <c r="F4" s="92"/>
      <c r="G4" s="92"/>
      <c r="H4" s="92"/>
    </row>
    <row r="5" spans="1:8" x14ac:dyDescent="0.35">
      <c r="A5" s="103" t="s">
        <v>109</v>
      </c>
      <c r="B5" s="92"/>
      <c r="C5" s="42">
        <v>50</v>
      </c>
      <c r="D5" s="97" t="s">
        <v>110</v>
      </c>
      <c r="E5" s="92"/>
      <c r="F5" s="92"/>
      <c r="G5" s="92"/>
      <c r="H5" s="92"/>
    </row>
    <row r="6" spans="1:8" x14ac:dyDescent="0.35">
      <c r="A6" s="103" t="s">
        <v>111</v>
      </c>
      <c r="B6" s="92"/>
      <c r="C6" s="16" t="s">
        <v>112</v>
      </c>
      <c r="D6" s="97" t="s">
        <v>113</v>
      </c>
      <c r="E6" s="92"/>
      <c r="F6" s="92"/>
      <c r="G6" s="92"/>
      <c r="H6" s="92"/>
    </row>
    <row r="7" spans="1:8" x14ac:dyDescent="0.35">
      <c r="A7" s="103" t="s">
        <v>114</v>
      </c>
      <c r="B7" s="92"/>
      <c r="C7" s="20">
        <v>0.28000000000000003</v>
      </c>
      <c r="D7" s="97" t="str">
        <f>"Suggested for this format: "&amp;TEXT(VLOOKUP(BatchFormat,FormatDefaults,2,FALSE),"0.0%")&amp;"   (range "&amp;TEXT(VLOOKUP(BatchFormat,FormatDefaults,3,FALSE),"0.0%")&amp;" – "&amp;TEXT(VLOOKUP(BatchFormat,FormatDefaults,4,FALSE),"0.0%")&amp;")"</f>
        <v>Suggested for this format: 28.0%   (range 20.0% – 35.0%)</v>
      </c>
      <c r="E7" s="92"/>
      <c r="F7" s="92"/>
      <c r="G7" s="92"/>
      <c r="H7" s="92"/>
    </row>
    <row r="8" spans="1:8" x14ac:dyDescent="0.35">
      <c r="A8" s="103" t="s">
        <v>115</v>
      </c>
      <c r="B8" s="92"/>
      <c r="C8" s="43">
        <v>0.85</v>
      </c>
      <c r="D8" s="97" t="str">
        <f>"Typical for this format: "&amp;TEXT(VLOOKUP(BatchFormat,FormatDefaults,5,FALSE),"0.00")&amp;" g/ml"</f>
        <v>Typical for this format: 0.85 g/ml</v>
      </c>
      <c r="E8" s="92"/>
      <c r="F8" s="92"/>
      <c r="G8" s="92"/>
      <c r="H8" s="92"/>
    </row>
    <row r="9" spans="1:8" x14ac:dyDescent="0.35">
      <c r="A9" s="103" t="s">
        <v>116</v>
      </c>
      <c r="B9" s="92"/>
      <c r="C9" s="44" t="str">
        <f>IncludeOptionals</f>
        <v>YES</v>
      </c>
      <c r="D9" s="97" t="s">
        <v>117</v>
      </c>
      <c r="E9" s="92"/>
      <c r="F9" s="92"/>
      <c r="G9" s="92"/>
      <c r="H9" s="92"/>
    </row>
    <row r="10" spans="1:8" x14ac:dyDescent="0.35">
      <c r="A10" s="1"/>
      <c r="B10" s="1"/>
      <c r="C10" s="1"/>
      <c r="D10" s="1"/>
      <c r="E10" s="1"/>
      <c r="F10" s="1"/>
      <c r="G10" s="1"/>
      <c r="H10" s="1"/>
    </row>
    <row r="11" spans="1:8" ht="18" customHeight="1" x14ac:dyDescent="0.35">
      <c r="A11" s="95" t="s">
        <v>118</v>
      </c>
      <c r="B11" s="96"/>
      <c r="C11" s="96"/>
      <c r="D11" s="96"/>
      <c r="E11" s="96"/>
      <c r="F11" s="96"/>
      <c r="G11" s="96"/>
      <c r="H11" s="96"/>
    </row>
    <row r="12" spans="1:8" x14ac:dyDescent="0.35">
      <c r="A12" s="93" t="s">
        <v>119</v>
      </c>
      <c r="B12" s="92"/>
      <c r="C12" s="20">
        <v>0</v>
      </c>
      <c r="D12" s="11" t="s">
        <v>120</v>
      </c>
      <c r="E12" s="120" t="s">
        <v>121</v>
      </c>
      <c r="F12" s="92"/>
      <c r="G12" s="92"/>
      <c r="H12" s="1"/>
    </row>
    <row r="13" spans="1:8" x14ac:dyDescent="0.35">
      <c r="A13" s="93" t="s">
        <v>122</v>
      </c>
      <c r="B13" s="92"/>
      <c r="C13" s="20">
        <v>0.02</v>
      </c>
      <c r="D13" s="11" t="s">
        <v>123</v>
      </c>
      <c r="E13" s="93" t="s">
        <v>124</v>
      </c>
      <c r="F13" s="92"/>
      <c r="G13" s="20">
        <v>0.03</v>
      </c>
      <c r="H13" s="1"/>
    </row>
    <row r="14" spans="1:8" x14ac:dyDescent="0.35">
      <c r="A14" s="93" t="s">
        <v>125</v>
      </c>
      <c r="B14" s="92"/>
      <c r="C14" s="20">
        <v>0.05</v>
      </c>
      <c r="D14" s="11" t="s">
        <v>126</v>
      </c>
      <c r="E14" s="93" t="s">
        <v>127</v>
      </c>
      <c r="F14" s="92"/>
      <c r="G14" s="20">
        <v>0.05</v>
      </c>
      <c r="H14" s="1"/>
    </row>
    <row r="15" spans="1:8" x14ac:dyDescent="0.35">
      <c r="A15" s="93" t="s">
        <v>128</v>
      </c>
      <c r="B15" s="92"/>
      <c r="C15" s="45">
        <v>4</v>
      </c>
      <c r="D15" s="11" t="s">
        <v>129</v>
      </c>
      <c r="E15" s="93" t="s">
        <v>130</v>
      </c>
      <c r="F15" s="92"/>
      <c r="G15" s="20">
        <v>0.02</v>
      </c>
      <c r="H15" s="1"/>
    </row>
    <row r="16" spans="1:8" x14ac:dyDescent="0.35">
      <c r="A16" s="93" t="s">
        <v>131</v>
      </c>
      <c r="B16" s="92"/>
      <c r="C16" s="20">
        <v>2.5000000000000001E-2</v>
      </c>
      <c r="D16" s="11" t="s">
        <v>132</v>
      </c>
      <c r="E16" s="93" t="s">
        <v>133</v>
      </c>
      <c r="F16" s="92"/>
      <c r="G16" s="20">
        <v>0.15</v>
      </c>
      <c r="H16" s="1"/>
    </row>
    <row r="17" spans="1:8" x14ac:dyDescent="0.35">
      <c r="A17" s="93" t="s">
        <v>134</v>
      </c>
      <c r="B17" s="92"/>
      <c r="C17" s="20">
        <v>8.0000000000000002E-3</v>
      </c>
      <c r="D17" s="11" t="s">
        <v>135</v>
      </c>
      <c r="E17" s="93" t="s">
        <v>136</v>
      </c>
      <c r="F17" s="92"/>
      <c r="G17" s="20">
        <v>0.05</v>
      </c>
      <c r="H17" s="1"/>
    </row>
    <row r="18" spans="1:8" x14ac:dyDescent="0.35">
      <c r="A18" s="93" t="s">
        <v>137</v>
      </c>
      <c r="B18" s="92"/>
      <c r="C18" s="20">
        <v>5.0000000000000001E-3</v>
      </c>
      <c r="D18" s="11" t="s">
        <v>138</v>
      </c>
      <c r="E18" s="93" t="s">
        <v>139</v>
      </c>
      <c r="F18" s="92"/>
      <c r="G18" s="20">
        <v>0.01</v>
      </c>
      <c r="H18" s="1"/>
    </row>
    <row r="19" spans="1:8" x14ac:dyDescent="0.35">
      <c r="A19" s="1"/>
      <c r="B19" s="1"/>
      <c r="C19" s="1"/>
      <c r="D19" s="1"/>
      <c r="E19" s="1"/>
      <c r="F19" s="1"/>
      <c r="G19" s="1"/>
      <c r="H19" s="1"/>
    </row>
    <row r="20" spans="1:8" ht="18" customHeight="1" x14ac:dyDescent="0.35">
      <c r="A20" s="95" t="s">
        <v>140</v>
      </c>
      <c r="B20" s="96"/>
      <c r="C20" s="96"/>
      <c r="D20" s="96"/>
      <c r="E20" s="96"/>
      <c r="F20" s="96"/>
      <c r="G20" s="96"/>
      <c r="H20" s="96"/>
    </row>
    <row r="21" spans="1:8" x14ac:dyDescent="0.35">
      <c r="A21" s="103" t="s">
        <v>141</v>
      </c>
      <c r="B21" s="92"/>
      <c r="C21" s="46">
        <f>IF(BatchUnit="g",BatchSize,BatchSize*FinishedDensity)</f>
        <v>42.5</v>
      </c>
      <c r="D21" s="97" t="s">
        <v>142</v>
      </c>
      <c r="E21" s="92"/>
      <c r="F21" s="92"/>
      <c r="G21" s="92"/>
      <c r="H21" s="92"/>
    </row>
    <row r="22" spans="1:8" x14ac:dyDescent="0.35">
      <c r="A22" s="103" t="s">
        <v>143</v>
      </c>
      <c r="B22" s="92"/>
      <c r="C22" s="46">
        <f>IF(BatchUnit="ml",BatchSize,BatchSize/FinishedDensity)</f>
        <v>50</v>
      </c>
      <c r="D22" s="97" t="s">
        <v>144</v>
      </c>
      <c r="E22" s="92"/>
      <c r="F22" s="92"/>
      <c r="G22" s="92"/>
      <c r="H22" s="92"/>
    </row>
    <row r="23" spans="1:8" x14ac:dyDescent="0.35">
      <c r="A23" s="103" t="s">
        <v>145</v>
      </c>
      <c r="B23" s="92"/>
      <c r="C23" s="46">
        <f>TotalMassG*ConcPct</f>
        <v>11.9</v>
      </c>
      <c r="D23" s="97" t="s">
        <v>146</v>
      </c>
      <c r="E23" s="92"/>
      <c r="F23" s="92"/>
      <c r="G23" s="92"/>
      <c r="H23" s="92"/>
    </row>
    <row r="24" spans="1:8" x14ac:dyDescent="0.35">
      <c r="A24" s="103" t="s">
        <v>147</v>
      </c>
      <c r="B24" s="92"/>
      <c r="C24" s="46">
        <f>ConcG*ConcCostPerGLoaded+SUMPRODUCT(AuxGrams,AuxCostPerG)</f>
        <v>74.816424189431729</v>
      </c>
      <c r="D24" s="97" t="s">
        <v>148</v>
      </c>
      <c r="E24" s="92"/>
      <c r="F24" s="92"/>
      <c r="G24" s="92"/>
      <c r="H24" s="92"/>
    </row>
    <row r="25" spans="1:8" x14ac:dyDescent="0.35">
      <c r="A25" s="103" t="s">
        <v>20</v>
      </c>
      <c r="B25" s="92"/>
      <c r="C25" s="46">
        <f>IF(BatchVolMl=0,"",BatchCostSAR/BatchVolMl)</f>
        <v>1.4963284837886346</v>
      </c>
      <c r="D25" s="97"/>
      <c r="E25" s="92"/>
      <c r="F25" s="92"/>
      <c r="G25" s="92"/>
      <c r="H25" s="92"/>
    </row>
    <row r="26" spans="1:8" x14ac:dyDescent="0.35">
      <c r="A26" s="1"/>
      <c r="B26" s="1"/>
      <c r="C26" s="1"/>
      <c r="D26" s="1"/>
      <c r="E26" s="1"/>
      <c r="F26" s="1"/>
      <c r="G26" s="1"/>
      <c r="H26" s="1"/>
    </row>
    <row r="27" spans="1:8" ht="18" customHeight="1" x14ac:dyDescent="0.35">
      <c r="A27" s="95" t="s">
        <v>149</v>
      </c>
      <c r="B27" s="96"/>
      <c r="C27" s="96"/>
      <c r="D27" s="96"/>
      <c r="E27" s="96"/>
      <c r="F27" s="96"/>
      <c r="G27" s="96"/>
      <c r="H27" s="96"/>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11" t="s">
        <v>68</v>
      </c>
      <c r="C29" s="110"/>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11" t="s">
        <v>70</v>
      </c>
      <c r="C30" s="110"/>
      <c r="D30" s="22">
        <f t="shared" si="0"/>
        <v>0.08</v>
      </c>
      <c r="E30" s="10">
        <f t="shared" si="1"/>
        <v>0.95200000000000007</v>
      </c>
      <c r="F30" s="18" t="str">
        <f t="shared" si="2"/>
        <v>neat</v>
      </c>
      <c r="G30" s="47">
        <f t="shared" si="3"/>
        <v>0.95200000000000007</v>
      </c>
      <c r="H30" s="19"/>
    </row>
    <row r="31" spans="1:8" x14ac:dyDescent="0.35">
      <c r="A31" s="18" t="s">
        <v>67</v>
      </c>
      <c r="B31" s="111" t="s">
        <v>72</v>
      </c>
      <c r="C31" s="110"/>
      <c r="D31" s="22">
        <f t="shared" si="0"/>
        <v>2.5000000000000001E-2</v>
      </c>
      <c r="E31" s="10">
        <f t="shared" si="1"/>
        <v>0.29750000000000004</v>
      </c>
      <c r="F31" s="18" t="str">
        <f t="shared" si="2"/>
        <v>neat</v>
      </c>
      <c r="G31" s="47">
        <f t="shared" si="3"/>
        <v>0.29750000000000004</v>
      </c>
      <c r="H31" s="19"/>
    </row>
    <row r="32" spans="1:8" x14ac:dyDescent="0.35">
      <c r="A32" s="18" t="s">
        <v>67</v>
      </c>
      <c r="B32" s="111" t="s">
        <v>74</v>
      </c>
      <c r="C32" s="110"/>
      <c r="D32" s="22">
        <f t="shared" si="0"/>
        <v>0.04</v>
      </c>
      <c r="E32" s="10">
        <f t="shared" si="1"/>
        <v>0.47600000000000003</v>
      </c>
      <c r="F32" s="18" t="str">
        <f t="shared" si="2"/>
        <v>neat</v>
      </c>
      <c r="G32" s="47">
        <f t="shared" si="3"/>
        <v>0.47600000000000003</v>
      </c>
      <c r="H32" s="19"/>
    </row>
    <row r="33" spans="1:8" x14ac:dyDescent="0.35">
      <c r="A33" s="18" t="s">
        <v>67</v>
      </c>
      <c r="B33" s="111" t="s">
        <v>76</v>
      </c>
      <c r="C33" s="110"/>
      <c r="D33" s="22">
        <f t="shared" si="0"/>
        <v>0.03</v>
      </c>
      <c r="E33" s="10">
        <f t="shared" si="1"/>
        <v>0.35699999999999998</v>
      </c>
      <c r="F33" s="18" t="str">
        <f t="shared" si="2"/>
        <v>neat</v>
      </c>
      <c r="G33" s="47">
        <f t="shared" si="3"/>
        <v>0.35699999999999998</v>
      </c>
      <c r="H33" s="19"/>
    </row>
    <row r="34" spans="1:8" x14ac:dyDescent="0.35">
      <c r="A34" s="18" t="s">
        <v>67</v>
      </c>
      <c r="B34" s="111" t="s">
        <v>78</v>
      </c>
      <c r="C34" s="110"/>
      <c r="D34" s="22">
        <f t="shared" si="0"/>
        <v>5.0000000000000001E-3</v>
      </c>
      <c r="E34" s="10">
        <f t="shared" si="1"/>
        <v>5.9500000000000004E-2</v>
      </c>
      <c r="F34" s="18" t="str">
        <f t="shared" si="2"/>
        <v>10% in DPG</v>
      </c>
      <c r="G34" s="47">
        <f t="shared" si="3"/>
        <v>5.9500000000000004E-3</v>
      </c>
      <c r="H34" s="19"/>
    </row>
    <row r="35" spans="1:8" x14ac:dyDescent="0.35">
      <c r="A35" s="18" t="s">
        <v>67</v>
      </c>
      <c r="B35" s="111" t="s">
        <v>80</v>
      </c>
      <c r="C35" s="110"/>
      <c r="D35" s="22">
        <f t="shared" si="0"/>
        <v>6.5000000000000002E-2</v>
      </c>
      <c r="E35" s="10">
        <f t="shared" si="1"/>
        <v>0.77350000000000008</v>
      </c>
      <c r="F35" s="18" t="str">
        <f t="shared" si="2"/>
        <v>neat</v>
      </c>
      <c r="G35" s="47">
        <f t="shared" si="3"/>
        <v>0.77350000000000008</v>
      </c>
      <c r="H35" s="19"/>
    </row>
    <row r="36" spans="1:8" x14ac:dyDescent="0.35">
      <c r="A36" s="18" t="s">
        <v>67</v>
      </c>
      <c r="B36" s="111" t="s">
        <v>82</v>
      </c>
      <c r="C36" s="110"/>
      <c r="D36" s="22">
        <f t="shared" si="0"/>
        <v>0.05</v>
      </c>
      <c r="E36" s="10">
        <f t="shared" si="1"/>
        <v>0.59500000000000008</v>
      </c>
      <c r="F36" s="18" t="str">
        <f t="shared" si="2"/>
        <v>neat</v>
      </c>
      <c r="G36" s="47">
        <f t="shared" si="3"/>
        <v>0.59500000000000008</v>
      </c>
      <c r="H36" s="19"/>
    </row>
    <row r="37" spans="1:8" x14ac:dyDescent="0.35">
      <c r="A37" s="18" t="s">
        <v>67</v>
      </c>
      <c r="B37" s="111" t="s">
        <v>84</v>
      </c>
      <c r="C37" s="110"/>
      <c r="D37" s="22">
        <f t="shared" si="0"/>
        <v>2.5000000000000001E-2</v>
      </c>
      <c r="E37" s="10">
        <f t="shared" si="1"/>
        <v>0.29750000000000004</v>
      </c>
      <c r="F37" s="18" t="str">
        <f t="shared" si="2"/>
        <v>neat</v>
      </c>
      <c r="G37" s="47">
        <f t="shared" si="3"/>
        <v>0.29750000000000004</v>
      </c>
      <c r="H37" s="19"/>
    </row>
    <row r="38" spans="1:8" x14ac:dyDescent="0.35">
      <c r="A38" s="18" t="s">
        <v>67</v>
      </c>
      <c r="B38" s="111" t="s">
        <v>86</v>
      </c>
      <c r="C38" s="110"/>
      <c r="D38" s="22">
        <f t="shared" si="0"/>
        <v>3.5000000000000003E-2</v>
      </c>
      <c r="E38" s="10">
        <f t="shared" si="1"/>
        <v>0.41650000000000004</v>
      </c>
      <c r="F38" s="18" t="str">
        <f t="shared" si="2"/>
        <v>neat</v>
      </c>
      <c r="G38" s="47">
        <f t="shared" si="3"/>
        <v>0.41650000000000004</v>
      </c>
      <c r="H38" s="19"/>
    </row>
    <row r="39" spans="1:8" x14ac:dyDescent="0.35">
      <c r="A39" s="18" t="s">
        <v>67</v>
      </c>
      <c r="B39" s="111" t="s">
        <v>88</v>
      </c>
      <c r="C39" s="110"/>
      <c r="D39" s="22">
        <f t="shared" si="0"/>
        <v>0.02</v>
      </c>
      <c r="E39" s="10">
        <f t="shared" si="1"/>
        <v>0.23800000000000002</v>
      </c>
      <c r="F39" s="18" t="str">
        <f t="shared" si="2"/>
        <v>neat</v>
      </c>
      <c r="G39" s="47">
        <f t="shared" si="3"/>
        <v>0.23800000000000002</v>
      </c>
      <c r="H39" s="19"/>
    </row>
    <row r="40" spans="1:8" x14ac:dyDescent="0.35">
      <c r="A40" s="18" t="s">
        <v>67</v>
      </c>
      <c r="B40" s="111" t="s">
        <v>90</v>
      </c>
      <c r="C40" s="110"/>
      <c r="D40" s="22">
        <f t="shared" si="0"/>
        <v>0.02</v>
      </c>
      <c r="E40" s="10">
        <f t="shared" si="1"/>
        <v>0.23800000000000002</v>
      </c>
      <c r="F40" s="18" t="str">
        <f t="shared" si="2"/>
        <v>neat</v>
      </c>
      <c r="G40" s="47">
        <f t="shared" si="3"/>
        <v>0.23800000000000002</v>
      </c>
      <c r="H40" s="19"/>
    </row>
    <row r="41" spans="1:8" x14ac:dyDescent="0.35">
      <c r="A41" s="18" t="s">
        <v>67</v>
      </c>
      <c r="B41" s="111" t="s">
        <v>92</v>
      </c>
      <c r="C41" s="110"/>
      <c r="D41" s="22">
        <f t="shared" si="0"/>
        <v>5.0000000000000001E-3</v>
      </c>
      <c r="E41" s="10">
        <f t="shared" si="1"/>
        <v>5.9500000000000004E-2</v>
      </c>
      <c r="F41" s="18" t="str">
        <f t="shared" si="2"/>
        <v>neat</v>
      </c>
      <c r="G41" s="47">
        <f t="shared" si="3"/>
        <v>5.9500000000000004E-2</v>
      </c>
      <c r="H41" s="19"/>
    </row>
    <row r="42" spans="1:8" x14ac:dyDescent="0.35">
      <c r="A42" s="18" t="s">
        <v>67</v>
      </c>
      <c r="B42" s="111" t="s">
        <v>94</v>
      </c>
      <c r="C42" s="110"/>
      <c r="D42" s="22">
        <f t="shared" si="0"/>
        <v>0.01</v>
      </c>
      <c r="E42" s="10">
        <f t="shared" si="1"/>
        <v>0.11900000000000001</v>
      </c>
      <c r="F42" s="18" t="str">
        <f t="shared" si="2"/>
        <v>10% in DPG</v>
      </c>
      <c r="G42" s="47">
        <f t="shared" si="3"/>
        <v>1.1900000000000001E-2</v>
      </c>
      <c r="H42" s="19"/>
    </row>
    <row r="43" spans="1:8" x14ac:dyDescent="0.35">
      <c r="A43" s="25" t="s">
        <v>53</v>
      </c>
      <c r="B43" s="119" t="s">
        <v>54</v>
      </c>
      <c r="C43" s="110"/>
      <c r="D43" s="28">
        <f t="shared" si="0"/>
        <v>0.2</v>
      </c>
      <c r="E43" s="48">
        <f t="shared" si="1"/>
        <v>2.3800000000000003</v>
      </c>
      <c r="F43" s="25" t="str">
        <f t="shared" si="2"/>
        <v>neat</v>
      </c>
      <c r="G43" s="49">
        <f t="shared" si="3"/>
        <v>2.3800000000000003</v>
      </c>
      <c r="H43" s="26"/>
    </row>
    <row r="44" spans="1:8" x14ac:dyDescent="0.35">
      <c r="A44" s="25" t="s">
        <v>53</v>
      </c>
      <c r="B44" s="119" t="s">
        <v>56</v>
      </c>
      <c r="C44" s="110"/>
      <c r="D44" s="28">
        <f t="shared" si="0"/>
        <v>2.5000000000000001E-2</v>
      </c>
      <c r="E44" s="48">
        <f t="shared" si="1"/>
        <v>0.29750000000000004</v>
      </c>
      <c r="F44" s="25" t="str">
        <f t="shared" si="2"/>
        <v>neat</v>
      </c>
      <c r="G44" s="49">
        <f t="shared" si="3"/>
        <v>0.29750000000000004</v>
      </c>
      <c r="H44" s="26"/>
    </row>
    <row r="45" spans="1:8" x14ac:dyDescent="0.35">
      <c r="A45" s="25" t="s">
        <v>53</v>
      </c>
      <c r="B45" s="119" t="s">
        <v>58</v>
      </c>
      <c r="C45" s="110"/>
      <c r="D45" s="28">
        <f t="shared" si="0"/>
        <v>0.04</v>
      </c>
      <c r="E45" s="48">
        <f t="shared" si="1"/>
        <v>0.47600000000000003</v>
      </c>
      <c r="F45" s="25" t="str">
        <f t="shared" si="2"/>
        <v>neat</v>
      </c>
      <c r="G45" s="49">
        <f t="shared" si="3"/>
        <v>0.47600000000000003</v>
      </c>
      <c r="H45" s="26"/>
    </row>
    <row r="46" spans="1:8" x14ac:dyDescent="0.35">
      <c r="A46" s="25" t="s">
        <v>53</v>
      </c>
      <c r="B46" s="119" t="s">
        <v>60</v>
      </c>
      <c r="C46" s="110"/>
      <c r="D46" s="28">
        <f t="shared" si="0"/>
        <v>0.01</v>
      </c>
      <c r="E46" s="48">
        <f t="shared" si="1"/>
        <v>0.11900000000000001</v>
      </c>
      <c r="F46" s="25" t="str">
        <f t="shared" si="2"/>
        <v>10% in DPG</v>
      </c>
      <c r="G46" s="49">
        <f t="shared" si="3"/>
        <v>1.1900000000000001E-2</v>
      </c>
      <c r="H46" s="26"/>
    </row>
    <row r="47" spans="1:8" x14ac:dyDescent="0.35">
      <c r="A47" s="25" t="s">
        <v>53</v>
      </c>
      <c r="B47" s="119" t="s">
        <v>63</v>
      </c>
      <c r="C47" s="110"/>
      <c r="D47" s="28">
        <f t="shared" si="0"/>
        <v>0.03</v>
      </c>
      <c r="E47" s="48">
        <f t="shared" si="1"/>
        <v>0.35699999999999998</v>
      </c>
      <c r="F47" s="25" t="str">
        <f t="shared" si="2"/>
        <v>neat</v>
      </c>
      <c r="G47" s="49">
        <f t="shared" si="3"/>
        <v>0.35699999999999998</v>
      </c>
      <c r="H47" s="26"/>
    </row>
    <row r="48" spans="1:8" x14ac:dyDescent="0.35">
      <c r="A48" s="25" t="s">
        <v>53</v>
      </c>
      <c r="B48" s="119" t="s">
        <v>65</v>
      </c>
      <c r="C48" s="110"/>
      <c r="D48" s="28">
        <f t="shared" si="0"/>
        <v>0.01</v>
      </c>
      <c r="E48" s="48">
        <f t="shared" si="1"/>
        <v>0.11900000000000001</v>
      </c>
      <c r="F48" s="25" t="str">
        <f t="shared" si="2"/>
        <v>neat</v>
      </c>
      <c r="G48" s="49">
        <f t="shared" si="3"/>
        <v>0.11900000000000001</v>
      </c>
      <c r="H48" s="26"/>
    </row>
    <row r="49" spans="1:8" x14ac:dyDescent="0.35">
      <c r="A49" s="18" t="s">
        <v>42</v>
      </c>
      <c r="B49" s="111" t="s">
        <v>43</v>
      </c>
      <c r="C49" s="110"/>
      <c r="D49" s="22">
        <f t="shared" si="0"/>
        <v>0.09</v>
      </c>
      <c r="E49" s="10">
        <f t="shared" si="1"/>
        <v>1.071</v>
      </c>
      <c r="F49" s="18" t="str">
        <f t="shared" si="2"/>
        <v>neat</v>
      </c>
      <c r="G49" s="47">
        <f t="shared" si="3"/>
        <v>1.071</v>
      </c>
      <c r="H49" s="19"/>
    </row>
    <row r="50" spans="1:8" x14ac:dyDescent="0.35">
      <c r="A50" s="18" t="s">
        <v>42</v>
      </c>
      <c r="B50" s="111" t="s">
        <v>45</v>
      </c>
      <c r="C50" s="110"/>
      <c r="D50" s="22">
        <f t="shared" si="0"/>
        <v>1.4999999999999999E-2</v>
      </c>
      <c r="E50" s="10">
        <f t="shared" si="1"/>
        <v>0.17849999999999999</v>
      </c>
      <c r="F50" s="18" t="str">
        <f t="shared" si="2"/>
        <v>neat</v>
      </c>
      <c r="G50" s="47">
        <f t="shared" si="3"/>
        <v>0.17849999999999999</v>
      </c>
      <c r="H50" s="19"/>
    </row>
    <row r="51" spans="1:8" x14ac:dyDescent="0.35">
      <c r="A51" s="18" t="s">
        <v>42</v>
      </c>
      <c r="B51" s="111" t="s">
        <v>47</v>
      </c>
      <c r="C51" s="110"/>
      <c r="D51" s="22">
        <f t="shared" si="0"/>
        <v>0.01</v>
      </c>
      <c r="E51" s="10">
        <f t="shared" si="1"/>
        <v>0.11900000000000001</v>
      </c>
      <c r="F51" s="18" t="str">
        <f t="shared" si="2"/>
        <v>neat</v>
      </c>
      <c r="G51" s="47">
        <f t="shared" si="3"/>
        <v>0.11900000000000001</v>
      </c>
      <c r="H51" s="19"/>
    </row>
    <row r="52" spans="1:8" x14ac:dyDescent="0.35">
      <c r="A52" s="18" t="s">
        <v>42</v>
      </c>
      <c r="B52" s="111" t="s">
        <v>49</v>
      </c>
      <c r="C52" s="110"/>
      <c r="D52" s="22">
        <f t="shared" si="0"/>
        <v>5.0000000000000001E-3</v>
      </c>
      <c r="E52" s="10">
        <f t="shared" si="1"/>
        <v>5.9500000000000004E-2</v>
      </c>
      <c r="F52" s="18" t="str">
        <f t="shared" si="2"/>
        <v>10% in DPG</v>
      </c>
      <c r="G52" s="47">
        <f t="shared" si="3"/>
        <v>5.9500000000000004E-3</v>
      </c>
      <c r="H52" s="19"/>
    </row>
    <row r="53" spans="1:8" x14ac:dyDescent="0.35">
      <c r="A53" s="18" t="s">
        <v>42</v>
      </c>
      <c r="B53" s="111" t="s">
        <v>51</v>
      </c>
      <c r="C53" s="110"/>
      <c r="D53" s="22">
        <f t="shared" si="0"/>
        <v>5.0000000000000001E-3</v>
      </c>
      <c r="E53" s="10">
        <f t="shared" si="1"/>
        <v>5.9500000000000004E-2</v>
      </c>
      <c r="F53" s="18" t="str">
        <f t="shared" si="2"/>
        <v>10% in DPG</v>
      </c>
      <c r="G53" s="47">
        <f t="shared" si="3"/>
        <v>5.9500000000000004E-3</v>
      </c>
      <c r="H53" s="19"/>
    </row>
    <row r="54" spans="1:8" x14ac:dyDescent="0.35">
      <c r="A54" s="116" t="s">
        <v>155</v>
      </c>
      <c r="B54" s="92"/>
      <c r="C54" s="92"/>
      <c r="D54" s="92"/>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5" t="s">
        <v>156</v>
      </c>
      <c r="B56" s="96"/>
      <c r="C56" s="96"/>
      <c r="D56" s="96"/>
      <c r="E56" s="96"/>
      <c r="F56" s="96"/>
      <c r="G56" s="96"/>
      <c r="H56" s="96"/>
    </row>
    <row r="57" spans="1:8" ht="24" customHeight="1" x14ac:dyDescent="0.35">
      <c r="A57" s="112" t="s">
        <v>157</v>
      </c>
      <c r="B57" s="113"/>
      <c r="C57" s="114"/>
      <c r="D57" s="17" t="s">
        <v>158</v>
      </c>
      <c r="E57" s="112" t="s">
        <v>159</v>
      </c>
      <c r="F57" s="113"/>
      <c r="G57" s="113"/>
      <c r="H57" s="114"/>
    </row>
    <row r="58" spans="1:8" x14ac:dyDescent="0.35">
      <c r="A58" s="115" t="s">
        <v>160</v>
      </c>
      <c r="B58" s="110"/>
      <c r="C58" s="110"/>
      <c r="D58" s="10">
        <f>IF(OR(BatchFormat="Eau de Parfum",BatchFormat="Extrait de Parfum"),TotalMassG-ConcG-TotalMassG*WaterPct,IF(BatchFormat="Alcohol Body Mist",TotalMassG-ConcG-TotalMassG*MistGlyPct-TotalMassG*MistWaterPct,0))</f>
        <v>30.6</v>
      </c>
      <c r="E58" s="109" t="s">
        <v>161</v>
      </c>
      <c r="F58" s="110"/>
      <c r="G58" s="110"/>
      <c r="H58" s="110"/>
    </row>
    <row r="59" spans="1:8" x14ac:dyDescent="0.35">
      <c r="A59" s="115" t="s">
        <v>162</v>
      </c>
      <c r="B59" s="110"/>
      <c r="C59" s="110"/>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9" t="s">
        <v>163</v>
      </c>
      <c r="F59" s="110"/>
      <c r="G59" s="110"/>
      <c r="H59" s="110"/>
    </row>
    <row r="60" spans="1:8" x14ac:dyDescent="0.35">
      <c r="A60" s="115" t="s">
        <v>164</v>
      </c>
      <c r="B60" s="110"/>
      <c r="C60" s="110"/>
      <c r="D60" s="10">
        <f>IF(BatchFormat="Alcohol Body Mist",TotalMassG*MistGlyPct,IF(BatchFormat="Water-Based Mist",TotalMassG*WMGlyPct,IF(BatchFormat="Cream Route 2 (from scratch)",TotalMassG*CR2GlyPct,0)))</f>
        <v>0</v>
      </c>
      <c r="E60" s="109" t="s">
        <v>165</v>
      </c>
      <c r="F60" s="110"/>
      <c r="G60" s="110"/>
      <c r="H60" s="110"/>
    </row>
    <row r="61" spans="1:8" x14ac:dyDescent="0.35">
      <c r="A61" s="115" t="s">
        <v>166</v>
      </c>
      <c r="B61" s="110"/>
      <c r="C61" s="110"/>
      <c r="D61" s="10">
        <f>IF(BatchFormat="Water-Based Mist",ConcG*SolubRatio,0)</f>
        <v>0</v>
      </c>
      <c r="E61" s="109" t="s">
        <v>167</v>
      </c>
      <c r="F61" s="110"/>
      <c r="G61" s="110"/>
      <c r="H61" s="110"/>
    </row>
    <row r="62" spans="1:8" x14ac:dyDescent="0.35">
      <c r="A62" s="115" t="s">
        <v>168</v>
      </c>
      <c r="B62" s="110"/>
      <c r="C62" s="110"/>
      <c r="D62" s="10">
        <f>IF(BatchFormat="Water-Based Mist",TotalMassG*WMPresPct,IF(BatchFormat="Cream Route 2 (from scratch)",TotalMassG*CR2PresPct,0))</f>
        <v>0</v>
      </c>
      <c r="E62" s="109" t="s">
        <v>169</v>
      </c>
      <c r="F62" s="110"/>
      <c r="G62" s="110"/>
      <c r="H62" s="110"/>
    </row>
    <row r="63" spans="1:8" x14ac:dyDescent="0.35">
      <c r="A63" s="115" t="s">
        <v>170</v>
      </c>
      <c r="B63" s="110"/>
      <c r="C63" s="110"/>
      <c r="D63" s="10">
        <f>IF(BatchFormat="Cream Route 1 (scented base)",TotalMassG-ConcG,0)</f>
        <v>0</v>
      </c>
      <c r="E63" s="109" t="s">
        <v>171</v>
      </c>
      <c r="F63" s="110"/>
      <c r="G63" s="110"/>
      <c r="H63" s="110"/>
    </row>
    <row r="64" spans="1:8" x14ac:dyDescent="0.35">
      <c r="A64" s="115" t="s">
        <v>127</v>
      </c>
      <c r="B64" s="110"/>
      <c r="C64" s="110"/>
      <c r="D64" s="10">
        <f>IF(BatchFormat="Cream Route 2 (from scratch)",TotalMassG*CR2EwaxPct,0)</f>
        <v>0</v>
      </c>
      <c r="E64" s="109" t="s">
        <v>172</v>
      </c>
      <c r="F64" s="110"/>
      <c r="G64" s="110"/>
      <c r="H64" s="110"/>
    </row>
    <row r="65" spans="1:8" x14ac:dyDescent="0.35">
      <c r="A65" s="115" t="s">
        <v>130</v>
      </c>
      <c r="B65" s="110"/>
      <c r="C65" s="110"/>
      <c r="D65" s="10">
        <f>IF(BatchFormat="Cream Route 2 (from scratch)",TotalMassG*CR2CetPct,0)</f>
        <v>0</v>
      </c>
      <c r="E65" s="109" t="s">
        <v>173</v>
      </c>
      <c r="F65" s="110"/>
      <c r="G65" s="110"/>
      <c r="H65" s="110"/>
    </row>
    <row r="66" spans="1:8" x14ac:dyDescent="0.35">
      <c r="A66" s="115" t="s">
        <v>133</v>
      </c>
      <c r="B66" s="110"/>
      <c r="C66" s="110"/>
      <c r="D66" s="10">
        <f>IF(BatchFormat="Cream Route 2 (from scratch)",TotalMassG*CR2OilPct,0)</f>
        <v>0</v>
      </c>
      <c r="E66" s="109" t="s">
        <v>173</v>
      </c>
      <c r="F66" s="110"/>
      <c r="G66" s="110"/>
      <c r="H66" s="110"/>
    </row>
    <row r="67" spans="1:8" x14ac:dyDescent="0.35">
      <c r="A67" s="115" t="s">
        <v>136</v>
      </c>
      <c r="B67" s="110"/>
      <c r="C67" s="110"/>
      <c r="D67" s="10">
        <f>IF(BatchFormat="Cream Route 2 (from scratch)",TotalMassG*CR2ButterPct,0)</f>
        <v>0</v>
      </c>
      <c r="E67" s="109" t="s">
        <v>173</v>
      </c>
      <c r="F67" s="110"/>
      <c r="G67" s="110"/>
      <c r="H67" s="110"/>
    </row>
    <row r="68" spans="1:8" x14ac:dyDescent="0.35">
      <c r="A68" s="115" t="s">
        <v>174</v>
      </c>
      <c r="B68" s="110"/>
      <c r="C68" s="110"/>
      <c r="D68" s="10">
        <f>IF(BatchFormat="Cream Route 2 (from scratch)",TotalMassG*VitEPct,0)</f>
        <v>0</v>
      </c>
      <c r="E68" s="109" t="s">
        <v>175</v>
      </c>
      <c r="F68" s="110"/>
      <c r="G68" s="110"/>
      <c r="H68" s="110"/>
    </row>
    <row r="69" spans="1:8" x14ac:dyDescent="0.35">
      <c r="A69" s="116" t="s">
        <v>176</v>
      </c>
      <c r="B69" s="92"/>
      <c r="C69" s="92"/>
      <c r="D69" s="50">
        <f>ConcG+SUM(D58:D68)</f>
        <v>42.5</v>
      </c>
      <c r="E69" s="103" t="str">
        <f>IF(ABS(D69-TotalMassG)&lt;0.005,"✓ equals batch mass","⚠ mismatch — check inputs")</f>
        <v>✓ equals batch mass</v>
      </c>
      <c r="F69" s="92"/>
      <c r="G69" s="92"/>
      <c r="H69" s="92"/>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7" t="s">
        <v>181</v>
      </c>
      <c r="B73" s="118"/>
      <c r="C73" s="118"/>
      <c r="D73" s="118"/>
      <c r="E73" s="118"/>
      <c r="F73" s="118"/>
      <c r="G73" s="118"/>
      <c r="H73" s="118"/>
    </row>
    <row r="74" spans="1:8" x14ac:dyDescent="0.35">
      <c r="A74" s="93" t="s">
        <v>182</v>
      </c>
      <c r="B74" s="92"/>
      <c r="C74" s="92"/>
      <c r="D74" s="57">
        <f>50*0.85</f>
        <v>42.5</v>
      </c>
      <c r="E74" s="97" t="s">
        <v>183</v>
      </c>
      <c r="F74" s="92"/>
      <c r="G74" s="92"/>
      <c r="H74" s="92"/>
    </row>
    <row r="75" spans="1:8" x14ac:dyDescent="0.35">
      <c r="A75" s="93" t="s">
        <v>184</v>
      </c>
      <c r="B75" s="92"/>
      <c r="C75" s="92"/>
      <c r="D75" s="57">
        <f>50*0.85*0.28</f>
        <v>11.9</v>
      </c>
      <c r="E75" s="97" t="s">
        <v>185</v>
      </c>
      <c r="F75" s="92"/>
      <c r="G75" s="92"/>
      <c r="H75" s="92"/>
    </row>
    <row r="76" spans="1:8" x14ac:dyDescent="0.35">
      <c r="A76" s="93" t="s">
        <v>186</v>
      </c>
      <c r="B76" s="92"/>
      <c r="C76" s="92"/>
      <c r="D76" s="57">
        <f>50*0.85-50*0.85*0.28</f>
        <v>30.6</v>
      </c>
      <c r="E76" s="97" t="s">
        <v>187</v>
      </c>
      <c r="F76" s="92"/>
      <c r="G76" s="92"/>
      <c r="H76" s="92"/>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7" t="s">
        <v>188</v>
      </c>
      <c r="B1" s="92"/>
      <c r="C1" s="92"/>
      <c r="D1" s="92"/>
      <c r="E1" s="92"/>
      <c r="F1" s="92"/>
      <c r="G1" s="92"/>
      <c r="H1" s="92"/>
    </row>
    <row r="2" spans="1:8" x14ac:dyDescent="0.35">
      <c r="A2" s="104" t="s">
        <v>189</v>
      </c>
      <c r="B2" s="105"/>
      <c r="C2" s="105"/>
      <c r="D2" s="105"/>
      <c r="E2" s="105"/>
      <c r="F2" s="105"/>
      <c r="G2" s="105"/>
      <c r="H2" s="105"/>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7" t="s">
        <v>196</v>
      </c>
      <c r="B11" s="92"/>
      <c r="C11" s="92"/>
      <c r="D11" s="92"/>
      <c r="E11" s="92"/>
      <c r="F11" s="92"/>
      <c r="G11" s="92"/>
      <c r="H11" s="92"/>
    </row>
    <row r="12" spans="1:8" x14ac:dyDescent="0.35">
      <c r="A12" s="97" t="s">
        <v>197</v>
      </c>
      <c r="B12" s="92"/>
      <c r="C12" s="92"/>
      <c r="D12" s="92"/>
      <c r="E12" s="92"/>
      <c r="F12" s="92"/>
      <c r="G12" s="92"/>
      <c r="H12" s="92"/>
    </row>
    <row r="13" spans="1:8" x14ac:dyDescent="0.35">
      <c r="A13" s="97" t="s">
        <v>198</v>
      </c>
      <c r="B13" s="92"/>
      <c r="C13" s="92"/>
      <c r="D13" s="92"/>
      <c r="E13" s="92"/>
      <c r="F13" s="92"/>
      <c r="G13" s="92"/>
      <c r="H13" s="92"/>
    </row>
    <row r="14" spans="1:8" x14ac:dyDescent="0.35">
      <c r="A14" s="97" t="s">
        <v>199</v>
      </c>
      <c r="B14" s="92"/>
      <c r="C14" s="92"/>
      <c r="D14" s="92"/>
      <c r="E14" s="92"/>
      <c r="F14" s="92"/>
      <c r="G14" s="92"/>
      <c r="H14" s="92"/>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7" t="s">
        <v>200</v>
      </c>
      <c r="B1" s="92"/>
      <c r="C1" s="92"/>
      <c r="D1" s="92"/>
      <c r="E1" s="92"/>
      <c r="F1" s="92"/>
      <c r="G1" s="92"/>
      <c r="H1" s="92"/>
      <c r="I1" s="92"/>
      <c r="J1" s="92"/>
      <c r="K1" s="92"/>
      <c r="L1" s="92"/>
      <c r="M1" s="92"/>
      <c r="N1" s="92"/>
      <c r="O1" s="92"/>
      <c r="P1" s="92"/>
      <c r="Q1" s="1"/>
      <c r="R1" s="1"/>
    </row>
    <row r="2" spans="1:18" x14ac:dyDescent="0.35">
      <c r="A2" s="104" t="s">
        <v>201</v>
      </c>
      <c r="B2" s="105"/>
      <c r="C2" s="105"/>
      <c r="D2" s="105"/>
      <c r="E2" s="105"/>
      <c r="F2" s="121" t="s">
        <v>202</v>
      </c>
      <c r="G2" s="122"/>
      <c r="H2" s="59">
        <f>50*0.85*0.28</f>
        <v>11.9</v>
      </c>
      <c r="I2" s="121" t="s">
        <v>203</v>
      </c>
      <c r="J2" s="122"/>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6" t="s">
        <v>228</v>
      </c>
      <c r="B32" s="92"/>
      <c r="C32" s="92"/>
      <c r="D32" s="92"/>
      <c r="E32" s="92"/>
      <c r="F32" s="92"/>
      <c r="G32" s="92"/>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6" t="s">
        <v>230</v>
      </c>
      <c r="C34" s="92"/>
      <c r="D34" s="92"/>
      <c r="E34" s="92"/>
      <c r="F34" s="92"/>
      <c r="G34" s="92"/>
      <c r="H34" s="92"/>
      <c r="I34" s="92"/>
      <c r="J34" s="92"/>
      <c r="K34" s="92"/>
      <c r="L34" s="92"/>
      <c r="M34" s="92"/>
      <c r="N34" s="92"/>
      <c r="O34" s="92"/>
      <c r="P34" s="92"/>
      <c r="Q34" s="1"/>
      <c r="R34" s="1"/>
    </row>
    <row r="35" spans="1:18" ht="26" customHeight="1" x14ac:dyDescent="0.35">
      <c r="A35" s="106" t="s">
        <v>231</v>
      </c>
      <c r="B35" s="92"/>
      <c r="C35" s="92"/>
      <c r="D35" s="92"/>
      <c r="E35" s="92"/>
      <c r="F35" s="92"/>
      <c r="G35" s="92"/>
      <c r="H35" s="92"/>
      <c r="I35" s="92"/>
      <c r="J35" s="92"/>
      <c r="K35" s="92"/>
      <c r="L35" s="92"/>
      <c r="M35" s="92"/>
      <c r="N35" s="92"/>
      <c r="O35" s="92"/>
      <c r="P35" s="92"/>
      <c r="Q35" s="1"/>
      <c r="R35" s="1"/>
    </row>
    <row r="36" spans="1:18" ht="26" customHeight="1" x14ac:dyDescent="0.35">
      <c r="A36" s="106" t="s">
        <v>232</v>
      </c>
      <c r="B36" s="92"/>
      <c r="C36" s="92"/>
      <c r="D36" s="92"/>
      <c r="E36" s="92"/>
      <c r="F36" s="92"/>
      <c r="G36" s="92"/>
      <c r="H36" s="92"/>
      <c r="I36" s="92"/>
      <c r="J36" s="92"/>
      <c r="K36" s="92"/>
      <c r="L36" s="92"/>
      <c r="M36" s="92"/>
      <c r="N36" s="92"/>
      <c r="O36" s="92"/>
      <c r="P36" s="92"/>
      <c r="Q36" s="1"/>
      <c r="R36" s="1"/>
    </row>
    <row r="37" spans="1:18" ht="26" customHeight="1" x14ac:dyDescent="0.35">
      <c r="A37" s="106" t="s">
        <v>233</v>
      </c>
      <c r="B37" s="92"/>
      <c r="C37" s="92"/>
      <c r="D37" s="92"/>
      <c r="E37" s="92"/>
      <c r="F37" s="92"/>
      <c r="G37" s="92"/>
      <c r="H37" s="92"/>
      <c r="I37" s="92"/>
      <c r="J37" s="92"/>
      <c r="K37" s="92"/>
      <c r="L37" s="92"/>
      <c r="M37" s="92"/>
      <c r="N37" s="92"/>
      <c r="O37" s="92"/>
      <c r="P37" s="92"/>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8"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A566"/>
  </sheetPr>
  <dimension ref="A1:Y34"/>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7" t="s">
        <v>234</v>
      </c>
      <c r="B1" s="92"/>
      <c r="C1" s="92"/>
      <c r="D1" s="92"/>
      <c r="E1" s="92"/>
      <c r="F1" s="92"/>
      <c r="G1" s="92"/>
      <c r="H1" s="92"/>
      <c r="I1" s="92"/>
      <c r="J1" s="92"/>
      <c r="K1" s="92"/>
      <c r="L1" s="92"/>
      <c r="M1" s="92"/>
      <c r="N1" s="92"/>
      <c r="O1" s="92"/>
      <c r="P1" s="92"/>
      <c r="Q1" s="92"/>
      <c r="R1" s="92"/>
      <c r="S1" s="92"/>
      <c r="T1" s="92"/>
      <c r="U1" s="92"/>
      <c r="V1" s="92"/>
      <c r="W1" s="92"/>
      <c r="X1" s="92"/>
      <c r="Y1" s="92"/>
    </row>
    <row r="2" spans="1:25" x14ac:dyDescent="0.35">
      <c r="A2" s="104" t="s">
        <v>235</v>
      </c>
      <c r="B2" s="105"/>
      <c r="C2" s="105"/>
      <c r="D2" s="105"/>
      <c r="E2" s="105"/>
      <c r="F2" s="105"/>
      <c r="G2" s="105"/>
      <c r="H2" s="105"/>
      <c r="I2" s="105"/>
      <c r="J2" s="105"/>
      <c r="K2" s="105"/>
      <c r="L2" s="105"/>
      <c r="M2" s="105"/>
      <c r="N2" s="105"/>
      <c r="O2" s="105"/>
      <c r="P2" s="105"/>
      <c r="Q2" s="105"/>
      <c r="R2" s="105"/>
      <c r="S2" s="105"/>
      <c r="T2" s="105"/>
      <c r="U2" s="105"/>
      <c r="V2" s="105"/>
      <c r="W2" s="105"/>
      <c r="X2" s="105"/>
      <c r="Y2" s="105"/>
    </row>
    <row r="3" spans="1:25" x14ac:dyDescent="0.35">
      <c r="A3" s="123" t="s">
        <v>236</v>
      </c>
      <c r="B3" s="69">
        <v>10</v>
      </c>
      <c r="C3" s="69">
        <v>20</v>
      </c>
      <c r="D3" s="69">
        <v>30</v>
      </c>
      <c r="E3" s="69">
        <v>50</v>
      </c>
      <c r="F3" s="69">
        <v>70</v>
      </c>
      <c r="G3" s="69">
        <v>100</v>
      </c>
      <c r="H3" s="68" t="s">
        <v>237</v>
      </c>
      <c r="I3" s="106" t="s">
        <v>238</v>
      </c>
      <c r="J3" s="92"/>
      <c r="K3" s="92"/>
      <c r="L3" s="92"/>
      <c r="M3" s="92"/>
      <c r="N3" s="92"/>
      <c r="O3" s="92"/>
      <c r="P3" s="92"/>
      <c r="Q3" s="92"/>
      <c r="R3" s="92"/>
      <c r="S3" s="92"/>
      <c r="T3" s="92"/>
      <c r="U3" s="92"/>
      <c r="V3" s="92"/>
      <c r="W3" s="92"/>
      <c r="X3" s="92"/>
      <c r="Y3" s="92"/>
    </row>
    <row r="4" spans="1:25" ht="18" x14ac:dyDescent="0.35">
      <c r="A4" s="92"/>
      <c r="B4" s="70">
        <f t="shared" ref="B4:G4" si="0">MIN(K7:K34)</f>
        <v>25</v>
      </c>
      <c r="C4" s="70">
        <f t="shared" si="0"/>
        <v>12</v>
      </c>
      <c r="D4" s="70">
        <f t="shared" si="0"/>
        <v>8</v>
      </c>
      <c r="E4" s="70">
        <f t="shared" si="0"/>
        <v>5</v>
      </c>
      <c r="F4" s="70">
        <f t="shared" si="0"/>
        <v>3</v>
      </c>
      <c r="G4" s="70">
        <f t="shared" si="0"/>
        <v>2</v>
      </c>
      <c r="H4" s="68" t="s">
        <v>239</v>
      </c>
      <c r="I4" s="92"/>
      <c r="J4" s="92"/>
      <c r="K4" s="92"/>
      <c r="L4" s="92"/>
      <c r="M4" s="92"/>
      <c r="N4" s="92"/>
      <c r="O4" s="92"/>
      <c r="P4" s="92"/>
      <c r="Q4" s="92"/>
      <c r="R4" s="92"/>
      <c r="S4" s="92"/>
      <c r="T4" s="92"/>
      <c r="U4" s="92"/>
      <c r="V4" s="92"/>
      <c r="W4" s="92"/>
      <c r="X4" s="92"/>
      <c r="Y4" s="92"/>
    </row>
    <row r="5" spans="1:25" ht="18" x14ac:dyDescent="0.35">
      <c r="A5" s="92"/>
      <c r="B5" s="71">
        <f t="shared" ref="B5:G5" si="1">MIN(Q7:Q34)</f>
        <v>25</v>
      </c>
      <c r="C5" s="71">
        <f t="shared" si="1"/>
        <v>12</v>
      </c>
      <c r="D5" s="71">
        <f t="shared" si="1"/>
        <v>8</v>
      </c>
      <c r="E5" s="71">
        <f t="shared" si="1"/>
        <v>5</v>
      </c>
      <c r="F5" s="71">
        <f t="shared" si="1"/>
        <v>3</v>
      </c>
      <c r="G5" s="71">
        <f t="shared" si="1"/>
        <v>2</v>
      </c>
      <c r="H5" s="1"/>
      <c r="I5" s="92"/>
      <c r="J5" s="92"/>
      <c r="K5" s="92"/>
      <c r="L5" s="92"/>
      <c r="M5" s="92"/>
      <c r="N5" s="92"/>
      <c r="O5" s="92"/>
      <c r="P5" s="92"/>
      <c r="Q5" s="92"/>
      <c r="R5" s="92"/>
      <c r="S5" s="92"/>
      <c r="T5" s="92"/>
      <c r="U5" s="92"/>
      <c r="V5" s="92"/>
      <c r="W5" s="92"/>
      <c r="X5" s="92"/>
      <c r="Y5" s="92"/>
    </row>
    <row r="6" spans="1:25" ht="24" customHeight="1" x14ac:dyDescent="0.35">
      <c r="A6" s="17" t="s">
        <v>35</v>
      </c>
      <c r="B6" s="17" t="s">
        <v>204</v>
      </c>
      <c r="C6" s="17" t="s">
        <v>205</v>
      </c>
      <c r="D6" s="17" t="s">
        <v>206</v>
      </c>
      <c r="E6" s="17" t="s">
        <v>240</v>
      </c>
      <c r="F6" s="17" t="s">
        <v>241</v>
      </c>
      <c r="G6" s="17" t="s">
        <v>242</v>
      </c>
      <c r="H6" s="17" t="s">
        <v>243</v>
      </c>
      <c r="I6" s="17" t="s">
        <v>39</v>
      </c>
      <c r="J6" s="17" t="s">
        <v>244</v>
      </c>
      <c r="K6" s="17" t="s">
        <v>245</v>
      </c>
      <c r="L6" s="17" t="s">
        <v>246</v>
      </c>
      <c r="M6" s="17" t="s">
        <v>247</v>
      </c>
      <c r="N6" s="17" t="s">
        <v>248</v>
      </c>
      <c r="O6" s="17" t="s">
        <v>249</v>
      </c>
      <c r="P6" s="17" t="s">
        <v>250</v>
      </c>
      <c r="Q6" s="17" t="s">
        <v>251</v>
      </c>
      <c r="R6" s="17" t="s">
        <v>252</v>
      </c>
      <c r="S6" s="17" t="s">
        <v>253</v>
      </c>
      <c r="T6" s="17" t="s">
        <v>254</v>
      </c>
      <c r="U6" s="17" t="s">
        <v>255</v>
      </c>
      <c r="V6" s="17" t="s">
        <v>256</v>
      </c>
      <c r="W6" s="17" t="s">
        <v>257</v>
      </c>
      <c r="X6" s="17" t="s">
        <v>258</v>
      </c>
      <c r="Y6" s="17" t="s">
        <v>259</v>
      </c>
    </row>
    <row r="7" spans="1:25" x14ac:dyDescent="0.35">
      <c r="A7" s="53" t="str">
        <f>Inventory!A4</f>
        <v>Hedione (Firmenich)</v>
      </c>
      <c r="B7" s="72">
        <f>Inventory!B4</f>
        <v>30</v>
      </c>
      <c r="C7" s="61" t="str">
        <f>Inventory!C4</f>
        <v>ml</v>
      </c>
      <c r="D7" s="72">
        <f>Inventory!D4</f>
        <v>1</v>
      </c>
      <c r="E7" s="60">
        <v>0</v>
      </c>
      <c r="F7" s="73">
        <f>Inventory!E4</f>
        <v>0.9</v>
      </c>
      <c r="G7" s="24">
        <f>Inventory!K4</f>
        <v>27</v>
      </c>
      <c r="H7" s="57">
        <f t="shared" ref="H7:H34" si="2">G7+E7*IF(C7="ml",B7*F7,B7)</f>
        <v>27</v>
      </c>
      <c r="I7" s="74">
        <f t="shared" ref="I7:I34" si="3">IF(A7="DPG (Dipropylene Glycol)",D10ActivePct,IFERROR(INDEX(FM_Active,MATCH(A7,FM_Mat,0)),""))</f>
        <v>0.2</v>
      </c>
      <c r="J7" s="75">
        <f t="shared" ref="J7:J34" si="4">IF(A7="DPG (Dipropylene Glycol)",D10ActivePct*0.9,IF(A7="Alcohol 190 proof SDA 40B","",IFERROR(I7*IF(INDEX(FM_D10,MATCH(A7,FM_Mat,0))="D10",0.1,1),"")))</f>
        <v>0.2</v>
      </c>
      <c r="K7" s="72">
        <f t="shared" ref="K7:K34" si="5">IF($A7="","",IF($A7="DPG (Dipropylene Glycol)",IFERROR(FLOOR((MAX($G7,0)/(D10ActivePct*0.9))/(10*YC_Density*YC_ConcPct),1),""),IF($A7="Alcohol 190 proof SDA 40B",IFERROR(FLOOR(MAX($G7,0)/(10*YC_Density*(1-YC_ConcPct)),1),""),IFERROR(FLOOR((MAX($G7,0)/(INDEX(FM_Active,MATCH($A7,FM_Mat,0))*IF(INDEX(FM_D10,MATCH($A7,FM_Mat,0))="D10",0.1,1)))/(10*YC_Density*YC_ConcPct),1),""))))</f>
        <v>56</v>
      </c>
      <c r="L7" s="72">
        <f t="shared" ref="L7:L34" si="6">IF($A7="","",IF($A7="DPG (Dipropylene Glycol)",IFERROR(FLOOR((MAX($G7,0)/(D10ActivePct*0.9))/(20*YC_Density*YC_ConcPct),1),""),IF($A7="Alcohol 190 proof SDA 40B",IFERROR(FLOOR(MAX($G7,0)/(20*YC_Density*(1-YC_ConcPct)),1),""),IFERROR(FLOOR((MAX($G7,0)/(INDEX(FM_Active,MATCH($A7,FM_Mat,0))*IF(INDEX(FM_D10,MATCH($A7,FM_Mat,0))="D10",0.1,1)))/(20*YC_Density*YC_ConcPct),1),""))))</f>
        <v>28</v>
      </c>
      <c r="M7" s="72">
        <f t="shared" ref="M7:M34" si="7">IF($A7="","",IF($A7="DPG (Dipropylene Glycol)",IFERROR(FLOOR((MAX($G7,0)/(D10ActivePct*0.9))/(30*YC_Density*YC_ConcPct),1),""),IF($A7="Alcohol 190 proof SDA 40B",IFERROR(FLOOR(MAX($G7,0)/(30*YC_Density*(1-YC_ConcPct)),1),""),IFERROR(FLOOR((MAX($G7,0)/(INDEX(FM_Active,MATCH($A7,FM_Mat,0))*IF(INDEX(FM_D10,MATCH($A7,FM_Mat,0))="D10",0.1,1)))/(30*YC_Density*YC_ConcPct),1),""))))</f>
        <v>18</v>
      </c>
      <c r="N7" s="72">
        <f t="shared" ref="N7:N34" si="8">IF($A7="","",IF($A7="DPG (Dipropylene Glycol)",IFERROR(FLOOR((MAX($G7,0)/(D10ActivePct*0.9))/(50*YC_Density*YC_ConcPct),1),""),IF($A7="Alcohol 190 proof SDA 40B",IFERROR(FLOOR(MAX($G7,0)/(50*YC_Density*(1-YC_ConcPct)),1),""),IFERROR(FLOOR((MAX($G7,0)/(INDEX(FM_Active,MATCH($A7,FM_Mat,0))*IF(INDEX(FM_D10,MATCH($A7,FM_Mat,0))="D10",0.1,1)))/(50*YC_Density*YC_ConcPct),1),""))))</f>
        <v>11</v>
      </c>
      <c r="O7" s="72">
        <f t="shared" ref="O7:O34" si="9">IF($A7="","",IF($A7="DPG (Dipropylene Glycol)",IFERROR(FLOOR((MAX($G7,0)/(D10ActivePct*0.9))/(70*YC_Density*YC_ConcPct),1),""),IF($A7="Alcohol 190 proof SDA 40B",IFERROR(FLOOR(MAX($G7,0)/(70*YC_Density*(1-YC_ConcPct)),1),""),IFERROR(FLOOR((MAX($G7,0)/(INDEX(FM_Active,MATCH($A7,FM_Mat,0))*IF(INDEX(FM_D10,MATCH($A7,FM_Mat,0))="D10",0.1,1)))/(70*YC_Density*YC_ConcPct),1),""))))</f>
        <v>8</v>
      </c>
      <c r="P7" s="72">
        <f t="shared" ref="P7:P34" si="10">IF($A7="","",IF($A7="DPG (Dipropylene Glycol)",IFERROR(FLOOR((MAX($G7,0)/(D10ActivePct*0.9))/(100*YC_Density*YC_ConcPct),1),""),IF($A7="Alcohol 190 proof SDA 40B",IFERROR(FLOOR(MAX($G7,0)/(100*YC_Density*(1-YC_ConcPct)),1),""),IFERROR(FLOOR((MAX($G7,0)/(INDEX(FM_Active,MATCH($A7,FM_Mat,0))*IF(INDEX(FM_D10,MATCH($A7,FM_Mat,0))="D10",0.1,1)))/(100*YC_Density*YC_ConcPct),1),""))))</f>
        <v>5</v>
      </c>
      <c r="Q7" s="63">
        <f t="shared" ref="Q7:Q34" si="11">IF($A7="","",IF($A7="DPG (Dipropylene Glycol)",IFERROR(FLOOR((MAX($H7,0)/(D10ActivePct*0.9))/(10*YC_Density*YC_ConcPct),1),""),IF($A7="Alcohol 190 proof SDA 40B",IFERROR(FLOOR(MAX($H7,0)/(10*YC_Density*(1-YC_ConcPct)),1),""),IFERROR(FLOOR((MAX($H7,0)/(INDEX(FM_Active,MATCH($A7,FM_Mat,0))*IF(INDEX(FM_D10,MATCH($A7,FM_Mat,0))="D10",0.1,1)))/(10*YC_Density*YC_ConcPct),1),""))))</f>
        <v>56</v>
      </c>
      <c r="R7" s="63">
        <f t="shared" ref="R7:R34" si="12">IF($A7="","",IF($A7="DPG (Dipropylene Glycol)",IFERROR(FLOOR((MAX($H7,0)/(D10ActivePct*0.9))/(20*YC_Density*YC_ConcPct),1),""),IF($A7="Alcohol 190 proof SDA 40B",IFERROR(FLOOR(MAX($H7,0)/(20*YC_Density*(1-YC_ConcPct)),1),""),IFERROR(FLOOR((MAX($H7,0)/(INDEX(FM_Active,MATCH($A7,FM_Mat,0))*IF(INDEX(FM_D10,MATCH($A7,FM_Mat,0))="D10",0.1,1)))/(20*YC_Density*YC_ConcPct),1),""))))</f>
        <v>28</v>
      </c>
      <c r="S7" s="63">
        <f t="shared" ref="S7:S34" si="13">IF($A7="","",IF($A7="DPG (Dipropylene Glycol)",IFERROR(FLOOR((MAX($H7,0)/(D10ActivePct*0.9))/(30*YC_Density*YC_ConcPct),1),""),IF($A7="Alcohol 190 proof SDA 40B",IFERROR(FLOOR(MAX($H7,0)/(30*YC_Density*(1-YC_ConcPct)),1),""),IFERROR(FLOOR((MAX($H7,0)/(INDEX(FM_Active,MATCH($A7,FM_Mat,0))*IF(INDEX(FM_D10,MATCH($A7,FM_Mat,0))="D10",0.1,1)))/(30*YC_Density*YC_ConcPct),1),""))))</f>
        <v>18</v>
      </c>
      <c r="T7" s="63">
        <f t="shared" ref="T7:T34" si="14">IF($A7="","",IF($A7="DPG (Dipropylene Glycol)",IFERROR(FLOOR((MAX($H7,0)/(D10ActivePct*0.9))/(50*YC_Density*YC_ConcPct),1),""),IF($A7="Alcohol 190 proof SDA 40B",IFERROR(FLOOR(MAX($H7,0)/(50*YC_Density*(1-YC_ConcPct)),1),""),IFERROR(FLOOR((MAX($H7,0)/(INDEX(FM_Active,MATCH($A7,FM_Mat,0))*IF(INDEX(FM_D10,MATCH($A7,FM_Mat,0))="D10",0.1,1)))/(50*YC_Density*YC_ConcPct),1),""))))</f>
        <v>11</v>
      </c>
      <c r="U7" s="63">
        <f t="shared" ref="U7:U34" si="15">IF($A7="","",IF($A7="DPG (Dipropylene Glycol)",IFERROR(FLOOR((MAX($H7,0)/(D10ActivePct*0.9))/(70*YC_Density*YC_ConcPct),1),""),IF($A7="Alcohol 190 proof SDA 40B",IFERROR(FLOOR(MAX($H7,0)/(70*YC_Density*(1-YC_ConcPct)),1),""),IFERROR(FLOOR((MAX($H7,0)/(INDEX(FM_Active,MATCH($A7,FM_Mat,0))*IF(INDEX(FM_D10,MATCH($A7,FM_Mat,0))="D10",0.1,1)))/(70*YC_Density*YC_ConcPct),1),""))))</f>
        <v>8</v>
      </c>
      <c r="V7" s="63">
        <f t="shared" ref="V7:V34" si="16">IF($A7="","",IF($A7="DPG (Dipropylene Glycol)",IFERROR(FLOOR((MAX($H7,0)/(D10ActivePct*0.9))/(100*YC_Density*YC_ConcPct),1),""),IF($A7="Alcohol 190 proof SDA 40B",IFERROR(FLOOR(MAX($H7,0)/(100*YC_Density*(1-YC_ConcPct)),1),""),IFERROR(FLOOR((MAX($H7,0)/(INDEX(FM_Active,MATCH($A7,FM_Mat,0))*IF(INDEX(FM_D10,MATCH($A7,FM_Mat,0))="D10",0.1,1)))/(100*YC_Density*YC_ConcPct),1),""))))</f>
        <v>5</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$34))-$E$4))</f>
        <v>0</v>
      </c>
      <c r="X7" s="61" t="str">
        <f t="shared" ref="X7:X34" si="17">IF(AND(ISNUMBER(W7),W7&gt;0),"BUY MORE - raises output",IF(AND(ISNUMBER(N7),N7=$E$4),"CURRENT BOTTLENECK",IF(AND(ISNUMBER(N7),N7&lt;=$E$4+2),"NEXT LIMIT","")))</f>
        <v/>
      </c>
      <c r="Y7" s="62" t="s">
        <v>260</v>
      </c>
    </row>
    <row r="8" spans="1:25" x14ac:dyDescent="0.35">
      <c r="A8" s="53" t="str">
        <f>Inventory!A5</f>
        <v>Iso E Super</v>
      </c>
      <c r="B8" s="72">
        <f>Inventory!B5</f>
        <v>10</v>
      </c>
      <c r="C8" s="61" t="str">
        <f>Inventory!C5</f>
        <v>ml</v>
      </c>
      <c r="D8" s="72">
        <f>Inventory!D5</f>
        <v>1</v>
      </c>
      <c r="E8" s="60">
        <v>0</v>
      </c>
      <c r="F8" s="73">
        <f>Inventory!E5</f>
        <v>0.9</v>
      </c>
      <c r="G8" s="24">
        <f>Inventory!K5</f>
        <v>9</v>
      </c>
      <c r="H8" s="57">
        <f t="shared" si="2"/>
        <v>9</v>
      </c>
      <c r="I8" s="74">
        <f t="shared" si="3"/>
        <v>0.15</v>
      </c>
      <c r="J8" s="75">
        <f t="shared" si="4"/>
        <v>0.15</v>
      </c>
      <c r="K8" s="72">
        <f t="shared" si="5"/>
        <v>25</v>
      </c>
      <c r="L8" s="72">
        <f t="shared" si="6"/>
        <v>12</v>
      </c>
      <c r="M8" s="72">
        <f t="shared" si="7"/>
        <v>8</v>
      </c>
      <c r="N8" s="72">
        <f t="shared" si="8"/>
        <v>5</v>
      </c>
      <c r="O8" s="72">
        <f t="shared" si="9"/>
        <v>3</v>
      </c>
      <c r="P8" s="72">
        <f t="shared" si="10"/>
        <v>2</v>
      </c>
      <c r="Q8" s="63">
        <f t="shared" si="11"/>
        <v>25</v>
      </c>
      <c r="R8" s="63">
        <f t="shared" si="12"/>
        <v>12</v>
      </c>
      <c r="S8" s="63">
        <f t="shared" si="13"/>
        <v>8</v>
      </c>
      <c r="T8" s="63">
        <f t="shared" si="14"/>
        <v>5</v>
      </c>
      <c r="U8" s="63">
        <f t="shared" si="15"/>
        <v>3</v>
      </c>
      <c r="V8" s="63">
        <f t="shared" si="16"/>
        <v>2</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$34))-$E$4))</f>
        <v>3</v>
      </c>
      <c r="X8" s="61" t="str">
        <f t="shared" si="17"/>
        <v>BUY MORE - raises output</v>
      </c>
      <c r="Y8" s="62" t="s">
        <v>260</v>
      </c>
    </row>
    <row r="9" spans="1:25" x14ac:dyDescent="0.35">
      <c r="A9" s="53" t="str">
        <f>Inventory!A6</f>
        <v>Amberxan (Ambroxan)</v>
      </c>
      <c r="B9" s="72">
        <f>Inventory!B6</f>
        <v>10</v>
      </c>
      <c r="C9" s="61" t="str">
        <f>Inventory!C6</f>
        <v>g</v>
      </c>
      <c r="D9" s="72">
        <f>Inventory!D6</f>
        <v>1</v>
      </c>
      <c r="E9" s="60">
        <v>0</v>
      </c>
      <c r="F9" s="73">
        <f>Inventory!E6</f>
        <v>0</v>
      </c>
      <c r="G9" s="24">
        <f>Inventory!K6</f>
        <v>10</v>
      </c>
      <c r="H9" s="57">
        <f t="shared" si="2"/>
        <v>10</v>
      </c>
      <c r="I9" s="74">
        <f t="shared" si="3"/>
        <v>0.08</v>
      </c>
      <c r="J9" s="75">
        <f t="shared" si="4"/>
        <v>0.08</v>
      </c>
      <c r="K9" s="72">
        <f t="shared" si="5"/>
        <v>52</v>
      </c>
      <c r="L9" s="72">
        <f t="shared" si="6"/>
        <v>26</v>
      </c>
      <c r="M9" s="72">
        <f t="shared" si="7"/>
        <v>17</v>
      </c>
      <c r="N9" s="72">
        <f t="shared" si="8"/>
        <v>10</v>
      </c>
      <c r="O9" s="72">
        <f t="shared" si="9"/>
        <v>7</v>
      </c>
      <c r="P9" s="72">
        <f t="shared" si="10"/>
        <v>5</v>
      </c>
      <c r="Q9" s="63">
        <f t="shared" si="11"/>
        <v>52</v>
      </c>
      <c r="R9" s="63">
        <f t="shared" si="12"/>
        <v>26</v>
      </c>
      <c r="S9" s="63">
        <f t="shared" si="13"/>
        <v>17</v>
      </c>
      <c r="T9" s="63">
        <f t="shared" si="14"/>
        <v>10</v>
      </c>
      <c r="U9" s="63">
        <f t="shared" si="15"/>
        <v>7</v>
      </c>
      <c r="V9" s="63">
        <f t="shared" si="16"/>
        <v>5</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$34))-$E$4))</f>
        <v>0</v>
      </c>
      <c r="X9" s="61" t="str">
        <f t="shared" si="17"/>
        <v/>
      </c>
      <c r="Y9" s="62" t="s">
        <v>260</v>
      </c>
    </row>
    <row r="10" spans="1:25" x14ac:dyDescent="0.35">
      <c r="A10" s="53" t="str">
        <f>Inventory!A7</f>
        <v>Globalide (Habanolide)</v>
      </c>
      <c r="B10" s="72">
        <f>Inventory!B7</f>
        <v>10</v>
      </c>
      <c r="C10" s="61" t="str">
        <f>Inventory!C7</f>
        <v>g</v>
      </c>
      <c r="D10" s="72">
        <f>Inventory!D7</f>
        <v>1</v>
      </c>
      <c r="E10" s="60">
        <v>0</v>
      </c>
      <c r="F10" s="73">
        <f>Inventory!E7</f>
        <v>0</v>
      </c>
      <c r="G10" s="24">
        <f>Inventory!K7</f>
        <v>10</v>
      </c>
      <c r="H10" s="57">
        <f t="shared" si="2"/>
        <v>10</v>
      </c>
      <c r="I10" s="74">
        <f t="shared" si="3"/>
        <v>6.5000000000000002E-2</v>
      </c>
      <c r="J10" s="75">
        <f t="shared" si="4"/>
        <v>6.5000000000000002E-2</v>
      </c>
      <c r="K10" s="72">
        <f t="shared" si="5"/>
        <v>64</v>
      </c>
      <c r="L10" s="72">
        <f t="shared" si="6"/>
        <v>32</v>
      </c>
      <c r="M10" s="72">
        <f t="shared" si="7"/>
        <v>21</v>
      </c>
      <c r="N10" s="72">
        <f t="shared" si="8"/>
        <v>12</v>
      </c>
      <c r="O10" s="72">
        <f t="shared" si="9"/>
        <v>9</v>
      </c>
      <c r="P10" s="72">
        <f t="shared" si="10"/>
        <v>6</v>
      </c>
      <c r="Q10" s="63">
        <f t="shared" si="11"/>
        <v>64</v>
      </c>
      <c r="R10" s="63">
        <f t="shared" si="12"/>
        <v>32</v>
      </c>
      <c r="S10" s="63">
        <f t="shared" si="13"/>
        <v>21</v>
      </c>
      <c r="T10" s="63">
        <f t="shared" si="14"/>
        <v>12</v>
      </c>
      <c r="U10" s="63">
        <f t="shared" si="15"/>
        <v>9</v>
      </c>
      <c r="V10" s="63">
        <f t="shared" si="16"/>
        <v>6</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$34))-$E$4))</f>
        <v>0</v>
      </c>
      <c r="X10" s="61" t="str">
        <f t="shared" si="17"/>
        <v/>
      </c>
      <c r="Y10" s="62" t="s">
        <v>260</v>
      </c>
    </row>
    <row r="11" spans="1:25" x14ac:dyDescent="0.35">
      <c r="A11" s="53" t="str">
        <f>Inventory!A8</f>
        <v>Helvetolide</v>
      </c>
      <c r="B11" s="72">
        <f>Inventory!B8</f>
        <v>10</v>
      </c>
      <c r="C11" s="61" t="str">
        <f>Inventory!C8</f>
        <v>g</v>
      </c>
      <c r="D11" s="72">
        <f>Inventory!D8</f>
        <v>1</v>
      </c>
      <c r="E11" s="60">
        <v>0</v>
      </c>
      <c r="F11" s="73">
        <f>Inventory!E8</f>
        <v>0</v>
      </c>
      <c r="G11" s="24">
        <f>Inventory!K8</f>
        <v>10</v>
      </c>
      <c r="H11" s="57">
        <f t="shared" si="2"/>
        <v>10</v>
      </c>
      <c r="I11" s="74">
        <f t="shared" si="3"/>
        <v>0.05</v>
      </c>
      <c r="J11" s="75">
        <f t="shared" si="4"/>
        <v>0.05</v>
      </c>
      <c r="K11" s="72">
        <f t="shared" si="5"/>
        <v>84</v>
      </c>
      <c r="L11" s="72">
        <f t="shared" si="6"/>
        <v>42</v>
      </c>
      <c r="M11" s="72">
        <f t="shared" si="7"/>
        <v>28</v>
      </c>
      <c r="N11" s="72">
        <f t="shared" si="8"/>
        <v>16</v>
      </c>
      <c r="O11" s="72">
        <f t="shared" si="9"/>
        <v>12</v>
      </c>
      <c r="P11" s="72">
        <f t="shared" si="10"/>
        <v>8</v>
      </c>
      <c r="Q11" s="63">
        <f t="shared" si="11"/>
        <v>84</v>
      </c>
      <c r="R11" s="63">
        <f t="shared" si="12"/>
        <v>42</v>
      </c>
      <c r="S11" s="63">
        <f t="shared" si="13"/>
        <v>28</v>
      </c>
      <c r="T11" s="63">
        <f t="shared" si="14"/>
        <v>16</v>
      </c>
      <c r="U11" s="63">
        <f t="shared" si="15"/>
        <v>12</v>
      </c>
      <c r="V11" s="63">
        <f t="shared" si="16"/>
        <v>8</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$34))-$E$4))</f>
        <v>0</v>
      </c>
      <c r="X11" s="61" t="str">
        <f t="shared" si="17"/>
        <v/>
      </c>
      <c r="Y11" s="62" t="s">
        <v>260</v>
      </c>
    </row>
    <row r="12" spans="1:25" x14ac:dyDescent="0.35">
      <c r="A12" s="53" t="str">
        <f>Inventory!A9</f>
        <v>Ambrettolide (Givaudan)</v>
      </c>
      <c r="B12" s="72">
        <f>Inventory!B9</f>
        <v>10</v>
      </c>
      <c r="C12" s="61" t="str">
        <f>Inventory!C9</f>
        <v>ml</v>
      </c>
      <c r="D12" s="72">
        <f>Inventory!D9</f>
        <v>1</v>
      </c>
      <c r="E12" s="60">
        <v>0</v>
      </c>
      <c r="F12" s="73">
        <f>Inventory!E9</f>
        <v>0.9</v>
      </c>
      <c r="G12" s="24">
        <f>Inventory!K9</f>
        <v>9</v>
      </c>
      <c r="H12" s="57">
        <f t="shared" si="2"/>
        <v>9</v>
      </c>
      <c r="I12" s="74">
        <f t="shared" si="3"/>
        <v>2.5000000000000001E-2</v>
      </c>
      <c r="J12" s="75">
        <f t="shared" si="4"/>
        <v>2.5000000000000001E-2</v>
      </c>
      <c r="K12" s="72">
        <f t="shared" si="5"/>
        <v>151</v>
      </c>
      <c r="L12" s="72">
        <f t="shared" si="6"/>
        <v>75</v>
      </c>
      <c r="M12" s="72">
        <f t="shared" si="7"/>
        <v>50</v>
      </c>
      <c r="N12" s="72">
        <f t="shared" si="8"/>
        <v>30</v>
      </c>
      <c r="O12" s="72">
        <f t="shared" si="9"/>
        <v>21</v>
      </c>
      <c r="P12" s="72">
        <f t="shared" si="10"/>
        <v>15</v>
      </c>
      <c r="Q12" s="63">
        <f t="shared" si="11"/>
        <v>151</v>
      </c>
      <c r="R12" s="63">
        <f t="shared" si="12"/>
        <v>75</v>
      </c>
      <c r="S12" s="63">
        <f t="shared" si="13"/>
        <v>50</v>
      </c>
      <c r="T12" s="63">
        <f t="shared" si="14"/>
        <v>30</v>
      </c>
      <c r="U12" s="63">
        <f t="shared" si="15"/>
        <v>21</v>
      </c>
      <c r="V12" s="63">
        <f t="shared" si="16"/>
        <v>15</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$34))-$E$4))</f>
        <v>0</v>
      </c>
      <c r="X12" s="61" t="str">
        <f t="shared" si="17"/>
        <v/>
      </c>
      <c r="Y12" s="62" t="s">
        <v>260</v>
      </c>
    </row>
    <row r="13" spans="1:25" x14ac:dyDescent="0.35">
      <c r="A13" s="53" t="str">
        <f>Inventory!A10</f>
        <v>Ethylene Brassylate</v>
      </c>
      <c r="B13" s="72">
        <f>Inventory!B10</f>
        <v>10</v>
      </c>
      <c r="C13" s="61" t="str">
        <f>Inventory!C10</f>
        <v>ml</v>
      </c>
      <c r="D13" s="72">
        <f>Inventory!D10</f>
        <v>1</v>
      </c>
      <c r="E13" s="60">
        <v>0</v>
      </c>
      <c r="F13" s="73">
        <f>Inventory!E10</f>
        <v>0.9</v>
      </c>
      <c r="G13" s="24">
        <f>Inventory!K10</f>
        <v>9</v>
      </c>
      <c r="H13" s="57">
        <f t="shared" si="2"/>
        <v>9</v>
      </c>
      <c r="I13" s="74">
        <f t="shared" si="3"/>
        <v>3.5000000000000003E-2</v>
      </c>
      <c r="J13" s="75">
        <f t="shared" si="4"/>
        <v>3.5000000000000003E-2</v>
      </c>
      <c r="K13" s="72">
        <f t="shared" si="5"/>
        <v>108</v>
      </c>
      <c r="L13" s="72">
        <f t="shared" si="6"/>
        <v>54</v>
      </c>
      <c r="M13" s="72">
        <f t="shared" si="7"/>
        <v>36</v>
      </c>
      <c r="N13" s="72">
        <f t="shared" si="8"/>
        <v>21</v>
      </c>
      <c r="O13" s="72">
        <f t="shared" si="9"/>
        <v>15</v>
      </c>
      <c r="P13" s="72">
        <f t="shared" si="10"/>
        <v>10</v>
      </c>
      <c r="Q13" s="63">
        <f t="shared" si="11"/>
        <v>108</v>
      </c>
      <c r="R13" s="63">
        <f t="shared" si="12"/>
        <v>54</v>
      </c>
      <c r="S13" s="63">
        <f t="shared" si="13"/>
        <v>36</v>
      </c>
      <c r="T13" s="63">
        <f t="shared" si="14"/>
        <v>21</v>
      </c>
      <c r="U13" s="63">
        <f t="shared" si="15"/>
        <v>15</v>
      </c>
      <c r="V13" s="63">
        <f t="shared" si="16"/>
        <v>10</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$34))-$E$4))</f>
        <v>0</v>
      </c>
      <c r="X13" s="61" t="str">
        <f t="shared" si="17"/>
        <v/>
      </c>
      <c r="Y13" s="62" t="s">
        <v>260</v>
      </c>
    </row>
    <row r="14" spans="1:25" x14ac:dyDescent="0.35">
      <c r="A14" s="53" t="str">
        <f>Inventory!A11</f>
        <v>Exaltolide Total (Firmenich)</v>
      </c>
      <c r="B14" s="72">
        <f>Inventory!B11</f>
        <v>10</v>
      </c>
      <c r="C14" s="61" t="str">
        <f>Inventory!C11</f>
        <v>ml</v>
      </c>
      <c r="D14" s="72">
        <f>Inventory!D11</f>
        <v>1</v>
      </c>
      <c r="E14" s="60">
        <v>0</v>
      </c>
      <c r="F14" s="73">
        <f>Inventory!E11</f>
        <v>0.9</v>
      </c>
      <c r="G14" s="24">
        <f>Inventory!K11</f>
        <v>9</v>
      </c>
      <c r="H14" s="57">
        <f t="shared" si="2"/>
        <v>9</v>
      </c>
      <c r="I14" s="74">
        <f t="shared" si="3"/>
        <v>0.02</v>
      </c>
      <c r="J14" s="75">
        <f t="shared" si="4"/>
        <v>0.02</v>
      </c>
      <c r="K14" s="72">
        <f t="shared" si="5"/>
        <v>189</v>
      </c>
      <c r="L14" s="72">
        <f t="shared" si="6"/>
        <v>94</v>
      </c>
      <c r="M14" s="72">
        <f t="shared" si="7"/>
        <v>63</v>
      </c>
      <c r="N14" s="72">
        <f t="shared" si="8"/>
        <v>37</v>
      </c>
      <c r="O14" s="72">
        <f t="shared" si="9"/>
        <v>27</v>
      </c>
      <c r="P14" s="72">
        <f t="shared" si="10"/>
        <v>18</v>
      </c>
      <c r="Q14" s="63">
        <f t="shared" si="11"/>
        <v>189</v>
      </c>
      <c r="R14" s="63">
        <f t="shared" si="12"/>
        <v>94</v>
      </c>
      <c r="S14" s="63">
        <f t="shared" si="13"/>
        <v>63</v>
      </c>
      <c r="T14" s="63">
        <f t="shared" si="14"/>
        <v>37</v>
      </c>
      <c r="U14" s="63">
        <f t="shared" si="15"/>
        <v>27</v>
      </c>
      <c r="V14" s="63">
        <f t="shared" si="16"/>
        <v>18</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$34))-$E$4))</f>
        <v>0</v>
      </c>
      <c r="X14" s="61" t="str">
        <f t="shared" si="17"/>
        <v/>
      </c>
      <c r="Y14" s="62" t="s">
        <v>260</v>
      </c>
    </row>
    <row r="15" spans="1:25" x14ac:dyDescent="0.35">
      <c r="A15" s="53" t="str">
        <f>Inventory!A12</f>
        <v>Cashmeran IFF</v>
      </c>
      <c r="B15" s="72">
        <f>Inventory!B12</f>
        <v>10</v>
      </c>
      <c r="C15" s="61" t="str">
        <f>Inventory!C12</f>
        <v>ml</v>
      </c>
      <c r="D15" s="72">
        <f>Inventory!D12</f>
        <v>1</v>
      </c>
      <c r="E15" s="60">
        <v>0</v>
      </c>
      <c r="F15" s="73">
        <f>Inventory!E12</f>
        <v>0.9</v>
      </c>
      <c r="G15" s="24">
        <f>Inventory!K12</f>
        <v>9</v>
      </c>
      <c r="H15" s="57">
        <f t="shared" si="2"/>
        <v>9</v>
      </c>
      <c r="I15" s="74">
        <f t="shared" si="3"/>
        <v>2.5000000000000001E-2</v>
      </c>
      <c r="J15" s="75">
        <f t="shared" si="4"/>
        <v>2.5000000000000001E-2</v>
      </c>
      <c r="K15" s="72">
        <f t="shared" si="5"/>
        <v>151</v>
      </c>
      <c r="L15" s="72">
        <f t="shared" si="6"/>
        <v>75</v>
      </c>
      <c r="M15" s="72">
        <f t="shared" si="7"/>
        <v>50</v>
      </c>
      <c r="N15" s="72">
        <f t="shared" si="8"/>
        <v>30</v>
      </c>
      <c r="O15" s="72">
        <f t="shared" si="9"/>
        <v>21</v>
      </c>
      <c r="P15" s="72">
        <f t="shared" si="10"/>
        <v>15</v>
      </c>
      <c r="Q15" s="63">
        <f t="shared" si="11"/>
        <v>151</v>
      </c>
      <c r="R15" s="63">
        <f t="shared" si="12"/>
        <v>75</v>
      </c>
      <c r="S15" s="63">
        <f t="shared" si="13"/>
        <v>50</v>
      </c>
      <c r="T15" s="63">
        <f t="shared" si="14"/>
        <v>30</v>
      </c>
      <c r="U15" s="63">
        <f t="shared" si="15"/>
        <v>21</v>
      </c>
      <c r="V15" s="63">
        <f t="shared" si="16"/>
        <v>15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$34))-$E$4))</f>
        <v>0</v>
      </c>
      <c r="X15" s="61" t="str">
        <f t="shared" si="17"/>
        <v/>
      </c>
      <c r="Y15" s="62" t="s">
        <v>260</v>
      </c>
    </row>
    <row r="16" spans="1:25" x14ac:dyDescent="0.35">
      <c r="A16" s="53" t="str">
        <f>Inventory!A13</f>
        <v>Sandal Spicatum Australia</v>
      </c>
      <c r="B16" s="72">
        <f>Inventory!B13</f>
        <v>10</v>
      </c>
      <c r="C16" s="61" t="str">
        <f>Inventory!C13</f>
        <v>g</v>
      </c>
      <c r="D16" s="72">
        <f>Inventory!D13</f>
        <v>1</v>
      </c>
      <c r="E16" s="60">
        <v>0</v>
      </c>
      <c r="F16" s="73">
        <f>Inventory!E13</f>
        <v>0</v>
      </c>
      <c r="G16" s="24">
        <f>Inventory!K13</f>
        <v>10</v>
      </c>
      <c r="H16" s="57">
        <f t="shared" si="2"/>
        <v>10</v>
      </c>
      <c r="I16" s="74">
        <f t="shared" si="3"/>
        <v>0.04</v>
      </c>
      <c r="J16" s="75">
        <f t="shared" si="4"/>
        <v>0.04</v>
      </c>
      <c r="K16" s="72">
        <f t="shared" si="5"/>
        <v>105</v>
      </c>
      <c r="L16" s="72">
        <f t="shared" si="6"/>
        <v>52</v>
      </c>
      <c r="M16" s="72">
        <f t="shared" si="7"/>
        <v>35</v>
      </c>
      <c r="N16" s="72">
        <f t="shared" si="8"/>
        <v>21</v>
      </c>
      <c r="O16" s="72">
        <f t="shared" si="9"/>
        <v>15</v>
      </c>
      <c r="P16" s="72">
        <f t="shared" si="10"/>
        <v>10</v>
      </c>
      <c r="Q16" s="63">
        <f t="shared" si="11"/>
        <v>105</v>
      </c>
      <c r="R16" s="63">
        <f t="shared" si="12"/>
        <v>52</v>
      </c>
      <c r="S16" s="63">
        <f t="shared" si="13"/>
        <v>35</v>
      </c>
      <c r="T16" s="63">
        <f t="shared" si="14"/>
        <v>21</v>
      </c>
      <c r="U16" s="63">
        <f t="shared" si="15"/>
        <v>15</v>
      </c>
      <c r="V16" s="63">
        <f t="shared" si="16"/>
        <v>10</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$34))-$E$4))</f>
        <v>0</v>
      </c>
      <c r="X16" s="61" t="str">
        <f t="shared" si="17"/>
        <v/>
      </c>
      <c r="Y16" s="62" t="s">
        <v>260</v>
      </c>
    </row>
    <row r="17" spans="1:25" x14ac:dyDescent="0.35">
      <c r="A17" s="53" t="str">
        <f>Inventory!A14</f>
        <v>Sandalore (Givaudan)</v>
      </c>
      <c r="B17" s="72">
        <f>Inventory!B14</f>
        <v>10</v>
      </c>
      <c r="C17" s="61" t="str">
        <f>Inventory!C14</f>
        <v>ml</v>
      </c>
      <c r="D17" s="72">
        <f>Inventory!D14</f>
        <v>1</v>
      </c>
      <c r="E17" s="60">
        <v>0</v>
      </c>
      <c r="F17" s="73">
        <f>Inventory!E14</f>
        <v>0.9</v>
      </c>
      <c r="G17" s="24">
        <f>Inventory!K14</f>
        <v>9</v>
      </c>
      <c r="H17" s="57">
        <f t="shared" si="2"/>
        <v>9</v>
      </c>
      <c r="I17" s="74">
        <f t="shared" si="3"/>
        <v>0.03</v>
      </c>
      <c r="J17" s="75">
        <f t="shared" si="4"/>
        <v>0.03</v>
      </c>
      <c r="K17" s="72">
        <f t="shared" si="5"/>
        <v>126</v>
      </c>
      <c r="L17" s="72">
        <f t="shared" si="6"/>
        <v>63</v>
      </c>
      <c r="M17" s="72">
        <f t="shared" si="7"/>
        <v>42</v>
      </c>
      <c r="N17" s="72">
        <f t="shared" si="8"/>
        <v>25</v>
      </c>
      <c r="O17" s="72">
        <f t="shared" si="9"/>
        <v>18</v>
      </c>
      <c r="P17" s="72">
        <f t="shared" si="10"/>
        <v>12</v>
      </c>
      <c r="Q17" s="63">
        <f t="shared" si="11"/>
        <v>126</v>
      </c>
      <c r="R17" s="63">
        <f t="shared" si="12"/>
        <v>63</v>
      </c>
      <c r="S17" s="63">
        <f t="shared" si="13"/>
        <v>42</v>
      </c>
      <c r="T17" s="63">
        <f t="shared" si="14"/>
        <v>25</v>
      </c>
      <c r="U17" s="63">
        <f t="shared" si="15"/>
        <v>18</v>
      </c>
      <c r="V17" s="63">
        <f t="shared" si="16"/>
        <v>12</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$34))-$E$4))</f>
        <v>0</v>
      </c>
      <c r="X17" s="61" t="str">
        <f t="shared" si="17"/>
        <v/>
      </c>
      <c r="Y17" s="62" t="s">
        <v>260</v>
      </c>
    </row>
    <row r="18" spans="1:25" x14ac:dyDescent="0.35">
      <c r="A18" s="53" t="str">
        <f>Inventory!A15</f>
        <v>Javanol</v>
      </c>
      <c r="B18" s="72">
        <f>Inventory!B15</f>
        <v>10</v>
      </c>
      <c r="C18" s="61" t="str">
        <f>Inventory!C15</f>
        <v>g</v>
      </c>
      <c r="D18" s="72">
        <f>Inventory!D15</f>
        <v>1</v>
      </c>
      <c r="E18" s="60">
        <v>0</v>
      </c>
      <c r="F18" s="73">
        <f>Inventory!E15</f>
        <v>0</v>
      </c>
      <c r="G18" s="24">
        <f>Inventory!K15</f>
        <v>10</v>
      </c>
      <c r="H18" s="57">
        <f t="shared" si="2"/>
        <v>10</v>
      </c>
      <c r="I18" s="74">
        <f t="shared" si="3"/>
        <v>5.0000000000000001E-3</v>
      </c>
      <c r="J18" s="75">
        <f t="shared" si="4"/>
        <v>5.0000000000000001E-4</v>
      </c>
      <c r="K18" s="72">
        <f t="shared" si="5"/>
        <v>8403</v>
      </c>
      <c r="L18" s="72">
        <f t="shared" si="6"/>
        <v>4201</v>
      </c>
      <c r="M18" s="72">
        <f t="shared" si="7"/>
        <v>2801</v>
      </c>
      <c r="N18" s="72">
        <f t="shared" si="8"/>
        <v>1680</v>
      </c>
      <c r="O18" s="72">
        <f t="shared" si="9"/>
        <v>1200</v>
      </c>
      <c r="P18" s="72">
        <f t="shared" si="10"/>
        <v>840</v>
      </c>
      <c r="Q18" s="63">
        <f t="shared" si="11"/>
        <v>8403</v>
      </c>
      <c r="R18" s="63">
        <f t="shared" si="12"/>
        <v>4201</v>
      </c>
      <c r="S18" s="63">
        <f t="shared" si="13"/>
        <v>2801</v>
      </c>
      <c r="T18" s="63">
        <f t="shared" si="14"/>
        <v>1680</v>
      </c>
      <c r="U18" s="63">
        <f t="shared" si="15"/>
        <v>1200</v>
      </c>
      <c r="V18" s="63">
        <f t="shared" si="16"/>
        <v>840</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$34))-$E$4))</f>
        <v>0</v>
      </c>
      <c r="X18" s="61" t="str">
        <f t="shared" si="17"/>
        <v/>
      </c>
      <c r="Y18" s="62" t="s">
        <v>260</v>
      </c>
    </row>
    <row r="19" spans="1:25" x14ac:dyDescent="0.35">
      <c r="A19" s="53" t="str">
        <f>Inventory!A16</f>
        <v>Cedarwood Virginia</v>
      </c>
      <c r="B19" s="72">
        <f>Inventory!B16</f>
        <v>10</v>
      </c>
      <c r="C19" s="61" t="str">
        <f>Inventory!C16</f>
        <v>ml</v>
      </c>
      <c r="D19" s="72">
        <f>Inventory!D16</f>
        <v>1</v>
      </c>
      <c r="E19" s="60">
        <v>0</v>
      </c>
      <c r="F19" s="73">
        <f>Inventory!E16</f>
        <v>0.9</v>
      </c>
      <c r="G19" s="24">
        <f>Inventory!K16</f>
        <v>9</v>
      </c>
      <c r="H19" s="57">
        <f t="shared" si="2"/>
        <v>9</v>
      </c>
      <c r="I19" s="74">
        <f t="shared" si="3"/>
        <v>0.02</v>
      </c>
      <c r="J19" s="75">
        <f t="shared" si="4"/>
        <v>0.02</v>
      </c>
      <c r="K19" s="72">
        <f t="shared" si="5"/>
        <v>189</v>
      </c>
      <c r="L19" s="72">
        <f t="shared" si="6"/>
        <v>94</v>
      </c>
      <c r="M19" s="72">
        <f t="shared" si="7"/>
        <v>63</v>
      </c>
      <c r="N19" s="72">
        <f t="shared" si="8"/>
        <v>37</v>
      </c>
      <c r="O19" s="72">
        <f t="shared" si="9"/>
        <v>27</v>
      </c>
      <c r="P19" s="72">
        <f t="shared" si="10"/>
        <v>18</v>
      </c>
      <c r="Q19" s="63">
        <f t="shared" si="11"/>
        <v>189</v>
      </c>
      <c r="R19" s="63">
        <f t="shared" si="12"/>
        <v>94</v>
      </c>
      <c r="S19" s="63">
        <f t="shared" si="13"/>
        <v>63</v>
      </c>
      <c r="T19" s="63">
        <f t="shared" si="14"/>
        <v>37</v>
      </c>
      <c r="U19" s="63">
        <f t="shared" si="15"/>
        <v>27</v>
      </c>
      <c r="V19" s="63">
        <f t="shared" si="16"/>
        <v>18</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$34))-$E$4))</f>
        <v>0</v>
      </c>
      <c r="X19" s="61" t="str">
        <f t="shared" si="17"/>
        <v/>
      </c>
      <c r="Y19" s="62" t="s">
        <v>260</v>
      </c>
    </row>
    <row r="20" spans="1:25" x14ac:dyDescent="0.35">
      <c r="A20" s="53" t="str">
        <f>Inventory!A17</f>
        <v>Vetyveryle Acetate</v>
      </c>
      <c r="B20" s="72">
        <f>Inventory!B17</f>
        <v>10</v>
      </c>
      <c r="C20" s="61" t="str">
        <f>Inventory!C17</f>
        <v>g</v>
      </c>
      <c r="D20" s="72">
        <f>Inventory!D17</f>
        <v>1</v>
      </c>
      <c r="E20" s="60">
        <v>0</v>
      </c>
      <c r="F20" s="73">
        <f>Inventory!E17</f>
        <v>0</v>
      </c>
      <c r="G20" s="24">
        <f>Inventory!K17</f>
        <v>10</v>
      </c>
      <c r="H20" s="57">
        <f t="shared" si="2"/>
        <v>10</v>
      </c>
      <c r="I20" s="74">
        <f t="shared" si="3"/>
        <v>5.0000000000000001E-3</v>
      </c>
      <c r="J20" s="75">
        <f t="shared" si="4"/>
        <v>5.0000000000000001E-3</v>
      </c>
      <c r="K20" s="72">
        <f t="shared" si="5"/>
        <v>840</v>
      </c>
      <c r="L20" s="72">
        <f t="shared" si="6"/>
        <v>420</v>
      </c>
      <c r="M20" s="72">
        <f t="shared" si="7"/>
        <v>280</v>
      </c>
      <c r="N20" s="72">
        <f t="shared" si="8"/>
        <v>168</v>
      </c>
      <c r="O20" s="72">
        <f t="shared" si="9"/>
        <v>120</v>
      </c>
      <c r="P20" s="72">
        <f t="shared" si="10"/>
        <v>84</v>
      </c>
      <c r="Q20" s="63">
        <f t="shared" si="11"/>
        <v>840</v>
      </c>
      <c r="R20" s="63">
        <f t="shared" si="12"/>
        <v>420</v>
      </c>
      <c r="S20" s="63">
        <f t="shared" si="13"/>
        <v>280</v>
      </c>
      <c r="T20" s="63">
        <f t="shared" si="14"/>
        <v>168</v>
      </c>
      <c r="U20" s="63">
        <f t="shared" si="15"/>
        <v>120</v>
      </c>
      <c r="V20" s="63">
        <f t="shared" si="16"/>
        <v>84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$34))-$E$4))</f>
        <v>0</v>
      </c>
      <c r="X20" s="61" t="str">
        <f t="shared" si="17"/>
        <v/>
      </c>
      <c r="Y20" s="62" t="s">
        <v>260</v>
      </c>
    </row>
    <row r="21" spans="1:25" x14ac:dyDescent="0.35">
      <c r="A21" s="53" t="str">
        <f>Inventory!A18</f>
        <v>Methyl Alpha Ionone Iso</v>
      </c>
      <c r="B21" s="72">
        <f>Inventory!B18</f>
        <v>10</v>
      </c>
      <c r="C21" s="61" t="str">
        <f>Inventory!C18</f>
        <v>ml</v>
      </c>
      <c r="D21" s="72">
        <f>Inventory!D18</f>
        <v>1</v>
      </c>
      <c r="E21" s="60">
        <v>0</v>
      </c>
      <c r="F21" s="73">
        <f>Inventory!E18</f>
        <v>0.9</v>
      </c>
      <c r="G21" s="24">
        <f>Inventory!K18</f>
        <v>9</v>
      </c>
      <c r="H21" s="57">
        <f t="shared" si="2"/>
        <v>9</v>
      </c>
      <c r="I21" s="74">
        <f t="shared" si="3"/>
        <v>0.04</v>
      </c>
      <c r="J21" s="75">
        <f t="shared" si="4"/>
        <v>0.04</v>
      </c>
      <c r="K21" s="72">
        <f t="shared" si="5"/>
        <v>94</v>
      </c>
      <c r="L21" s="72">
        <f t="shared" si="6"/>
        <v>47</v>
      </c>
      <c r="M21" s="72">
        <f t="shared" si="7"/>
        <v>31</v>
      </c>
      <c r="N21" s="72">
        <f t="shared" si="8"/>
        <v>18</v>
      </c>
      <c r="O21" s="72">
        <f t="shared" si="9"/>
        <v>13</v>
      </c>
      <c r="P21" s="72">
        <f t="shared" si="10"/>
        <v>9</v>
      </c>
      <c r="Q21" s="63">
        <f t="shared" si="11"/>
        <v>94</v>
      </c>
      <c r="R21" s="63">
        <f t="shared" si="12"/>
        <v>47</v>
      </c>
      <c r="S21" s="63">
        <f t="shared" si="13"/>
        <v>31</v>
      </c>
      <c r="T21" s="63">
        <f t="shared" si="14"/>
        <v>18</v>
      </c>
      <c r="U21" s="63">
        <f t="shared" si="15"/>
        <v>13</v>
      </c>
      <c r="V21" s="63">
        <f t="shared" si="16"/>
        <v>9</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$34))-$E$4))</f>
        <v>0</v>
      </c>
      <c r="X21" s="61" t="str">
        <f t="shared" si="17"/>
        <v/>
      </c>
      <c r="Y21" s="62" t="s">
        <v>260</v>
      </c>
    </row>
    <row r="22" spans="1:25" x14ac:dyDescent="0.35">
      <c r="A22" s="53" t="str">
        <f>Inventory!A19</f>
        <v>Irone Alpha</v>
      </c>
      <c r="B22" s="72">
        <f>Inventory!B19</f>
        <v>10</v>
      </c>
      <c r="C22" s="61" t="str">
        <f>Inventory!C19</f>
        <v>g</v>
      </c>
      <c r="D22" s="72">
        <f>Inventory!D19</f>
        <v>1</v>
      </c>
      <c r="E22" s="60">
        <v>0</v>
      </c>
      <c r="F22" s="73">
        <f>Inventory!E19</f>
        <v>0</v>
      </c>
      <c r="G22" s="24">
        <f>Inventory!K19</f>
        <v>10</v>
      </c>
      <c r="H22" s="57">
        <f t="shared" si="2"/>
        <v>10</v>
      </c>
      <c r="I22" s="74">
        <f t="shared" si="3"/>
        <v>0.01</v>
      </c>
      <c r="J22" s="75">
        <f t="shared" si="4"/>
        <v>1E-3</v>
      </c>
      <c r="K22" s="72">
        <f t="shared" si="5"/>
        <v>4201</v>
      </c>
      <c r="L22" s="72">
        <f t="shared" si="6"/>
        <v>2100</v>
      </c>
      <c r="M22" s="72">
        <f t="shared" si="7"/>
        <v>1400</v>
      </c>
      <c r="N22" s="72">
        <f t="shared" si="8"/>
        <v>840</v>
      </c>
      <c r="O22" s="72">
        <f t="shared" si="9"/>
        <v>600</v>
      </c>
      <c r="P22" s="72">
        <f t="shared" si="10"/>
        <v>420</v>
      </c>
      <c r="Q22" s="63">
        <f t="shared" si="11"/>
        <v>4201</v>
      </c>
      <c r="R22" s="63">
        <f t="shared" si="12"/>
        <v>2100</v>
      </c>
      <c r="S22" s="63">
        <f t="shared" si="13"/>
        <v>1400</v>
      </c>
      <c r="T22" s="63">
        <f t="shared" si="14"/>
        <v>840</v>
      </c>
      <c r="U22" s="63">
        <f t="shared" si="15"/>
        <v>600</v>
      </c>
      <c r="V22" s="63">
        <f t="shared" si="16"/>
        <v>420</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$34))-$E$4))</f>
        <v>0</v>
      </c>
      <c r="X22" s="61" t="str">
        <f t="shared" si="17"/>
        <v/>
      </c>
      <c r="Y22" s="62" t="s">
        <v>260</v>
      </c>
    </row>
    <row r="23" spans="1:25" x14ac:dyDescent="0.35">
      <c r="A23" s="53" t="str">
        <f>Inventory!A20</f>
        <v>Benzyl Salicylate</v>
      </c>
      <c r="B23" s="72">
        <f>Inventory!B20</f>
        <v>10</v>
      </c>
      <c r="C23" s="61" t="str">
        <f>Inventory!C20</f>
        <v>ml</v>
      </c>
      <c r="D23" s="72">
        <f>Inventory!D20</f>
        <v>1</v>
      </c>
      <c r="E23" s="60">
        <v>0</v>
      </c>
      <c r="F23" s="73">
        <f>Inventory!E20</f>
        <v>0.9</v>
      </c>
      <c r="G23" s="24">
        <f>Inventory!K20</f>
        <v>9</v>
      </c>
      <c r="H23" s="57">
        <f t="shared" si="2"/>
        <v>9</v>
      </c>
      <c r="I23" s="74">
        <f t="shared" si="3"/>
        <v>0.03</v>
      </c>
      <c r="J23" s="75">
        <f t="shared" si="4"/>
        <v>0.03</v>
      </c>
      <c r="K23" s="72">
        <f t="shared" si="5"/>
        <v>126</v>
      </c>
      <c r="L23" s="72">
        <f t="shared" si="6"/>
        <v>63</v>
      </c>
      <c r="M23" s="72">
        <f t="shared" si="7"/>
        <v>42</v>
      </c>
      <c r="N23" s="72">
        <f t="shared" si="8"/>
        <v>25</v>
      </c>
      <c r="O23" s="72">
        <f t="shared" si="9"/>
        <v>18</v>
      </c>
      <c r="P23" s="72">
        <f t="shared" si="10"/>
        <v>12</v>
      </c>
      <c r="Q23" s="63">
        <f t="shared" si="11"/>
        <v>126</v>
      </c>
      <c r="R23" s="63">
        <f t="shared" si="12"/>
        <v>63</v>
      </c>
      <c r="S23" s="63">
        <f t="shared" si="13"/>
        <v>42</v>
      </c>
      <c r="T23" s="63">
        <f t="shared" si="14"/>
        <v>25</v>
      </c>
      <c r="U23" s="63">
        <f t="shared" si="15"/>
        <v>18</v>
      </c>
      <c r="V23" s="63">
        <f t="shared" si="16"/>
        <v>12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$34))-$E$4))</f>
        <v>0</v>
      </c>
      <c r="X23" s="61" t="str">
        <f t="shared" si="17"/>
        <v/>
      </c>
      <c r="Y23" s="62" t="s">
        <v>260</v>
      </c>
    </row>
    <row r="24" spans="1:25" x14ac:dyDescent="0.35">
      <c r="A24" s="53" t="str">
        <f>Inventory!A21</f>
        <v>Linalool</v>
      </c>
      <c r="B24" s="72">
        <f>Inventory!B21</f>
        <v>10</v>
      </c>
      <c r="C24" s="61" t="str">
        <f>Inventory!C21</f>
        <v>ml</v>
      </c>
      <c r="D24" s="72">
        <f>Inventory!D21</f>
        <v>1</v>
      </c>
      <c r="E24" s="60">
        <v>0</v>
      </c>
      <c r="F24" s="73">
        <f>Inventory!E21</f>
        <v>0.9</v>
      </c>
      <c r="G24" s="24">
        <f>Inventory!K21</f>
        <v>9</v>
      </c>
      <c r="H24" s="57">
        <f t="shared" si="2"/>
        <v>9</v>
      </c>
      <c r="I24" s="74">
        <f t="shared" si="3"/>
        <v>0.01</v>
      </c>
      <c r="J24" s="75">
        <f t="shared" si="4"/>
        <v>0.01</v>
      </c>
      <c r="K24" s="72">
        <f t="shared" si="5"/>
        <v>378</v>
      </c>
      <c r="L24" s="72">
        <f t="shared" si="6"/>
        <v>189</v>
      </c>
      <c r="M24" s="72">
        <f t="shared" si="7"/>
        <v>126</v>
      </c>
      <c r="N24" s="72">
        <f t="shared" si="8"/>
        <v>75</v>
      </c>
      <c r="O24" s="72">
        <f t="shared" si="9"/>
        <v>54</v>
      </c>
      <c r="P24" s="72">
        <f t="shared" si="10"/>
        <v>37</v>
      </c>
      <c r="Q24" s="63">
        <f t="shared" si="11"/>
        <v>378</v>
      </c>
      <c r="R24" s="63">
        <f t="shared" si="12"/>
        <v>189</v>
      </c>
      <c r="S24" s="63">
        <f t="shared" si="13"/>
        <v>126</v>
      </c>
      <c r="T24" s="63">
        <f t="shared" si="14"/>
        <v>75</v>
      </c>
      <c r="U24" s="63">
        <f t="shared" si="15"/>
        <v>54</v>
      </c>
      <c r="V24" s="63">
        <f t="shared" si="16"/>
        <v>37</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$34))-$E$4))</f>
        <v>0</v>
      </c>
      <c r="X24" s="61" t="str">
        <f t="shared" si="17"/>
        <v/>
      </c>
      <c r="Y24" s="62" t="s">
        <v>260</v>
      </c>
    </row>
    <row r="25" spans="1:25" x14ac:dyDescent="0.35">
      <c r="A25" s="53" t="str">
        <f>Inventory!A22</f>
        <v>Neroli Accord</v>
      </c>
      <c r="B25" s="72">
        <f>Inventory!B22</f>
        <v>10</v>
      </c>
      <c r="C25" s="61" t="str">
        <f>Inventory!C22</f>
        <v>ml</v>
      </c>
      <c r="D25" s="72">
        <f>Inventory!D22</f>
        <v>1</v>
      </c>
      <c r="E25" s="60">
        <v>0</v>
      </c>
      <c r="F25" s="73">
        <f>Inventory!E22</f>
        <v>0.9</v>
      </c>
      <c r="G25" s="24">
        <f>Inventory!K22</f>
        <v>9</v>
      </c>
      <c r="H25" s="57">
        <f t="shared" si="2"/>
        <v>9</v>
      </c>
      <c r="I25" s="74">
        <f t="shared" si="3"/>
        <v>0.01</v>
      </c>
      <c r="J25" s="75">
        <f t="shared" si="4"/>
        <v>0.01</v>
      </c>
      <c r="K25" s="72">
        <f t="shared" si="5"/>
        <v>378</v>
      </c>
      <c r="L25" s="72">
        <f t="shared" si="6"/>
        <v>189</v>
      </c>
      <c r="M25" s="72">
        <f t="shared" si="7"/>
        <v>126</v>
      </c>
      <c r="N25" s="72">
        <f t="shared" si="8"/>
        <v>75</v>
      </c>
      <c r="O25" s="72">
        <f t="shared" si="9"/>
        <v>54</v>
      </c>
      <c r="P25" s="72">
        <f t="shared" si="10"/>
        <v>37</v>
      </c>
      <c r="Q25" s="63">
        <f t="shared" si="11"/>
        <v>378</v>
      </c>
      <c r="R25" s="63">
        <f t="shared" si="12"/>
        <v>189</v>
      </c>
      <c r="S25" s="63">
        <f t="shared" si="13"/>
        <v>126</v>
      </c>
      <c r="T25" s="63">
        <f t="shared" si="14"/>
        <v>75</v>
      </c>
      <c r="U25" s="63">
        <f t="shared" si="15"/>
        <v>54</v>
      </c>
      <c r="V25" s="63">
        <f t="shared" si="16"/>
        <v>37</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$34))-$E$4))</f>
        <v>0</v>
      </c>
      <c r="X25" s="61" t="str">
        <f t="shared" si="17"/>
        <v/>
      </c>
      <c r="Y25" s="62" t="s">
        <v>260</v>
      </c>
    </row>
    <row r="26" spans="1:25" x14ac:dyDescent="0.35">
      <c r="A26" s="53" t="str">
        <f>Inventory!A23</f>
        <v>Orange Blossom Tunisia Absolute</v>
      </c>
      <c r="B26" s="72">
        <f>Inventory!B23</f>
        <v>10</v>
      </c>
      <c r="C26" s="61" t="str">
        <f>Inventory!C23</f>
        <v>g</v>
      </c>
      <c r="D26" s="72">
        <f>Inventory!D23</f>
        <v>1</v>
      </c>
      <c r="E26" s="60">
        <v>0</v>
      </c>
      <c r="F26" s="73">
        <f>Inventory!E23</f>
        <v>0</v>
      </c>
      <c r="G26" s="24">
        <f>Inventory!K23</f>
        <v>10</v>
      </c>
      <c r="H26" s="57">
        <f t="shared" si="2"/>
        <v>10</v>
      </c>
      <c r="I26" s="74">
        <f t="shared" si="3"/>
        <v>2.5000000000000001E-2</v>
      </c>
      <c r="J26" s="75">
        <f t="shared" si="4"/>
        <v>2.5000000000000001E-2</v>
      </c>
      <c r="K26" s="72">
        <f t="shared" si="5"/>
        <v>168</v>
      </c>
      <c r="L26" s="72">
        <f t="shared" si="6"/>
        <v>84</v>
      </c>
      <c r="M26" s="72">
        <f t="shared" si="7"/>
        <v>56</v>
      </c>
      <c r="N26" s="72">
        <f t="shared" si="8"/>
        <v>33</v>
      </c>
      <c r="O26" s="72">
        <f t="shared" si="9"/>
        <v>24</v>
      </c>
      <c r="P26" s="72">
        <f t="shared" si="10"/>
        <v>16</v>
      </c>
      <c r="Q26" s="63">
        <f t="shared" si="11"/>
        <v>168</v>
      </c>
      <c r="R26" s="63">
        <f t="shared" si="12"/>
        <v>84</v>
      </c>
      <c r="S26" s="63">
        <f t="shared" si="13"/>
        <v>56</v>
      </c>
      <c r="T26" s="63">
        <f t="shared" si="14"/>
        <v>33</v>
      </c>
      <c r="U26" s="63">
        <f t="shared" si="15"/>
        <v>24</v>
      </c>
      <c r="V26" s="63">
        <f t="shared" si="16"/>
        <v>16</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$34))-$E$4))</f>
        <v>0</v>
      </c>
      <c r="X26" s="61" t="str">
        <f t="shared" si="17"/>
        <v/>
      </c>
      <c r="Y26" s="62" t="s">
        <v>260</v>
      </c>
    </row>
    <row r="27" spans="1:25" x14ac:dyDescent="0.35">
      <c r="A27" s="53" t="str">
        <f>Inventory!A24</f>
        <v>Petitgrain Paraguay</v>
      </c>
      <c r="B27" s="72">
        <f>Inventory!B24</f>
        <v>10</v>
      </c>
      <c r="C27" s="61" t="str">
        <f>Inventory!C24</f>
        <v>ml</v>
      </c>
      <c r="D27" s="72">
        <f>Inventory!D24</f>
        <v>1</v>
      </c>
      <c r="E27" s="60">
        <v>0</v>
      </c>
      <c r="F27" s="73">
        <f>Inventory!E24</f>
        <v>0.9</v>
      </c>
      <c r="G27" s="24">
        <f>Inventory!K24</f>
        <v>9</v>
      </c>
      <c r="H27" s="57">
        <f t="shared" si="2"/>
        <v>9</v>
      </c>
      <c r="I27" s="74">
        <f t="shared" si="3"/>
        <v>1.4999999999999999E-2</v>
      </c>
      <c r="J27" s="75">
        <f t="shared" si="4"/>
        <v>1.4999999999999999E-2</v>
      </c>
      <c r="K27" s="72">
        <f t="shared" si="5"/>
        <v>252</v>
      </c>
      <c r="L27" s="72">
        <f t="shared" si="6"/>
        <v>126</v>
      </c>
      <c r="M27" s="72">
        <f t="shared" si="7"/>
        <v>84</v>
      </c>
      <c r="N27" s="72">
        <f t="shared" si="8"/>
        <v>50</v>
      </c>
      <c r="O27" s="72">
        <f t="shared" si="9"/>
        <v>36</v>
      </c>
      <c r="P27" s="72">
        <f t="shared" si="10"/>
        <v>25</v>
      </c>
      <c r="Q27" s="63">
        <f t="shared" si="11"/>
        <v>252</v>
      </c>
      <c r="R27" s="63">
        <f t="shared" si="12"/>
        <v>126</v>
      </c>
      <c r="S27" s="63">
        <f t="shared" si="13"/>
        <v>84</v>
      </c>
      <c r="T27" s="63">
        <f t="shared" si="14"/>
        <v>50</v>
      </c>
      <c r="U27" s="63">
        <f t="shared" si="15"/>
        <v>36</v>
      </c>
      <c r="V27" s="63">
        <f t="shared" si="16"/>
        <v>25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$34))-$E$4))</f>
        <v>0</v>
      </c>
      <c r="X27" s="61" t="str">
        <f t="shared" si="17"/>
        <v/>
      </c>
      <c r="Y27" s="62" t="s">
        <v>260</v>
      </c>
    </row>
    <row r="28" spans="1:25" x14ac:dyDescent="0.35">
      <c r="A28" s="53" t="str">
        <f>Inventory!A25</f>
        <v>Pink Peppercorn</v>
      </c>
      <c r="B28" s="72">
        <f>Inventory!B25</f>
        <v>10</v>
      </c>
      <c r="C28" s="61" t="str">
        <f>Inventory!C25</f>
        <v>ml</v>
      </c>
      <c r="D28" s="72">
        <f>Inventory!D25</f>
        <v>1</v>
      </c>
      <c r="E28" s="60">
        <v>0</v>
      </c>
      <c r="F28" s="73">
        <f>Inventory!E25</f>
        <v>0.9</v>
      </c>
      <c r="G28" s="24">
        <f>Inventory!K25</f>
        <v>9</v>
      </c>
      <c r="H28" s="57">
        <f t="shared" si="2"/>
        <v>9</v>
      </c>
      <c r="I28" s="74">
        <f t="shared" si="3"/>
        <v>5.0000000000000001E-3</v>
      </c>
      <c r="J28" s="75">
        <f t="shared" si="4"/>
        <v>5.0000000000000001E-4</v>
      </c>
      <c r="K28" s="72">
        <f t="shared" si="5"/>
        <v>7563</v>
      </c>
      <c r="L28" s="72">
        <f t="shared" si="6"/>
        <v>3781</v>
      </c>
      <c r="M28" s="72">
        <f t="shared" si="7"/>
        <v>2521</v>
      </c>
      <c r="N28" s="72">
        <f t="shared" si="8"/>
        <v>1512</v>
      </c>
      <c r="O28" s="72">
        <f t="shared" si="9"/>
        <v>1080</v>
      </c>
      <c r="P28" s="72">
        <f t="shared" si="10"/>
        <v>756</v>
      </c>
      <c r="Q28" s="63">
        <f t="shared" si="11"/>
        <v>7563</v>
      </c>
      <c r="R28" s="63">
        <f t="shared" si="12"/>
        <v>3781</v>
      </c>
      <c r="S28" s="63">
        <f t="shared" si="13"/>
        <v>2521</v>
      </c>
      <c r="T28" s="63">
        <f t="shared" si="14"/>
        <v>1512</v>
      </c>
      <c r="U28" s="63">
        <f t="shared" si="15"/>
        <v>1080</v>
      </c>
      <c r="V28" s="63">
        <f t="shared" si="16"/>
        <v>756</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$34))-$E$4))</f>
        <v>0</v>
      </c>
      <c r="X28" s="61" t="str">
        <f t="shared" si="17"/>
        <v/>
      </c>
      <c r="Y28" s="62" t="s">
        <v>260</v>
      </c>
    </row>
    <row r="29" spans="1:25" x14ac:dyDescent="0.35">
      <c r="A29" s="53" t="str">
        <f>Inventory!A26</f>
        <v>Bergamot Accord</v>
      </c>
      <c r="B29" s="72">
        <f>Inventory!B26</f>
        <v>10</v>
      </c>
      <c r="C29" s="61" t="str">
        <f>Inventory!C26</f>
        <v>ml</v>
      </c>
      <c r="D29" s="72">
        <f>Inventory!D26</f>
        <v>1</v>
      </c>
      <c r="E29" s="60">
        <v>0</v>
      </c>
      <c r="F29" s="73">
        <f>Inventory!E26</f>
        <v>0.9</v>
      </c>
      <c r="G29" s="24">
        <f>Inventory!K26</f>
        <v>9</v>
      </c>
      <c r="H29" s="57">
        <f t="shared" si="2"/>
        <v>9</v>
      </c>
      <c r="I29" s="74">
        <f t="shared" si="3"/>
        <v>0.09</v>
      </c>
      <c r="J29" s="75">
        <f t="shared" si="4"/>
        <v>0.09</v>
      </c>
      <c r="K29" s="72">
        <f t="shared" si="5"/>
        <v>42</v>
      </c>
      <c r="L29" s="72">
        <f t="shared" si="6"/>
        <v>21</v>
      </c>
      <c r="M29" s="72">
        <f t="shared" si="7"/>
        <v>14</v>
      </c>
      <c r="N29" s="72">
        <f t="shared" si="8"/>
        <v>8</v>
      </c>
      <c r="O29" s="72">
        <f t="shared" si="9"/>
        <v>6</v>
      </c>
      <c r="P29" s="72">
        <f t="shared" si="10"/>
        <v>4</v>
      </c>
      <c r="Q29" s="63">
        <f t="shared" si="11"/>
        <v>42</v>
      </c>
      <c r="R29" s="63">
        <f t="shared" si="12"/>
        <v>21</v>
      </c>
      <c r="S29" s="63">
        <f t="shared" si="13"/>
        <v>14</v>
      </c>
      <c r="T29" s="63">
        <f t="shared" si="14"/>
        <v>8</v>
      </c>
      <c r="U29" s="63">
        <f t="shared" si="15"/>
        <v>6</v>
      </c>
      <c r="V29" s="63">
        <f t="shared" si="16"/>
        <v>4</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$34))-$E$4))</f>
        <v>0</v>
      </c>
      <c r="X29" s="61" t="str">
        <f t="shared" si="17"/>
        <v/>
      </c>
      <c r="Y29" s="62" t="s">
        <v>260</v>
      </c>
    </row>
    <row r="30" spans="1:25" x14ac:dyDescent="0.35">
      <c r="A30" s="53" t="str">
        <f>Inventory!A27</f>
        <v>Bergamot Essential Oil</v>
      </c>
      <c r="B30" s="72">
        <f>Inventory!B27</f>
        <v>10</v>
      </c>
      <c r="C30" s="61" t="str">
        <f>Inventory!C27</f>
        <v>ml</v>
      </c>
      <c r="D30" s="72">
        <f>Inventory!D27</f>
        <v>1</v>
      </c>
      <c r="E30" s="60">
        <v>0</v>
      </c>
      <c r="F30" s="73">
        <f>Inventory!E27</f>
        <v>0.9</v>
      </c>
      <c r="G30" s="24">
        <f>Inventory!K27</f>
        <v>9</v>
      </c>
      <c r="H30" s="57">
        <f t="shared" si="2"/>
        <v>9</v>
      </c>
      <c r="I30" s="74" t="str">
        <f t="shared" si="3"/>
        <v/>
      </c>
      <c r="J30" s="75" t="str">
        <f t="shared" si="4"/>
        <v/>
      </c>
      <c r="K30" s="72" t="str">
        <f t="shared" si="5"/>
        <v/>
      </c>
      <c r="L30" s="72" t="str">
        <f t="shared" si="6"/>
        <v/>
      </c>
      <c r="M30" s="72" t="str">
        <f t="shared" si="7"/>
        <v/>
      </c>
      <c r="N30" s="72" t="str">
        <f t="shared" si="8"/>
        <v/>
      </c>
      <c r="O30" s="72" t="str">
        <f t="shared" si="9"/>
        <v/>
      </c>
      <c r="P30" s="72" t="str">
        <f t="shared" si="10"/>
        <v/>
      </c>
      <c r="Q30" s="63" t="str">
        <f t="shared" si="11"/>
        <v/>
      </c>
      <c r="R30" s="63" t="str">
        <f t="shared" si="12"/>
        <v/>
      </c>
      <c r="S30" s="63" t="str">
        <f t="shared" si="13"/>
        <v/>
      </c>
      <c r="T30" s="63" t="str">
        <f t="shared" si="14"/>
        <v/>
      </c>
      <c r="U30" s="63" t="str">
        <f t="shared" si="15"/>
        <v/>
      </c>
      <c r="V30" s="63" t="str">
        <f t="shared" si="16"/>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$34))-$E$4))</f>
        <v/>
      </c>
      <c r="X30" s="61" t="str">
        <f t="shared" si="17"/>
        <v/>
      </c>
      <c r="Y30" s="62" t="s">
        <v>260</v>
      </c>
    </row>
    <row r="31" spans="1:25" x14ac:dyDescent="0.35">
      <c r="A31" s="53" t="str">
        <f>Inventory!A28</f>
        <v>Floralozone</v>
      </c>
      <c r="B31" s="72">
        <f>Inventory!B28</f>
        <v>10</v>
      </c>
      <c r="C31" s="61" t="str">
        <f>Inventory!C28</f>
        <v>g</v>
      </c>
      <c r="D31" s="72">
        <f>Inventory!D28</f>
        <v>1</v>
      </c>
      <c r="E31" s="60">
        <v>0</v>
      </c>
      <c r="F31" s="73">
        <f>Inventory!E28</f>
        <v>0</v>
      </c>
      <c r="G31" s="24">
        <f>Inventory!K28</f>
        <v>10</v>
      </c>
      <c r="H31" s="57">
        <f t="shared" si="2"/>
        <v>10</v>
      </c>
      <c r="I31" s="74">
        <f t="shared" si="3"/>
        <v>5.0000000000000001E-3</v>
      </c>
      <c r="J31" s="75">
        <f t="shared" si="4"/>
        <v>5.0000000000000001E-4</v>
      </c>
      <c r="K31" s="72">
        <f t="shared" si="5"/>
        <v>8403</v>
      </c>
      <c r="L31" s="72">
        <f t="shared" si="6"/>
        <v>4201</v>
      </c>
      <c r="M31" s="72">
        <f t="shared" si="7"/>
        <v>2801</v>
      </c>
      <c r="N31" s="72">
        <f t="shared" si="8"/>
        <v>1680</v>
      </c>
      <c r="O31" s="72">
        <f t="shared" si="9"/>
        <v>1200</v>
      </c>
      <c r="P31" s="72">
        <f t="shared" si="10"/>
        <v>840</v>
      </c>
      <c r="Q31" s="63">
        <f t="shared" si="11"/>
        <v>8403</v>
      </c>
      <c r="R31" s="63">
        <f t="shared" si="12"/>
        <v>4201</v>
      </c>
      <c r="S31" s="63">
        <f t="shared" si="13"/>
        <v>2801</v>
      </c>
      <c r="T31" s="63">
        <f t="shared" si="14"/>
        <v>1680</v>
      </c>
      <c r="U31" s="63">
        <f t="shared" si="15"/>
        <v>1200</v>
      </c>
      <c r="V31" s="63">
        <f t="shared" si="16"/>
        <v>840</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$34))-$E$4))</f>
        <v>0</v>
      </c>
      <c r="X31" s="61" t="str">
        <f t="shared" si="17"/>
        <v/>
      </c>
      <c r="Y31" s="62" t="s">
        <v>260</v>
      </c>
    </row>
    <row r="32" spans="1:25" x14ac:dyDescent="0.35">
      <c r="A32" s="53" t="str">
        <f>Inventory!A29</f>
        <v>Safraleine</v>
      </c>
      <c r="B32" s="72">
        <f>Inventory!B29</f>
        <v>10</v>
      </c>
      <c r="C32" s="61" t="str">
        <f>Inventory!C29</f>
        <v>g</v>
      </c>
      <c r="D32" s="72">
        <f>Inventory!D29</f>
        <v>1</v>
      </c>
      <c r="E32" s="60">
        <v>0</v>
      </c>
      <c r="F32" s="73">
        <f>Inventory!E29</f>
        <v>0</v>
      </c>
      <c r="G32" s="24">
        <f>Inventory!K29</f>
        <v>10</v>
      </c>
      <c r="H32" s="57">
        <f t="shared" si="2"/>
        <v>10</v>
      </c>
      <c r="I32" s="74">
        <f t="shared" si="3"/>
        <v>0.01</v>
      </c>
      <c r="J32" s="75">
        <f t="shared" si="4"/>
        <v>1E-3</v>
      </c>
      <c r="K32" s="72">
        <f t="shared" si="5"/>
        <v>4201</v>
      </c>
      <c r="L32" s="72">
        <f t="shared" si="6"/>
        <v>2100</v>
      </c>
      <c r="M32" s="72">
        <f t="shared" si="7"/>
        <v>1400</v>
      </c>
      <c r="N32" s="72">
        <f t="shared" si="8"/>
        <v>840</v>
      </c>
      <c r="O32" s="72">
        <f t="shared" si="9"/>
        <v>600</v>
      </c>
      <c r="P32" s="72">
        <f t="shared" si="10"/>
        <v>420</v>
      </c>
      <c r="Q32" s="63">
        <f t="shared" si="11"/>
        <v>4201</v>
      </c>
      <c r="R32" s="63">
        <f t="shared" si="12"/>
        <v>2100</v>
      </c>
      <c r="S32" s="63">
        <f t="shared" si="13"/>
        <v>1400</v>
      </c>
      <c r="T32" s="63">
        <f t="shared" si="14"/>
        <v>840</v>
      </c>
      <c r="U32" s="63">
        <f t="shared" si="15"/>
        <v>600</v>
      </c>
      <c r="V32" s="63">
        <f t="shared" si="16"/>
        <v>420</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$34))-$E$4))</f>
        <v>0</v>
      </c>
      <c r="X32" s="61" t="str">
        <f t="shared" si="17"/>
        <v/>
      </c>
      <c r="Y32" s="62" t="s">
        <v>260</v>
      </c>
    </row>
    <row r="33" spans="1:25" x14ac:dyDescent="0.35">
      <c r="A33" s="53" t="str">
        <f>Inventory!A30</f>
        <v>DPG (Dipropylene Glycol)</v>
      </c>
      <c r="B33" s="72">
        <f>Inventory!B30</f>
        <v>500</v>
      </c>
      <c r="C33" s="61" t="str">
        <f>Inventory!C30</f>
        <v>g</v>
      </c>
      <c r="D33" s="72">
        <f>Inventory!D30</f>
        <v>1</v>
      </c>
      <c r="E33" s="60">
        <v>0</v>
      </c>
      <c r="F33" s="73">
        <f>Inventory!E30</f>
        <v>0</v>
      </c>
      <c r="G33" s="24">
        <f>Inventory!K30</f>
        <v>500</v>
      </c>
      <c r="H33" s="57">
        <f t="shared" si="2"/>
        <v>500</v>
      </c>
      <c r="I33" s="74">
        <f t="shared" si="3"/>
        <v>3.5000000000000003E-2</v>
      </c>
      <c r="J33" s="75">
        <f t="shared" si="4"/>
        <v>3.1500000000000007E-2</v>
      </c>
      <c r="K33" s="72">
        <f t="shared" si="5"/>
        <v>6669</v>
      </c>
      <c r="L33" s="72">
        <f t="shared" si="6"/>
        <v>3334</v>
      </c>
      <c r="M33" s="72">
        <f t="shared" si="7"/>
        <v>2223</v>
      </c>
      <c r="N33" s="72">
        <f t="shared" si="8"/>
        <v>1333</v>
      </c>
      <c r="O33" s="72">
        <f t="shared" si="9"/>
        <v>952</v>
      </c>
      <c r="P33" s="72">
        <f t="shared" si="10"/>
        <v>666</v>
      </c>
      <c r="Q33" s="63">
        <f t="shared" si="11"/>
        <v>6669</v>
      </c>
      <c r="R33" s="63">
        <f t="shared" si="12"/>
        <v>3334</v>
      </c>
      <c r="S33" s="63">
        <f t="shared" si="13"/>
        <v>2223</v>
      </c>
      <c r="T33" s="63">
        <f t="shared" si="14"/>
        <v>1333</v>
      </c>
      <c r="U33" s="63">
        <f t="shared" si="15"/>
        <v>952</v>
      </c>
      <c r="V33" s="63">
        <f t="shared" si="16"/>
        <v>666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MIN($N$34:$N$34))-$E$4))</f>
        <v>0</v>
      </c>
      <c r="X33" s="61" t="str">
        <f t="shared" si="17"/>
        <v/>
      </c>
      <c r="Y33" s="62" t="s">
        <v>260</v>
      </c>
    </row>
    <row r="34" spans="1:25" x14ac:dyDescent="0.35">
      <c r="A34" s="53" t="str">
        <f>Inventory!A31</f>
        <v>Alcohol 190 proof SDA 40B</v>
      </c>
      <c r="B34" s="72">
        <f>Inventory!B31</f>
        <v>1000</v>
      </c>
      <c r="C34" s="61" t="str">
        <f>Inventory!C31</f>
        <v>ml</v>
      </c>
      <c r="D34" s="72">
        <f>Inventory!D31</f>
        <v>1</v>
      </c>
      <c r="E34" s="60">
        <v>0</v>
      </c>
      <c r="F34" s="73">
        <f>Inventory!E31</f>
        <v>0.81</v>
      </c>
      <c r="G34" s="24">
        <f>Inventory!K31</f>
        <v>810</v>
      </c>
      <c r="H34" s="57">
        <f t="shared" si="2"/>
        <v>810</v>
      </c>
      <c r="I34" s="74" t="str">
        <f t="shared" si="3"/>
        <v/>
      </c>
      <c r="J34" s="75" t="str">
        <f t="shared" si="4"/>
        <v/>
      </c>
      <c r="K34" s="72">
        <f t="shared" si="5"/>
        <v>132</v>
      </c>
      <c r="L34" s="72">
        <f t="shared" si="6"/>
        <v>66</v>
      </c>
      <c r="M34" s="72">
        <f t="shared" si="7"/>
        <v>44</v>
      </c>
      <c r="N34" s="72">
        <f t="shared" si="8"/>
        <v>26</v>
      </c>
      <c r="O34" s="72">
        <f t="shared" si="9"/>
        <v>18</v>
      </c>
      <c r="P34" s="72">
        <f t="shared" si="10"/>
        <v>13</v>
      </c>
      <c r="Q34" s="63">
        <f t="shared" si="11"/>
        <v>132</v>
      </c>
      <c r="R34" s="63">
        <f t="shared" si="12"/>
        <v>66</v>
      </c>
      <c r="S34" s="63">
        <f t="shared" si="13"/>
        <v>44</v>
      </c>
      <c r="T34" s="63">
        <f t="shared" si="14"/>
        <v>26</v>
      </c>
      <c r="U34" s="63">
        <f t="shared" si="15"/>
        <v>18</v>
      </c>
      <c r="V34" s="63">
        <f t="shared" si="16"/>
        <v>13</v>
      </c>
      <c r="W34" s="63">
        <f>IF($N34="","",MAX(0,MIN(IF($A34="","",IF($A34="DPG (Dipropylene Glycol)",IFERROR(FLOOR((MAX(($G34+IF($C34="ml",$B34*$F34,$B34)),0)/(D10ActivePct*0.9))/(50*YC_Density*YC_ConcPct),1),""),IF($A34="Alcohol 190 proof SDA 40B",IFERROR(FLOOR(MAX(($G34+IF($C34="ml",$B34*$F34,$B34)),0)/(50*YC_Density*(1-YC_ConcPct)),1),""),IFERROR(FLOOR((MAX(($G34+IF($C34="ml",$B34*$F34,$B34)),0)/(INDEX(FM_Active,MATCH($A34,FM_Mat,0))*IF(INDEX(FM_D10,MATCH($A34,FM_Mat,0))="D10",0.1,1)))/(50*YC_Density*YC_ConcPct),1),"")))),MIN($N$7:$N$33))-$E$4))</f>
        <v>0</v>
      </c>
      <c r="X34" s="61" t="str">
        <f t="shared" si="17"/>
        <v/>
      </c>
      <c r="Y34" s="62" t="s">
        <v>260</v>
      </c>
    </row>
  </sheetData>
  <mergeCells count="4">
    <mergeCell ref="I3:Y5"/>
    <mergeCell ref="A3:A5"/>
    <mergeCell ref="A2:Y2"/>
    <mergeCell ref="A1:Y1"/>
  </mergeCells>
  <conditionalFormatting sqref="A7:Y34">
    <cfRule type="expression" dxfId="7" priority="1">
      <formula>AND(ISNUMBER($N7),$N7=$E$4)</formula>
    </cfRule>
    <cfRule type="expression" dxfId="6" priority="2">
      <formula>AND(ISNUMBER($W7),$W7&gt;0)</formula>
    </cfRule>
  </conditionalFormatting>
  <dataValidations count="1">
    <dataValidation type="whole" sqref="E7:E34" xr:uid="{00000000-0002-0000-0500-000000000000}">
      <formula1>0</formula1>
      <formula2>999</formula2>
    </dataValidation>
  </dataValidations>
  <hyperlinks>
    <hyperlink ref="Y7" r:id="rId1" xr:uid="{00000000-0004-0000-0500-000000000000}"/>
    <hyperlink ref="Y8" r:id="rId2" xr:uid="{00000000-0004-0000-0500-000001000000}"/>
    <hyperlink ref="Y9" r:id="rId3" xr:uid="{00000000-0004-0000-0500-000002000000}"/>
    <hyperlink ref="Y10" r:id="rId4" xr:uid="{00000000-0004-0000-0500-000003000000}"/>
    <hyperlink ref="Y11" r:id="rId5" xr:uid="{00000000-0004-0000-0500-000004000000}"/>
    <hyperlink ref="Y12" r:id="rId6" xr:uid="{00000000-0004-0000-0500-000005000000}"/>
    <hyperlink ref="Y13" r:id="rId7" xr:uid="{00000000-0004-0000-0500-000006000000}"/>
    <hyperlink ref="Y14" r:id="rId8" xr:uid="{00000000-0004-0000-0500-000007000000}"/>
    <hyperlink ref="Y15" r:id="rId9" xr:uid="{00000000-0004-0000-0500-000008000000}"/>
    <hyperlink ref="Y16" r:id="rId10" xr:uid="{00000000-0004-0000-0500-000009000000}"/>
    <hyperlink ref="Y17" r:id="rId11" xr:uid="{00000000-0004-0000-0500-00000A000000}"/>
    <hyperlink ref="Y18" r:id="rId12" xr:uid="{00000000-0004-0000-0500-00000B000000}"/>
    <hyperlink ref="Y19" r:id="rId13" xr:uid="{00000000-0004-0000-0500-00000C000000}"/>
    <hyperlink ref="Y20" r:id="rId14" xr:uid="{00000000-0004-0000-0500-00000D000000}"/>
    <hyperlink ref="Y21" r:id="rId15" xr:uid="{00000000-0004-0000-0500-00000E000000}"/>
    <hyperlink ref="Y22" r:id="rId16" xr:uid="{00000000-0004-0000-0500-00000F000000}"/>
    <hyperlink ref="Y23" r:id="rId17" xr:uid="{00000000-0004-0000-0500-000010000000}"/>
    <hyperlink ref="Y24" r:id="rId18" xr:uid="{00000000-0004-0000-0500-000011000000}"/>
    <hyperlink ref="Y25" r:id="rId19" xr:uid="{00000000-0004-0000-0500-000012000000}"/>
    <hyperlink ref="Y26" r:id="rId20" xr:uid="{00000000-0004-0000-0500-000013000000}"/>
    <hyperlink ref="Y27" r:id="rId21" xr:uid="{00000000-0004-0000-0500-000014000000}"/>
    <hyperlink ref="Y28" r:id="rId22" xr:uid="{00000000-0004-0000-0500-000015000000}"/>
    <hyperlink ref="Y29" r:id="rId23" xr:uid="{00000000-0004-0000-0500-000016000000}"/>
    <hyperlink ref="Y30" r:id="rId24" xr:uid="{00000000-0004-0000-0500-000017000000}"/>
    <hyperlink ref="Y31" r:id="rId25" xr:uid="{00000000-0004-0000-0500-000018000000}"/>
    <hyperlink ref="Y32" r:id="rId26" xr:uid="{00000000-0004-0000-0500-000019000000}"/>
    <hyperlink ref="Y33" r:id="rId27" xr:uid="{00000000-0004-0000-0500-00001A000000}"/>
    <hyperlink ref="Y34" r:id="rId28" xr:uid="{00000000-0004-0000-0500-00001B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7" t="s">
        <v>261</v>
      </c>
      <c r="B1" s="92"/>
      <c r="C1" s="92"/>
      <c r="D1" s="92"/>
      <c r="E1" s="92"/>
      <c r="F1" s="92"/>
      <c r="G1" s="92"/>
      <c r="H1" s="92"/>
      <c r="I1" s="92"/>
      <c r="J1" s="92"/>
      <c r="K1" s="92"/>
      <c r="L1" s="92"/>
      <c r="M1" s="1"/>
    </row>
    <row r="2" spans="1:13" x14ac:dyDescent="0.35">
      <c r="A2" s="104" t="s">
        <v>262</v>
      </c>
      <c r="B2" s="105"/>
      <c r="C2" s="105"/>
      <c r="D2" s="105"/>
      <c r="E2" s="105"/>
      <c r="F2" s="105"/>
      <c r="G2" s="105"/>
      <c r="H2" s="105"/>
      <c r="I2" s="105"/>
      <c r="J2" s="105"/>
      <c r="K2" s="105"/>
      <c r="L2" s="105"/>
      <c r="M2" s="1"/>
    </row>
    <row r="3" spans="1:13" x14ac:dyDescent="0.35">
      <c r="A3" s="124" t="s">
        <v>263</v>
      </c>
      <c r="B3" s="92"/>
      <c r="C3" s="60">
        <v>42</v>
      </c>
      <c r="D3" s="124" t="s">
        <v>264</v>
      </c>
      <c r="E3" s="92"/>
      <c r="F3" s="76">
        <f>SUM(LogConcG)</f>
        <v>0</v>
      </c>
      <c r="G3" s="124" t="s">
        <v>265</v>
      </c>
      <c r="H3" s="92"/>
      <c r="I3" s="76">
        <f>SUM(LogAlcG)</f>
        <v>0</v>
      </c>
      <c r="J3" s="1"/>
      <c r="K3" s="1"/>
      <c r="L3" s="1"/>
      <c r="M3" s="1"/>
    </row>
    <row r="4" spans="1:13" ht="24" customHeight="1" x14ac:dyDescent="0.35">
      <c r="A4" s="17" t="s">
        <v>266</v>
      </c>
      <c r="B4" s="17" t="s">
        <v>267</v>
      </c>
      <c r="C4" s="17" t="s">
        <v>10</v>
      </c>
      <c r="D4" s="17" t="s">
        <v>268</v>
      </c>
      <c r="E4" s="17" t="s">
        <v>205</v>
      </c>
      <c r="F4" s="17" t="s">
        <v>269</v>
      </c>
      <c r="G4" s="17" t="s">
        <v>270</v>
      </c>
      <c r="H4" s="17" t="s">
        <v>16</v>
      </c>
      <c r="I4" s="17" t="s">
        <v>271</v>
      </c>
      <c r="J4" s="17" t="s">
        <v>272</v>
      </c>
      <c r="K4" s="17" t="s">
        <v>215</v>
      </c>
      <c r="L4" s="17" t="s">
        <v>273</v>
      </c>
      <c r="M4" s="1"/>
    </row>
    <row r="5" spans="1:13" x14ac:dyDescent="0.35">
      <c r="A5" s="58"/>
      <c r="B5" s="77"/>
      <c r="C5" s="53"/>
      <c r="D5" s="24"/>
      <c r="E5" s="77"/>
      <c r="F5" s="78"/>
      <c r="G5" s="24"/>
      <c r="H5" s="24"/>
      <c r="I5" s="58"/>
      <c r="J5" s="58" t="str">
        <f t="shared" ref="J5:J44" si="0">IF($I5="","",$I5+MacDays)</f>
        <v/>
      </c>
      <c r="K5" s="77"/>
      <c r="L5" s="53"/>
      <c r="M5" s="11" t="str">
        <f t="shared" ref="M5:M44" si="1">IF(AND($K5="Macerating",$I5&lt;&gt;""),$I5,"")</f>
        <v/>
      </c>
    </row>
    <row r="6" spans="1:13" x14ac:dyDescent="0.35">
      <c r="A6" s="58"/>
      <c r="B6" s="77"/>
      <c r="C6" s="53"/>
      <c r="D6" s="24"/>
      <c r="E6" s="77"/>
      <c r="F6" s="78"/>
      <c r="G6" s="24"/>
      <c r="H6" s="24"/>
      <c r="I6" s="58"/>
      <c r="J6" s="58" t="str">
        <f t="shared" si="0"/>
        <v/>
      </c>
      <c r="K6" s="77"/>
      <c r="L6" s="53"/>
      <c r="M6" s="11" t="str">
        <f t="shared" si="1"/>
        <v/>
      </c>
    </row>
    <row r="7" spans="1:13" x14ac:dyDescent="0.35">
      <c r="A7" s="58"/>
      <c r="B7" s="77"/>
      <c r="C7" s="53"/>
      <c r="D7" s="24"/>
      <c r="E7" s="77"/>
      <c r="F7" s="78"/>
      <c r="G7" s="24"/>
      <c r="H7" s="24"/>
      <c r="I7" s="58"/>
      <c r="J7" s="58" t="str">
        <f t="shared" si="0"/>
        <v/>
      </c>
      <c r="K7" s="77"/>
      <c r="L7" s="53"/>
      <c r="M7" s="11" t="str">
        <f t="shared" si="1"/>
        <v/>
      </c>
    </row>
    <row r="8" spans="1:13" x14ac:dyDescent="0.35">
      <c r="A8" s="58"/>
      <c r="B8" s="77"/>
      <c r="C8" s="53"/>
      <c r="D8" s="24"/>
      <c r="E8" s="77"/>
      <c r="F8" s="78"/>
      <c r="G8" s="24"/>
      <c r="H8" s="24"/>
      <c r="I8" s="58"/>
      <c r="J8" s="58" t="str">
        <f t="shared" si="0"/>
        <v/>
      </c>
      <c r="K8" s="77"/>
      <c r="L8" s="53"/>
      <c r="M8" s="11" t="str">
        <f t="shared" si="1"/>
        <v/>
      </c>
    </row>
    <row r="9" spans="1:13" x14ac:dyDescent="0.35">
      <c r="A9" s="58"/>
      <c r="B9" s="77"/>
      <c r="C9" s="53"/>
      <c r="D9" s="24"/>
      <c r="E9" s="77"/>
      <c r="F9" s="78"/>
      <c r="G9" s="24"/>
      <c r="H9" s="24"/>
      <c r="I9" s="58"/>
      <c r="J9" s="58" t="str">
        <f t="shared" si="0"/>
        <v/>
      </c>
      <c r="K9" s="77"/>
      <c r="L9" s="53"/>
      <c r="M9" s="11" t="str">
        <f t="shared" si="1"/>
        <v/>
      </c>
    </row>
    <row r="10" spans="1:13" x14ac:dyDescent="0.35">
      <c r="A10" s="58"/>
      <c r="B10" s="77"/>
      <c r="C10" s="53"/>
      <c r="D10" s="24"/>
      <c r="E10" s="77"/>
      <c r="F10" s="78"/>
      <c r="G10" s="24"/>
      <c r="H10" s="24"/>
      <c r="I10" s="58"/>
      <c r="J10" s="58" t="str">
        <f t="shared" si="0"/>
        <v/>
      </c>
      <c r="K10" s="77"/>
      <c r="L10" s="53"/>
      <c r="M10" s="11" t="str">
        <f t="shared" si="1"/>
        <v/>
      </c>
    </row>
    <row r="11" spans="1:13" x14ac:dyDescent="0.35">
      <c r="A11" s="58"/>
      <c r="B11" s="77"/>
      <c r="C11" s="53"/>
      <c r="D11" s="24"/>
      <c r="E11" s="77"/>
      <c r="F11" s="78"/>
      <c r="G11" s="24"/>
      <c r="H11" s="24"/>
      <c r="I11" s="58"/>
      <c r="J11" s="58" t="str">
        <f t="shared" si="0"/>
        <v/>
      </c>
      <c r="K11" s="77"/>
      <c r="L11" s="53"/>
      <c r="M11" s="11" t="str">
        <f t="shared" si="1"/>
        <v/>
      </c>
    </row>
    <row r="12" spans="1:13" x14ac:dyDescent="0.35">
      <c r="A12" s="58"/>
      <c r="B12" s="77"/>
      <c r="C12" s="53"/>
      <c r="D12" s="24"/>
      <c r="E12" s="77"/>
      <c r="F12" s="78"/>
      <c r="G12" s="24"/>
      <c r="H12" s="24"/>
      <c r="I12" s="58"/>
      <c r="J12" s="58" t="str">
        <f t="shared" si="0"/>
        <v/>
      </c>
      <c r="K12" s="77"/>
      <c r="L12" s="53"/>
      <c r="M12" s="11" t="str">
        <f t="shared" si="1"/>
        <v/>
      </c>
    </row>
    <row r="13" spans="1:13" x14ac:dyDescent="0.35">
      <c r="A13" s="58"/>
      <c r="B13" s="77"/>
      <c r="C13" s="53"/>
      <c r="D13" s="24"/>
      <c r="E13" s="77"/>
      <c r="F13" s="78"/>
      <c r="G13" s="24"/>
      <c r="H13" s="24"/>
      <c r="I13" s="58"/>
      <c r="J13" s="58" t="str">
        <f t="shared" si="0"/>
        <v/>
      </c>
      <c r="K13" s="77"/>
      <c r="L13" s="53"/>
      <c r="M13" s="11" t="str">
        <f t="shared" si="1"/>
        <v/>
      </c>
    </row>
    <row r="14" spans="1:13" x14ac:dyDescent="0.35">
      <c r="A14" s="58"/>
      <c r="B14" s="77"/>
      <c r="C14" s="53"/>
      <c r="D14" s="24"/>
      <c r="E14" s="77"/>
      <c r="F14" s="78"/>
      <c r="G14" s="24"/>
      <c r="H14" s="24"/>
      <c r="I14" s="58"/>
      <c r="J14" s="58" t="str">
        <f t="shared" si="0"/>
        <v/>
      </c>
      <c r="K14" s="77"/>
      <c r="L14" s="53"/>
      <c r="M14" s="11" t="str">
        <f t="shared" si="1"/>
        <v/>
      </c>
    </row>
    <row r="15" spans="1:13" x14ac:dyDescent="0.35">
      <c r="A15" s="58"/>
      <c r="B15" s="77"/>
      <c r="C15" s="53"/>
      <c r="D15" s="24"/>
      <c r="E15" s="77"/>
      <c r="F15" s="78"/>
      <c r="G15" s="24"/>
      <c r="H15" s="24"/>
      <c r="I15" s="58"/>
      <c r="J15" s="58" t="str">
        <f t="shared" si="0"/>
        <v/>
      </c>
      <c r="K15" s="77"/>
      <c r="L15" s="53"/>
      <c r="M15" s="11" t="str">
        <f t="shared" si="1"/>
        <v/>
      </c>
    </row>
    <row r="16" spans="1:13" x14ac:dyDescent="0.35">
      <c r="A16" s="58"/>
      <c r="B16" s="77"/>
      <c r="C16" s="53"/>
      <c r="D16" s="24"/>
      <c r="E16" s="77"/>
      <c r="F16" s="78"/>
      <c r="G16" s="24"/>
      <c r="H16" s="24"/>
      <c r="I16" s="58"/>
      <c r="J16" s="58" t="str">
        <f t="shared" si="0"/>
        <v/>
      </c>
      <c r="K16" s="77"/>
      <c r="L16" s="53"/>
      <c r="M16" s="11" t="str">
        <f t="shared" si="1"/>
        <v/>
      </c>
    </row>
    <row r="17" spans="1:13" x14ac:dyDescent="0.35">
      <c r="A17" s="58"/>
      <c r="B17" s="77"/>
      <c r="C17" s="53"/>
      <c r="D17" s="24"/>
      <c r="E17" s="77"/>
      <c r="F17" s="78"/>
      <c r="G17" s="24"/>
      <c r="H17" s="24"/>
      <c r="I17" s="58"/>
      <c r="J17" s="58" t="str">
        <f t="shared" si="0"/>
        <v/>
      </c>
      <c r="K17" s="77"/>
      <c r="L17" s="53"/>
      <c r="M17" s="11" t="str">
        <f t="shared" si="1"/>
        <v/>
      </c>
    </row>
    <row r="18" spans="1:13" x14ac:dyDescent="0.35">
      <c r="A18" s="58"/>
      <c r="B18" s="77"/>
      <c r="C18" s="53"/>
      <c r="D18" s="24"/>
      <c r="E18" s="77"/>
      <c r="F18" s="78"/>
      <c r="G18" s="24"/>
      <c r="H18" s="24"/>
      <c r="I18" s="58"/>
      <c r="J18" s="58" t="str">
        <f t="shared" si="0"/>
        <v/>
      </c>
      <c r="K18" s="77"/>
      <c r="L18" s="53"/>
      <c r="M18" s="11" t="str">
        <f t="shared" si="1"/>
        <v/>
      </c>
    </row>
    <row r="19" spans="1:13" x14ac:dyDescent="0.35">
      <c r="A19" s="58"/>
      <c r="B19" s="77"/>
      <c r="C19" s="53"/>
      <c r="D19" s="24"/>
      <c r="E19" s="77"/>
      <c r="F19" s="78"/>
      <c r="G19" s="24"/>
      <c r="H19" s="24"/>
      <c r="I19" s="58"/>
      <c r="J19" s="58" t="str">
        <f t="shared" si="0"/>
        <v/>
      </c>
      <c r="K19" s="77"/>
      <c r="L19" s="53"/>
      <c r="M19" s="11" t="str">
        <f t="shared" si="1"/>
        <v/>
      </c>
    </row>
    <row r="20" spans="1:13" x14ac:dyDescent="0.35">
      <c r="A20" s="58"/>
      <c r="B20" s="77"/>
      <c r="C20" s="53"/>
      <c r="D20" s="24"/>
      <c r="E20" s="77"/>
      <c r="F20" s="78"/>
      <c r="G20" s="24"/>
      <c r="H20" s="24"/>
      <c r="I20" s="58"/>
      <c r="J20" s="58" t="str">
        <f t="shared" si="0"/>
        <v/>
      </c>
      <c r="K20" s="77"/>
      <c r="L20" s="53"/>
      <c r="M20" s="11" t="str">
        <f t="shared" si="1"/>
        <v/>
      </c>
    </row>
    <row r="21" spans="1:13" x14ac:dyDescent="0.35">
      <c r="A21" s="58"/>
      <c r="B21" s="77"/>
      <c r="C21" s="53"/>
      <c r="D21" s="24"/>
      <c r="E21" s="77"/>
      <c r="F21" s="78"/>
      <c r="G21" s="24"/>
      <c r="H21" s="24"/>
      <c r="I21" s="58"/>
      <c r="J21" s="58" t="str">
        <f t="shared" si="0"/>
        <v/>
      </c>
      <c r="K21" s="77"/>
      <c r="L21" s="53"/>
      <c r="M21" s="11" t="str">
        <f t="shared" si="1"/>
        <v/>
      </c>
    </row>
    <row r="22" spans="1:13" x14ac:dyDescent="0.35">
      <c r="A22" s="58"/>
      <c r="B22" s="77"/>
      <c r="C22" s="53"/>
      <c r="D22" s="24"/>
      <c r="E22" s="77"/>
      <c r="F22" s="78"/>
      <c r="G22" s="24"/>
      <c r="H22" s="24"/>
      <c r="I22" s="58"/>
      <c r="J22" s="58" t="str">
        <f t="shared" si="0"/>
        <v/>
      </c>
      <c r="K22" s="77"/>
      <c r="L22" s="53"/>
      <c r="M22" s="11" t="str">
        <f t="shared" si="1"/>
        <v/>
      </c>
    </row>
    <row r="23" spans="1:13" x14ac:dyDescent="0.35">
      <c r="A23" s="58"/>
      <c r="B23" s="77"/>
      <c r="C23" s="53"/>
      <c r="D23" s="24"/>
      <c r="E23" s="77"/>
      <c r="F23" s="78"/>
      <c r="G23" s="24"/>
      <c r="H23" s="24"/>
      <c r="I23" s="58"/>
      <c r="J23" s="58" t="str">
        <f t="shared" si="0"/>
        <v/>
      </c>
      <c r="K23" s="77"/>
      <c r="L23" s="53"/>
      <c r="M23" s="11" t="str">
        <f t="shared" si="1"/>
        <v/>
      </c>
    </row>
    <row r="24" spans="1:13" x14ac:dyDescent="0.35">
      <c r="A24" s="58"/>
      <c r="B24" s="77"/>
      <c r="C24" s="53"/>
      <c r="D24" s="24"/>
      <c r="E24" s="77"/>
      <c r="F24" s="78"/>
      <c r="G24" s="24"/>
      <c r="H24" s="24"/>
      <c r="I24" s="58"/>
      <c r="J24" s="58" t="str">
        <f t="shared" si="0"/>
        <v/>
      </c>
      <c r="K24" s="77"/>
      <c r="L24" s="53"/>
      <c r="M24" s="11" t="str">
        <f t="shared" si="1"/>
        <v/>
      </c>
    </row>
    <row r="25" spans="1:13" x14ac:dyDescent="0.35">
      <c r="A25" s="58"/>
      <c r="B25" s="77"/>
      <c r="C25" s="53"/>
      <c r="D25" s="24"/>
      <c r="E25" s="77"/>
      <c r="F25" s="78"/>
      <c r="G25" s="24"/>
      <c r="H25" s="24"/>
      <c r="I25" s="58"/>
      <c r="J25" s="58" t="str">
        <f t="shared" si="0"/>
        <v/>
      </c>
      <c r="K25" s="77"/>
      <c r="L25" s="53"/>
      <c r="M25" s="11" t="str">
        <f t="shared" si="1"/>
        <v/>
      </c>
    </row>
    <row r="26" spans="1:13" x14ac:dyDescent="0.35">
      <c r="A26" s="58"/>
      <c r="B26" s="77"/>
      <c r="C26" s="53"/>
      <c r="D26" s="24"/>
      <c r="E26" s="77"/>
      <c r="F26" s="78"/>
      <c r="G26" s="24"/>
      <c r="H26" s="24"/>
      <c r="I26" s="58"/>
      <c r="J26" s="58" t="str">
        <f t="shared" si="0"/>
        <v/>
      </c>
      <c r="K26" s="77"/>
      <c r="L26" s="53"/>
      <c r="M26" s="11" t="str">
        <f t="shared" si="1"/>
        <v/>
      </c>
    </row>
    <row r="27" spans="1:13" x14ac:dyDescent="0.35">
      <c r="A27" s="58"/>
      <c r="B27" s="77"/>
      <c r="C27" s="53"/>
      <c r="D27" s="24"/>
      <c r="E27" s="77"/>
      <c r="F27" s="78"/>
      <c r="G27" s="24"/>
      <c r="H27" s="24"/>
      <c r="I27" s="58"/>
      <c r="J27" s="58" t="str">
        <f t="shared" si="0"/>
        <v/>
      </c>
      <c r="K27" s="77"/>
      <c r="L27" s="53"/>
      <c r="M27" s="11" t="str">
        <f t="shared" si="1"/>
        <v/>
      </c>
    </row>
    <row r="28" spans="1:13" x14ac:dyDescent="0.35">
      <c r="A28" s="58"/>
      <c r="B28" s="77"/>
      <c r="C28" s="53"/>
      <c r="D28" s="24"/>
      <c r="E28" s="77"/>
      <c r="F28" s="78"/>
      <c r="G28" s="24"/>
      <c r="H28" s="24"/>
      <c r="I28" s="58"/>
      <c r="J28" s="58" t="str">
        <f t="shared" si="0"/>
        <v/>
      </c>
      <c r="K28" s="77"/>
      <c r="L28" s="53"/>
      <c r="M28" s="11" t="str">
        <f t="shared" si="1"/>
        <v/>
      </c>
    </row>
    <row r="29" spans="1:13" x14ac:dyDescent="0.35">
      <c r="A29" s="58"/>
      <c r="B29" s="77"/>
      <c r="C29" s="53"/>
      <c r="D29" s="24"/>
      <c r="E29" s="77"/>
      <c r="F29" s="78"/>
      <c r="G29" s="24"/>
      <c r="H29" s="24"/>
      <c r="I29" s="58"/>
      <c r="J29" s="58" t="str">
        <f t="shared" si="0"/>
        <v/>
      </c>
      <c r="K29" s="77"/>
      <c r="L29" s="53"/>
      <c r="M29" s="11" t="str">
        <f t="shared" si="1"/>
        <v/>
      </c>
    </row>
    <row r="30" spans="1:13" x14ac:dyDescent="0.35">
      <c r="A30" s="58"/>
      <c r="B30" s="77"/>
      <c r="C30" s="53"/>
      <c r="D30" s="24"/>
      <c r="E30" s="77"/>
      <c r="F30" s="78"/>
      <c r="G30" s="24"/>
      <c r="H30" s="24"/>
      <c r="I30" s="58"/>
      <c r="J30" s="58" t="str">
        <f t="shared" si="0"/>
        <v/>
      </c>
      <c r="K30" s="77"/>
      <c r="L30" s="53"/>
      <c r="M30" s="11" t="str">
        <f t="shared" si="1"/>
        <v/>
      </c>
    </row>
    <row r="31" spans="1:13" x14ac:dyDescent="0.35">
      <c r="A31" s="58"/>
      <c r="B31" s="77"/>
      <c r="C31" s="53"/>
      <c r="D31" s="24"/>
      <c r="E31" s="77"/>
      <c r="F31" s="78"/>
      <c r="G31" s="24"/>
      <c r="H31" s="24"/>
      <c r="I31" s="58"/>
      <c r="J31" s="58" t="str">
        <f t="shared" si="0"/>
        <v/>
      </c>
      <c r="K31" s="77"/>
      <c r="L31" s="53"/>
      <c r="M31" s="11" t="str">
        <f t="shared" si="1"/>
        <v/>
      </c>
    </row>
    <row r="32" spans="1:13" x14ac:dyDescent="0.35">
      <c r="A32" s="58"/>
      <c r="B32" s="77"/>
      <c r="C32" s="53"/>
      <c r="D32" s="24"/>
      <c r="E32" s="77"/>
      <c r="F32" s="78"/>
      <c r="G32" s="24"/>
      <c r="H32" s="24"/>
      <c r="I32" s="58"/>
      <c r="J32" s="58" t="str">
        <f t="shared" si="0"/>
        <v/>
      </c>
      <c r="K32" s="77"/>
      <c r="L32" s="53"/>
      <c r="M32" s="11" t="str">
        <f t="shared" si="1"/>
        <v/>
      </c>
    </row>
    <row r="33" spans="1:13" x14ac:dyDescent="0.35">
      <c r="A33" s="58"/>
      <c r="B33" s="77"/>
      <c r="C33" s="53"/>
      <c r="D33" s="24"/>
      <c r="E33" s="77"/>
      <c r="F33" s="78"/>
      <c r="G33" s="24"/>
      <c r="H33" s="24"/>
      <c r="I33" s="58"/>
      <c r="J33" s="58" t="str">
        <f t="shared" si="0"/>
        <v/>
      </c>
      <c r="K33" s="77"/>
      <c r="L33" s="53"/>
      <c r="M33" s="11" t="str">
        <f t="shared" si="1"/>
        <v/>
      </c>
    </row>
    <row r="34" spans="1:13" x14ac:dyDescent="0.35">
      <c r="A34" s="58"/>
      <c r="B34" s="77"/>
      <c r="C34" s="53"/>
      <c r="D34" s="24"/>
      <c r="E34" s="77"/>
      <c r="F34" s="78"/>
      <c r="G34" s="24"/>
      <c r="H34" s="24"/>
      <c r="I34" s="58"/>
      <c r="J34" s="58" t="str">
        <f t="shared" si="0"/>
        <v/>
      </c>
      <c r="K34" s="77"/>
      <c r="L34" s="53"/>
      <c r="M34" s="11" t="str">
        <f t="shared" si="1"/>
        <v/>
      </c>
    </row>
    <row r="35" spans="1:13" x14ac:dyDescent="0.35">
      <c r="A35" s="58"/>
      <c r="B35" s="77"/>
      <c r="C35" s="53"/>
      <c r="D35" s="24"/>
      <c r="E35" s="77"/>
      <c r="F35" s="78"/>
      <c r="G35" s="24"/>
      <c r="H35" s="24"/>
      <c r="I35" s="58"/>
      <c r="J35" s="58" t="str">
        <f t="shared" si="0"/>
        <v/>
      </c>
      <c r="K35" s="77"/>
      <c r="L35" s="53"/>
      <c r="M35" s="11" t="str">
        <f t="shared" si="1"/>
        <v/>
      </c>
    </row>
    <row r="36" spans="1:13" x14ac:dyDescent="0.35">
      <c r="A36" s="58"/>
      <c r="B36" s="77"/>
      <c r="C36" s="53"/>
      <c r="D36" s="24"/>
      <c r="E36" s="77"/>
      <c r="F36" s="78"/>
      <c r="G36" s="24"/>
      <c r="H36" s="24"/>
      <c r="I36" s="58"/>
      <c r="J36" s="58" t="str">
        <f t="shared" si="0"/>
        <v/>
      </c>
      <c r="K36" s="77"/>
      <c r="L36" s="53"/>
      <c r="M36" s="11" t="str">
        <f t="shared" si="1"/>
        <v/>
      </c>
    </row>
    <row r="37" spans="1:13" x14ac:dyDescent="0.35">
      <c r="A37" s="58"/>
      <c r="B37" s="77"/>
      <c r="C37" s="53"/>
      <c r="D37" s="24"/>
      <c r="E37" s="77"/>
      <c r="F37" s="78"/>
      <c r="G37" s="24"/>
      <c r="H37" s="24"/>
      <c r="I37" s="58"/>
      <c r="J37" s="58" t="str">
        <f t="shared" si="0"/>
        <v/>
      </c>
      <c r="K37" s="77"/>
      <c r="L37" s="53"/>
      <c r="M37" s="11" t="str">
        <f t="shared" si="1"/>
        <v/>
      </c>
    </row>
    <row r="38" spans="1:13" x14ac:dyDescent="0.35">
      <c r="A38" s="58"/>
      <c r="B38" s="77"/>
      <c r="C38" s="53"/>
      <c r="D38" s="24"/>
      <c r="E38" s="77"/>
      <c r="F38" s="78"/>
      <c r="G38" s="24"/>
      <c r="H38" s="24"/>
      <c r="I38" s="58"/>
      <c r="J38" s="58" t="str">
        <f t="shared" si="0"/>
        <v/>
      </c>
      <c r="K38" s="77"/>
      <c r="L38" s="53"/>
      <c r="M38" s="11" t="str">
        <f t="shared" si="1"/>
        <v/>
      </c>
    </row>
    <row r="39" spans="1:13" x14ac:dyDescent="0.35">
      <c r="A39" s="58"/>
      <c r="B39" s="77"/>
      <c r="C39" s="53"/>
      <c r="D39" s="24"/>
      <c r="E39" s="77"/>
      <c r="F39" s="78"/>
      <c r="G39" s="24"/>
      <c r="H39" s="24"/>
      <c r="I39" s="58"/>
      <c r="J39" s="58" t="str">
        <f t="shared" si="0"/>
        <v/>
      </c>
      <c r="K39" s="77"/>
      <c r="L39" s="53"/>
      <c r="M39" s="11" t="str">
        <f t="shared" si="1"/>
        <v/>
      </c>
    </row>
    <row r="40" spans="1:13" x14ac:dyDescent="0.35">
      <c r="A40" s="58"/>
      <c r="B40" s="77"/>
      <c r="C40" s="53"/>
      <c r="D40" s="24"/>
      <c r="E40" s="77"/>
      <c r="F40" s="78"/>
      <c r="G40" s="24"/>
      <c r="H40" s="24"/>
      <c r="I40" s="58"/>
      <c r="J40" s="58" t="str">
        <f t="shared" si="0"/>
        <v/>
      </c>
      <c r="K40" s="77"/>
      <c r="L40" s="53"/>
      <c r="M40" s="11" t="str">
        <f t="shared" si="1"/>
        <v/>
      </c>
    </row>
    <row r="41" spans="1:13" x14ac:dyDescent="0.35">
      <c r="A41" s="58"/>
      <c r="B41" s="77"/>
      <c r="C41" s="53"/>
      <c r="D41" s="24"/>
      <c r="E41" s="77"/>
      <c r="F41" s="78"/>
      <c r="G41" s="24"/>
      <c r="H41" s="24"/>
      <c r="I41" s="58"/>
      <c r="J41" s="58" t="str">
        <f t="shared" si="0"/>
        <v/>
      </c>
      <c r="K41" s="77"/>
      <c r="L41" s="53"/>
      <c r="M41" s="11" t="str">
        <f t="shared" si="1"/>
        <v/>
      </c>
    </row>
    <row r="42" spans="1:13" x14ac:dyDescent="0.35">
      <c r="A42" s="58"/>
      <c r="B42" s="77"/>
      <c r="C42" s="53"/>
      <c r="D42" s="24"/>
      <c r="E42" s="77"/>
      <c r="F42" s="78"/>
      <c r="G42" s="24"/>
      <c r="H42" s="24"/>
      <c r="I42" s="58"/>
      <c r="J42" s="58" t="str">
        <f t="shared" si="0"/>
        <v/>
      </c>
      <c r="K42" s="77"/>
      <c r="L42" s="53"/>
      <c r="M42" s="11" t="str">
        <f t="shared" si="1"/>
        <v/>
      </c>
    </row>
    <row r="43" spans="1:13" x14ac:dyDescent="0.35">
      <c r="A43" s="58"/>
      <c r="B43" s="77"/>
      <c r="C43" s="53"/>
      <c r="D43" s="24"/>
      <c r="E43" s="77"/>
      <c r="F43" s="78"/>
      <c r="G43" s="24"/>
      <c r="H43" s="24"/>
      <c r="I43" s="58"/>
      <c r="J43" s="58" t="str">
        <f t="shared" si="0"/>
        <v/>
      </c>
      <c r="K43" s="77"/>
      <c r="L43" s="53"/>
      <c r="M43" s="11" t="str">
        <f t="shared" si="1"/>
        <v/>
      </c>
    </row>
    <row r="44" spans="1:13" x14ac:dyDescent="0.35">
      <c r="A44" s="58"/>
      <c r="B44" s="77"/>
      <c r="C44" s="53"/>
      <c r="D44" s="24"/>
      <c r="E44" s="77"/>
      <c r="F44" s="78"/>
      <c r="G44" s="24"/>
      <c r="H44" s="24"/>
      <c r="I44" s="58"/>
      <c r="J44" s="58" t="str">
        <f t="shared" si="0"/>
        <v/>
      </c>
      <c r="K44" s="77"/>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7" t="s">
        <v>274</v>
      </c>
      <c r="B1" s="92"/>
      <c r="C1" s="92"/>
      <c r="D1" s="92"/>
      <c r="E1" s="92"/>
      <c r="F1" s="92"/>
      <c r="G1" s="92"/>
      <c r="H1" s="92"/>
      <c r="I1" s="92"/>
    </row>
    <row r="2" spans="1:9" x14ac:dyDescent="0.35">
      <c r="A2" s="104" t="s">
        <v>275</v>
      </c>
      <c r="B2" s="105"/>
      <c r="C2" s="105"/>
      <c r="D2" s="105"/>
      <c r="E2" s="105"/>
      <c r="F2" s="105"/>
      <c r="G2" s="105"/>
      <c r="H2" s="105"/>
      <c r="I2" s="105"/>
    </row>
    <row r="3" spans="1:9" x14ac:dyDescent="0.35">
      <c r="A3" s="1"/>
      <c r="B3" s="1"/>
      <c r="C3" s="1"/>
      <c r="D3" s="1"/>
      <c r="E3" s="1"/>
      <c r="F3" s="1"/>
      <c r="G3" s="1"/>
      <c r="H3" s="1"/>
      <c r="I3" s="1"/>
    </row>
    <row r="4" spans="1:9" ht="24" customHeight="1" x14ac:dyDescent="0.35">
      <c r="A4" s="17" t="s">
        <v>267</v>
      </c>
      <c r="B4" s="17" t="s">
        <v>10</v>
      </c>
      <c r="C4" s="17" t="s">
        <v>276</v>
      </c>
      <c r="D4" s="17" t="s">
        <v>272</v>
      </c>
      <c r="E4" s="17" t="s">
        <v>277</v>
      </c>
      <c r="F4" s="17" t="s">
        <v>278</v>
      </c>
      <c r="G4" s="17" t="s">
        <v>279</v>
      </c>
      <c r="H4" s="17" t="s">
        <v>215</v>
      </c>
      <c r="I4" s="17" t="s">
        <v>280</v>
      </c>
    </row>
    <row r="5" spans="1:9" x14ac:dyDescent="0.35">
      <c r="A5" s="77" t="str">
        <f>IF('Production Log'!B5="","",'Production Log'!B5)</f>
        <v/>
      </c>
      <c r="B5" s="53" t="str">
        <f>IF('Production Log'!C5="","",'Production Log'!C5)</f>
        <v/>
      </c>
      <c r="C5" s="58" t="str">
        <f>IF('Production Log'!I5="","",'Production Log'!I5)</f>
        <v/>
      </c>
      <c r="D5" s="58" t="str">
        <f>IF('Production Log'!J5="","",'Production Log'!J5)</f>
        <v/>
      </c>
      <c r="E5" s="72" t="str">
        <f t="shared" ref="E5:E44" ca="1" si="0">IF($C5="","",TODAY()-$C5)</f>
        <v/>
      </c>
      <c r="F5" s="72" t="str">
        <f t="shared" ref="F5:F44" ca="1" si="1">IF($D5="","",$D5-TODAY())</f>
        <v/>
      </c>
      <c r="G5" s="79" t="str">
        <f t="shared" ref="G5:G44" ca="1" si="2">IF($C5="","",(TODAY()-$C5)/7)</f>
        <v/>
      </c>
      <c r="H5" s="77"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7" t="str">
        <f>IF('Production Log'!B6="","",'Production Log'!B6)</f>
        <v/>
      </c>
      <c r="B6" s="53" t="str">
        <f>IF('Production Log'!C6="","",'Production Log'!C6)</f>
        <v/>
      </c>
      <c r="C6" s="58" t="str">
        <f>IF('Production Log'!I6="","",'Production Log'!I6)</f>
        <v/>
      </c>
      <c r="D6" s="58" t="str">
        <f>IF('Production Log'!J6="","",'Production Log'!J6)</f>
        <v/>
      </c>
      <c r="E6" s="72" t="str">
        <f t="shared" ca="1" si="0"/>
        <v/>
      </c>
      <c r="F6" s="72" t="str">
        <f t="shared" ca="1" si="1"/>
        <v/>
      </c>
      <c r="G6" s="79" t="str">
        <f t="shared" ca="1" si="2"/>
        <v/>
      </c>
      <c r="H6" s="77" t="str">
        <f>IF('Production Log'!K6="","",'Production Log'!K6)</f>
        <v/>
      </c>
      <c r="I6" s="54" t="str">
        <f t="shared" ca="1" si="3"/>
        <v/>
      </c>
    </row>
    <row r="7" spans="1:9" x14ac:dyDescent="0.35">
      <c r="A7" s="77" t="str">
        <f>IF('Production Log'!B7="","",'Production Log'!B7)</f>
        <v/>
      </c>
      <c r="B7" s="53" t="str">
        <f>IF('Production Log'!C7="","",'Production Log'!C7)</f>
        <v/>
      </c>
      <c r="C7" s="58" t="str">
        <f>IF('Production Log'!I7="","",'Production Log'!I7)</f>
        <v/>
      </c>
      <c r="D7" s="58" t="str">
        <f>IF('Production Log'!J7="","",'Production Log'!J7)</f>
        <v/>
      </c>
      <c r="E7" s="72" t="str">
        <f t="shared" ca="1" si="0"/>
        <v/>
      </c>
      <c r="F7" s="72" t="str">
        <f t="shared" ca="1" si="1"/>
        <v/>
      </c>
      <c r="G7" s="79" t="str">
        <f t="shared" ca="1" si="2"/>
        <v/>
      </c>
      <c r="H7" s="77" t="str">
        <f>IF('Production Log'!K7="","",'Production Log'!K7)</f>
        <v/>
      </c>
      <c r="I7" s="54" t="str">
        <f t="shared" ca="1" si="3"/>
        <v/>
      </c>
    </row>
    <row r="8" spans="1:9" x14ac:dyDescent="0.35">
      <c r="A8" s="77" t="str">
        <f>IF('Production Log'!B8="","",'Production Log'!B8)</f>
        <v/>
      </c>
      <c r="B8" s="53" t="str">
        <f>IF('Production Log'!C8="","",'Production Log'!C8)</f>
        <v/>
      </c>
      <c r="C8" s="58" t="str">
        <f>IF('Production Log'!I8="","",'Production Log'!I8)</f>
        <v/>
      </c>
      <c r="D8" s="58" t="str">
        <f>IF('Production Log'!J8="","",'Production Log'!J8)</f>
        <v/>
      </c>
      <c r="E8" s="72" t="str">
        <f t="shared" ca="1" si="0"/>
        <v/>
      </c>
      <c r="F8" s="72" t="str">
        <f t="shared" ca="1" si="1"/>
        <v/>
      </c>
      <c r="G8" s="79" t="str">
        <f t="shared" ca="1" si="2"/>
        <v/>
      </c>
      <c r="H8" s="77" t="str">
        <f>IF('Production Log'!K8="","",'Production Log'!K8)</f>
        <v/>
      </c>
      <c r="I8" s="54" t="str">
        <f t="shared" ca="1" si="3"/>
        <v/>
      </c>
    </row>
    <row r="9" spans="1:9" x14ac:dyDescent="0.35">
      <c r="A9" s="77" t="str">
        <f>IF('Production Log'!B9="","",'Production Log'!B9)</f>
        <v/>
      </c>
      <c r="B9" s="53" t="str">
        <f>IF('Production Log'!C9="","",'Production Log'!C9)</f>
        <v/>
      </c>
      <c r="C9" s="58" t="str">
        <f>IF('Production Log'!I9="","",'Production Log'!I9)</f>
        <v/>
      </c>
      <c r="D9" s="58" t="str">
        <f>IF('Production Log'!J9="","",'Production Log'!J9)</f>
        <v/>
      </c>
      <c r="E9" s="72" t="str">
        <f t="shared" ca="1" si="0"/>
        <v/>
      </c>
      <c r="F9" s="72" t="str">
        <f t="shared" ca="1" si="1"/>
        <v/>
      </c>
      <c r="G9" s="79" t="str">
        <f t="shared" ca="1" si="2"/>
        <v/>
      </c>
      <c r="H9" s="77" t="str">
        <f>IF('Production Log'!K9="","",'Production Log'!K9)</f>
        <v/>
      </c>
      <c r="I9" s="54" t="str">
        <f t="shared" ca="1" si="3"/>
        <v/>
      </c>
    </row>
    <row r="10" spans="1:9" x14ac:dyDescent="0.35">
      <c r="A10" s="77" t="str">
        <f>IF('Production Log'!B10="","",'Production Log'!B10)</f>
        <v/>
      </c>
      <c r="B10" s="53" t="str">
        <f>IF('Production Log'!C10="","",'Production Log'!C10)</f>
        <v/>
      </c>
      <c r="C10" s="58" t="str">
        <f>IF('Production Log'!I10="","",'Production Log'!I10)</f>
        <v/>
      </c>
      <c r="D10" s="58" t="str">
        <f>IF('Production Log'!J10="","",'Production Log'!J10)</f>
        <v/>
      </c>
      <c r="E10" s="72" t="str">
        <f t="shared" ca="1" si="0"/>
        <v/>
      </c>
      <c r="F10" s="72" t="str">
        <f t="shared" ca="1" si="1"/>
        <v/>
      </c>
      <c r="G10" s="79" t="str">
        <f t="shared" ca="1" si="2"/>
        <v/>
      </c>
      <c r="H10" s="77" t="str">
        <f>IF('Production Log'!K10="","",'Production Log'!K10)</f>
        <v/>
      </c>
      <c r="I10" s="54" t="str">
        <f t="shared" ca="1" si="3"/>
        <v/>
      </c>
    </row>
    <row r="11" spans="1:9" x14ac:dyDescent="0.35">
      <c r="A11" s="77" t="str">
        <f>IF('Production Log'!B11="","",'Production Log'!B11)</f>
        <v/>
      </c>
      <c r="B11" s="53" t="str">
        <f>IF('Production Log'!C11="","",'Production Log'!C11)</f>
        <v/>
      </c>
      <c r="C11" s="58" t="str">
        <f>IF('Production Log'!I11="","",'Production Log'!I11)</f>
        <v/>
      </c>
      <c r="D11" s="58" t="str">
        <f>IF('Production Log'!J11="","",'Production Log'!J11)</f>
        <v/>
      </c>
      <c r="E11" s="72" t="str">
        <f t="shared" ca="1" si="0"/>
        <v/>
      </c>
      <c r="F11" s="72" t="str">
        <f t="shared" ca="1" si="1"/>
        <v/>
      </c>
      <c r="G11" s="79" t="str">
        <f t="shared" ca="1" si="2"/>
        <v/>
      </c>
      <c r="H11" s="77" t="str">
        <f>IF('Production Log'!K11="","",'Production Log'!K11)</f>
        <v/>
      </c>
      <c r="I11" s="54" t="str">
        <f t="shared" ca="1" si="3"/>
        <v/>
      </c>
    </row>
    <row r="12" spans="1:9" x14ac:dyDescent="0.35">
      <c r="A12" s="77" t="str">
        <f>IF('Production Log'!B12="","",'Production Log'!B12)</f>
        <v/>
      </c>
      <c r="B12" s="53" t="str">
        <f>IF('Production Log'!C12="","",'Production Log'!C12)</f>
        <v/>
      </c>
      <c r="C12" s="58" t="str">
        <f>IF('Production Log'!I12="","",'Production Log'!I12)</f>
        <v/>
      </c>
      <c r="D12" s="58" t="str">
        <f>IF('Production Log'!J12="","",'Production Log'!J12)</f>
        <v/>
      </c>
      <c r="E12" s="72" t="str">
        <f t="shared" ca="1" si="0"/>
        <v/>
      </c>
      <c r="F12" s="72" t="str">
        <f t="shared" ca="1" si="1"/>
        <v/>
      </c>
      <c r="G12" s="79" t="str">
        <f t="shared" ca="1" si="2"/>
        <v/>
      </c>
      <c r="H12" s="77" t="str">
        <f>IF('Production Log'!K12="","",'Production Log'!K12)</f>
        <v/>
      </c>
      <c r="I12" s="54" t="str">
        <f t="shared" ca="1" si="3"/>
        <v/>
      </c>
    </row>
    <row r="13" spans="1:9" x14ac:dyDescent="0.35">
      <c r="A13" s="77" t="str">
        <f>IF('Production Log'!B13="","",'Production Log'!B13)</f>
        <v/>
      </c>
      <c r="B13" s="53" t="str">
        <f>IF('Production Log'!C13="","",'Production Log'!C13)</f>
        <v/>
      </c>
      <c r="C13" s="58" t="str">
        <f>IF('Production Log'!I13="","",'Production Log'!I13)</f>
        <v/>
      </c>
      <c r="D13" s="58" t="str">
        <f>IF('Production Log'!J13="","",'Production Log'!J13)</f>
        <v/>
      </c>
      <c r="E13" s="72" t="str">
        <f t="shared" ca="1" si="0"/>
        <v/>
      </c>
      <c r="F13" s="72" t="str">
        <f t="shared" ca="1" si="1"/>
        <v/>
      </c>
      <c r="G13" s="79" t="str">
        <f t="shared" ca="1" si="2"/>
        <v/>
      </c>
      <c r="H13" s="77" t="str">
        <f>IF('Production Log'!K13="","",'Production Log'!K13)</f>
        <v/>
      </c>
      <c r="I13" s="54" t="str">
        <f t="shared" ca="1" si="3"/>
        <v/>
      </c>
    </row>
    <row r="14" spans="1:9" x14ac:dyDescent="0.35">
      <c r="A14" s="77" t="str">
        <f>IF('Production Log'!B14="","",'Production Log'!B14)</f>
        <v/>
      </c>
      <c r="B14" s="53" t="str">
        <f>IF('Production Log'!C14="","",'Production Log'!C14)</f>
        <v/>
      </c>
      <c r="C14" s="58" t="str">
        <f>IF('Production Log'!I14="","",'Production Log'!I14)</f>
        <v/>
      </c>
      <c r="D14" s="58" t="str">
        <f>IF('Production Log'!J14="","",'Production Log'!J14)</f>
        <v/>
      </c>
      <c r="E14" s="72" t="str">
        <f t="shared" ca="1" si="0"/>
        <v/>
      </c>
      <c r="F14" s="72" t="str">
        <f t="shared" ca="1" si="1"/>
        <v/>
      </c>
      <c r="G14" s="79" t="str">
        <f t="shared" ca="1" si="2"/>
        <v/>
      </c>
      <c r="H14" s="77" t="str">
        <f>IF('Production Log'!K14="","",'Production Log'!K14)</f>
        <v/>
      </c>
      <c r="I14" s="54" t="str">
        <f t="shared" ca="1" si="3"/>
        <v/>
      </c>
    </row>
    <row r="15" spans="1:9" x14ac:dyDescent="0.35">
      <c r="A15" s="77" t="str">
        <f>IF('Production Log'!B15="","",'Production Log'!B15)</f>
        <v/>
      </c>
      <c r="B15" s="53" t="str">
        <f>IF('Production Log'!C15="","",'Production Log'!C15)</f>
        <v/>
      </c>
      <c r="C15" s="58" t="str">
        <f>IF('Production Log'!I15="","",'Production Log'!I15)</f>
        <v/>
      </c>
      <c r="D15" s="58" t="str">
        <f>IF('Production Log'!J15="","",'Production Log'!J15)</f>
        <v/>
      </c>
      <c r="E15" s="72" t="str">
        <f t="shared" ca="1" si="0"/>
        <v/>
      </c>
      <c r="F15" s="72" t="str">
        <f t="shared" ca="1" si="1"/>
        <v/>
      </c>
      <c r="G15" s="79" t="str">
        <f t="shared" ca="1" si="2"/>
        <v/>
      </c>
      <c r="H15" s="77" t="str">
        <f>IF('Production Log'!K15="","",'Production Log'!K15)</f>
        <v/>
      </c>
      <c r="I15" s="54" t="str">
        <f t="shared" ca="1" si="3"/>
        <v/>
      </c>
    </row>
    <row r="16" spans="1:9" x14ac:dyDescent="0.35">
      <c r="A16" s="77" t="str">
        <f>IF('Production Log'!B16="","",'Production Log'!B16)</f>
        <v/>
      </c>
      <c r="B16" s="53" t="str">
        <f>IF('Production Log'!C16="","",'Production Log'!C16)</f>
        <v/>
      </c>
      <c r="C16" s="58" t="str">
        <f>IF('Production Log'!I16="","",'Production Log'!I16)</f>
        <v/>
      </c>
      <c r="D16" s="58" t="str">
        <f>IF('Production Log'!J16="","",'Production Log'!J16)</f>
        <v/>
      </c>
      <c r="E16" s="72" t="str">
        <f t="shared" ca="1" si="0"/>
        <v/>
      </c>
      <c r="F16" s="72" t="str">
        <f t="shared" ca="1" si="1"/>
        <v/>
      </c>
      <c r="G16" s="79" t="str">
        <f t="shared" ca="1" si="2"/>
        <v/>
      </c>
      <c r="H16" s="77" t="str">
        <f>IF('Production Log'!K16="","",'Production Log'!K16)</f>
        <v/>
      </c>
      <c r="I16" s="54" t="str">
        <f t="shared" ca="1" si="3"/>
        <v/>
      </c>
    </row>
    <row r="17" spans="1:9" x14ac:dyDescent="0.35">
      <c r="A17" s="77" t="str">
        <f>IF('Production Log'!B17="","",'Production Log'!B17)</f>
        <v/>
      </c>
      <c r="B17" s="53" t="str">
        <f>IF('Production Log'!C17="","",'Production Log'!C17)</f>
        <v/>
      </c>
      <c r="C17" s="58" t="str">
        <f>IF('Production Log'!I17="","",'Production Log'!I17)</f>
        <v/>
      </c>
      <c r="D17" s="58" t="str">
        <f>IF('Production Log'!J17="","",'Production Log'!J17)</f>
        <v/>
      </c>
      <c r="E17" s="72" t="str">
        <f t="shared" ca="1" si="0"/>
        <v/>
      </c>
      <c r="F17" s="72" t="str">
        <f t="shared" ca="1" si="1"/>
        <v/>
      </c>
      <c r="G17" s="79" t="str">
        <f t="shared" ca="1" si="2"/>
        <v/>
      </c>
      <c r="H17" s="77" t="str">
        <f>IF('Production Log'!K17="","",'Production Log'!K17)</f>
        <v/>
      </c>
      <c r="I17" s="54" t="str">
        <f t="shared" ca="1" si="3"/>
        <v/>
      </c>
    </row>
    <row r="18" spans="1:9" x14ac:dyDescent="0.35">
      <c r="A18" s="77" t="str">
        <f>IF('Production Log'!B18="","",'Production Log'!B18)</f>
        <v/>
      </c>
      <c r="B18" s="53" t="str">
        <f>IF('Production Log'!C18="","",'Production Log'!C18)</f>
        <v/>
      </c>
      <c r="C18" s="58" t="str">
        <f>IF('Production Log'!I18="","",'Production Log'!I18)</f>
        <v/>
      </c>
      <c r="D18" s="58" t="str">
        <f>IF('Production Log'!J18="","",'Production Log'!J18)</f>
        <v/>
      </c>
      <c r="E18" s="72" t="str">
        <f t="shared" ca="1" si="0"/>
        <v/>
      </c>
      <c r="F18" s="72" t="str">
        <f t="shared" ca="1" si="1"/>
        <v/>
      </c>
      <c r="G18" s="79" t="str">
        <f t="shared" ca="1" si="2"/>
        <v/>
      </c>
      <c r="H18" s="77" t="str">
        <f>IF('Production Log'!K18="","",'Production Log'!K18)</f>
        <v/>
      </c>
      <c r="I18" s="54" t="str">
        <f t="shared" ca="1" si="3"/>
        <v/>
      </c>
    </row>
    <row r="19" spans="1:9" x14ac:dyDescent="0.35">
      <c r="A19" s="77" t="str">
        <f>IF('Production Log'!B19="","",'Production Log'!B19)</f>
        <v/>
      </c>
      <c r="B19" s="53" t="str">
        <f>IF('Production Log'!C19="","",'Production Log'!C19)</f>
        <v/>
      </c>
      <c r="C19" s="58" t="str">
        <f>IF('Production Log'!I19="","",'Production Log'!I19)</f>
        <v/>
      </c>
      <c r="D19" s="58" t="str">
        <f>IF('Production Log'!J19="","",'Production Log'!J19)</f>
        <v/>
      </c>
      <c r="E19" s="72" t="str">
        <f t="shared" ca="1" si="0"/>
        <v/>
      </c>
      <c r="F19" s="72" t="str">
        <f t="shared" ca="1" si="1"/>
        <v/>
      </c>
      <c r="G19" s="79" t="str">
        <f t="shared" ca="1" si="2"/>
        <v/>
      </c>
      <c r="H19" s="77" t="str">
        <f>IF('Production Log'!K19="","",'Production Log'!K19)</f>
        <v/>
      </c>
      <c r="I19" s="54" t="str">
        <f t="shared" ca="1" si="3"/>
        <v/>
      </c>
    </row>
    <row r="20" spans="1:9" x14ac:dyDescent="0.35">
      <c r="A20" s="77" t="str">
        <f>IF('Production Log'!B20="","",'Production Log'!B20)</f>
        <v/>
      </c>
      <c r="B20" s="53" t="str">
        <f>IF('Production Log'!C20="","",'Production Log'!C20)</f>
        <v/>
      </c>
      <c r="C20" s="58" t="str">
        <f>IF('Production Log'!I20="","",'Production Log'!I20)</f>
        <v/>
      </c>
      <c r="D20" s="58" t="str">
        <f>IF('Production Log'!J20="","",'Production Log'!J20)</f>
        <v/>
      </c>
      <c r="E20" s="72" t="str">
        <f t="shared" ca="1" si="0"/>
        <v/>
      </c>
      <c r="F20" s="72" t="str">
        <f t="shared" ca="1" si="1"/>
        <v/>
      </c>
      <c r="G20" s="79" t="str">
        <f t="shared" ca="1" si="2"/>
        <v/>
      </c>
      <c r="H20" s="77" t="str">
        <f>IF('Production Log'!K20="","",'Production Log'!K20)</f>
        <v/>
      </c>
      <c r="I20" s="54" t="str">
        <f t="shared" ca="1" si="3"/>
        <v/>
      </c>
    </row>
    <row r="21" spans="1:9" x14ac:dyDescent="0.35">
      <c r="A21" s="77" t="str">
        <f>IF('Production Log'!B21="","",'Production Log'!B21)</f>
        <v/>
      </c>
      <c r="B21" s="53" t="str">
        <f>IF('Production Log'!C21="","",'Production Log'!C21)</f>
        <v/>
      </c>
      <c r="C21" s="58" t="str">
        <f>IF('Production Log'!I21="","",'Production Log'!I21)</f>
        <v/>
      </c>
      <c r="D21" s="58" t="str">
        <f>IF('Production Log'!J21="","",'Production Log'!J21)</f>
        <v/>
      </c>
      <c r="E21" s="72" t="str">
        <f t="shared" ca="1" si="0"/>
        <v/>
      </c>
      <c r="F21" s="72" t="str">
        <f t="shared" ca="1" si="1"/>
        <v/>
      </c>
      <c r="G21" s="79" t="str">
        <f t="shared" ca="1" si="2"/>
        <v/>
      </c>
      <c r="H21" s="77" t="str">
        <f>IF('Production Log'!K21="","",'Production Log'!K21)</f>
        <v/>
      </c>
      <c r="I21" s="54" t="str">
        <f t="shared" ca="1" si="3"/>
        <v/>
      </c>
    </row>
    <row r="22" spans="1:9" x14ac:dyDescent="0.35">
      <c r="A22" s="77" t="str">
        <f>IF('Production Log'!B22="","",'Production Log'!B22)</f>
        <v/>
      </c>
      <c r="B22" s="53" t="str">
        <f>IF('Production Log'!C22="","",'Production Log'!C22)</f>
        <v/>
      </c>
      <c r="C22" s="58" t="str">
        <f>IF('Production Log'!I22="","",'Production Log'!I22)</f>
        <v/>
      </c>
      <c r="D22" s="58" t="str">
        <f>IF('Production Log'!J22="","",'Production Log'!J22)</f>
        <v/>
      </c>
      <c r="E22" s="72" t="str">
        <f t="shared" ca="1" si="0"/>
        <v/>
      </c>
      <c r="F22" s="72" t="str">
        <f t="shared" ca="1" si="1"/>
        <v/>
      </c>
      <c r="G22" s="79" t="str">
        <f t="shared" ca="1" si="2"/>
        <v/>
      </c>
      <c r="H22" s="77" t="str">
        <f>IF('Production Log'!K22="","",'Production Log'!K22)</f>
        <v/>
      </c>
      <c r="I22" s="54" t="str">
        <f t="shared" ca="1" si="3"/>
        <v/>
      </c>
    </row>
    <row r="23" spans="1:9" x14ac:dyDescent="0.35">
      <c r="A23" s="77" t="str">
        <f>IF('Production Log'!B23="","",'Production Log'!B23)</f>
        <v/>
      </c>
      <c r="B23" s="53" t="str">
        <f>IF('Production Log'!C23="","",'Production Log'!C23)</f>
        <v/>
      </c>
      <c r="C23" s="58" t="str">
        <f>IF('Production Log'!I23="","",'Production Log'!I23)</f>
        <v/>
      </c>
      <c r="D23" s="58" t="str">
        <f>IF('Production Log'!J23="","",'Production Log'!J23)</f>
        <v/>
      </c>
      <c r="E23" s="72" t="str">
        <f t="shared" ca="1" si="0"/>
        <v/>
      </c>
      <c r="F23" s="72" t="str">
        <f t="shared" ca="1" si="1"/>
        <v/>
      </c>
      <c r="G23" s="79" t="str">
        <f t="shared" ca="1" si="2"/>
        <v/>
      </c>
      <c r="H23" s="77" t="str">
        <f>IF('Production Log'!K23="","",'Production Log'!K23)</f>
        <v/>
      </c>
      <c r="I23" s="54" t="str">
        <f t="shared" ca="1" si="3"/>
        <v/>
      </c>
    </row>
    <row r="24" spans="1:9" x14ac:dyDescent="0.35">
      <c r="A24" s="77" t="str">
        <f>IF('Production Log'!B24="","",'Production Log'!B24)</f>
        <v/>
      </c>
      <c r="B24" s="53" t="str">
        <f>IF('Production Log'!C24="","",'Production Log'!C24)</f>
        <v/>
      </c>
      <c r="C24" s="58" t="str">
        <f>IF('Production Log'!I24="","",'Production Log'!I24)</f>
        <v/>
      </c>
      <c r="D24" s="58" t="str">
        <f>IF('Production Log'!J24="","",'Production Log'!J24)</f>
        <v/>
      </c>
      <c r="E24" s="72" t="str">
        <f t="shared" ca="1" si="0"/>
        <v/>
      </c>
      <c r="F24" s="72" t="str">
        <f t="shared" ca="1" si="1"/>
        <v/>
      </c>
      <c r="G24" s="79" t="str">
        <f t="shared" ca="1" si="2"/>
        <v/>
      </c>
      <c r="H24" s="77" t="str">
        <f>IF('Production Log'!K24="","",'Production Log'!K24)</f>
        <v/>
      </c>
      <c r="I24" s="54" t="str">
        <f t="shared" ca="1" si="3"/>
        <v/>
      </c>
    </row>
    <row r="25" spans="1:9" x14ac:dyDescent="0.35">
      <c r="A25" s="77" t="str">
        <f>IF('Production Log'!B25="","",'Production Log'!B25)</f>
        <v/>
      </c>
      <c r="B25" s="53" t="str">
        <f>IF('Production Log'!C25="","",'Production Log'!C25)</f>
        <v/>
      </c>
      <c r="C25" s="58" t="str">
        <f>IF('Production Log'!I25="","",'Production Log'!I25)</f>
        <v/>
      </c>
      <c r="D25" s="58" t="str">
        <f>IF('Production Log'!J25="","",'Production Log'!J25)</f>
        <v/>
      </c>
      <c r="E25" s="72" t="str">
        <f t="shared" ca="1" si="0"/>
        <v/>
      </c>
      <c r="F25" s="72" t="str">
        <f t="shared" ca="1" si="1"/>
        <v/>
      </c>
      <c r="G25" s="79" t="str">
        <f t="shared" ca="1" si="2"/>
        <v/>
      </c>
      <c r="H25" s="77" t="str">
        <f>IF('Production Log'!K25="","",'Production Log'!K25)</f>
        <v/>
      </c>
      <c r="I25" s="54" t="str">
        <f t="shared" ca="1" si="3"/>
        <v/>
      </c>
    </row>
    <row r="26" spans="1:9" x14ac:dyDescent="0.35">
      <c r="A26" s="77" t="str">
        <f>IF('Production Log'!B26="","",'Production Log'!B26)</f>
        <v/>
      </c>
      <c r="B26" s="53" t="str">
        <f>IF('Production Log'!C26="","",'Production Log'!C26)</f>
        <v/>
      </c>
      <c r="C26" s="58" t="str">
        <f>IF('Production Log'!I26="","",'Production Log'!I26)</f>
        <v/>
      </c>
      <c r="D26" s="58" t="str">
        <f>IF('Production Log'!J26="","",'Production Log'!J26)</f>
        <v/>
      </c>
      <c r="E26" s="72" t="str">
        <f t="shared" ca="1" si="0"/>
        <v/>
      </c>
      <c r="F26" s="72" t="str">
        <f t="shared" ca="1" si="1"/>
        <v/>
      </c>
      <c r="G26" s="79" t="str">
        <f t="shared" ca="1" si="2"/>
        <v/>
      </c>
      <c r="H26" s="77" t="str">
        <f>IF('Production Log'!K26="","",'Production Log'!K26)</f>
        <v/>
      </c>
      <c r="I26" s="54" t="str">
        <f t="shared" ca="1" si="3"/>
        <v/>
      </c>
    </row>
    <row r="27" spans="1:9" x14ac:dyDescent="0.35">
      <c r="A27" s="77" t="str">
        <f>IF('Production Log'!B27="","",'Production Log'!B27)</f>
        <v/>
      </c>
      <c r="B27" s="53" t="str">
        <f>IF('Production Log'!C27="","",'Production Log'!C27)</f>
        <v/>
      </c>
      <c r="C27" s="58" t="str">
        <f>IF('Production Log'!I27="","",'Production Log'!I27)</f>
        <v/>
      </c>
      <c r="D27" s="58" t="str">
        <f>IF('Production Log'!J27="","",'Production Log'!J27)</f>
        <v/>
      </c>
      <c r="E27" s="72" t="str">
        <f t="shared" ca="1" si="0"/>
        <v/>
      </c>
      <c r="F27" s="72" t="str">
        <f t="shared" ca="1" si="1"/>
        <v/>
      </c>
      <c r="G27" s="79" t="str">
        <f t="shared" ca="1" si="2"/>
        <v/>
      </c>
      <c r="H27" s="77" t="str">
        <f>IF('Production Log'!K27="","",'Production Log'!K27)</f>
        <v/>
      </c>
      <c r="I27" s="54" t="str">
        <f t="shared" ca="1" si="3"/>
        <v/>
      </c>
    </row>
    <row r="28" spans="1:9" x14ac:dyDescent="0.35">
      <c r="A28" s="77" t="str">
        <f>IF('Production Log'!B28="","",'Production Log'!B28)</f>
        <v/>
      </c>
      <c r="B28" s="53" t="str">
        <f>IF('Production Log'!C28="","",'Production Log'!C28)</f>
        <v/>
      </c>
      <c r="C28" s="58" t="str">
        <f>IF('Production Log'!I28="","",'Production Log'!I28)</f>
        <v/>
      </c>
      <c r="D28" s="58" t="str">
        <f>IF('Production Log'!J28="","",'Production Log'!J28)</f>
        <v/>
      </c>
      <c r="E28" s="72" t="str">
        <f t="shared" ca="1" si="0"/>
        <v/>
      </c>
      <c r="F28" s="72" t="str">
        <f t="shared" ca="1" si="1"/>
        <v/>
      </c>
      <c r="G28" s="79" t="str">
        <f t="shared" ca="1" si="2"/>
        <v/>
      </c>
      <c r="H28" s="77" t="str">
        <f>IF('Production Log'!K28="","",'Production Log'!K28)</f>
        <v/>
      </c>
      <c r="I28" s="54" t="str">
        <f t="shared" ca="1" si="3"/>
        <v/>
      </c>
    </row>
    <row r="29" spans="1:9" x14ac:dyDescent="0.35">
      <c r="A29" s="77" t="str">
        <f>IF('Production Log'!B29="","",'Production Log'!B29)</f>
        <v/>
      </c>
      <c r="B29" s="53" t="str">
        <f>IF('Production Log'!C29="","",'Production Log'!C29)</f>
        <v/>
      </c>
      <c r="C29" s="58" t="str">
        <f>IF('Production Log'!I29="","",'Production Log'!I29)</f>
        <v/>
      </c>
      <c r="D29" s="58" t="str">
        <f>IF('Production Log'!J29="","",'Production Log'!J29)</f>
        <v/>
      </c>
      <c r="E29" s="72" t="str">
        <f t="shared" ca="1" si="0"/>
        <v/>
      </c>
      <c r="F29" s="72" t="str">
        <f t="shared" ca="1" si="1"/>
        <v/>
      </c>
      <c r="G29" s="79" t="str">
        <f t="shared" ca="1" si="2"/>
        <v/>
      </c>
      <c r="H29" s="77" t="str">
        <f>IF('Production Log'!K29="","",'Production Log'!K29)</f>
        <v/>
      </c>
      <c r="I29" s="54" t="str">
        <f t="shared" ca="1" si="3"/>
        <v/>
      </c>
    </row>
    <row r="30" spans="1:9" x14ac:dyDescent="0.35">
      <c r="A30" s="77" t="str">
        <f>IF('Production Log'!B30="","",'Production Log'!B30)</f>
        <v/>
      </c>
      <c r="B30" s="53" t="str">
        <f>IF('Production Log'!C30="","",'Production Log'!C30)</f>
        <v/>
      </c>
      <c r="C30" s="58" t="str">
        <f>IF('Production Log'!I30="","",'Production Log'!I30)</f>
        <v/>
      </c>
      <c r="D30" s="58" t="str">
        <f>IF('Production Log'!J30="","",'Production Log'!J30)</f>
        <v/>
      </c>
      <c r="E30" s="72" t="str">
        <f t="shared" ca="1" si="0"/>
        <v/>
      </c>
      <c r="F30" s="72" t="str">
        <f t="shared" ca="1" si="1"/>
        <v/>
      </c>
      <c r="G30" s="79" t="str">
        <f t="shared" ca="1" si="2"/>
        <v/>
      </c>
      <c r="H30" s="77" t="str">
        <f>IF('Production Log'!K30="","",'Production Log'!K30)</f>
        <v/>
      </c>
      <c r="I30" s="54" t="str">
        <f t="shared" ca="1" si="3"/>
        <v/>
      </c>
    </row>
    <row r="31" spans="1:9" x14ac:dyDescent="0.35">
      <c r="A31" s="77" t="str">
        <f>IF('Production Log'!B31="","",'Production Log'!B31)</f>
        <v/>
      </c>
      <c r="B31" s="53" t="str">
        <f>IF('Production Log'!C31="","",'Production Log'!C31)</f>
        <v/>
      </c>
      <c r="C31" s="58" t="str">
        <f>IF('Production Log'!I31="","",'Production Log'!I31)</f>
        <v/>
      </c>
      <c r="D31" s="58" t="str">
        <f>IF('Production Log'!J31="","",'Production Log'!J31)</f>
        <v/>
      </c>
      <c r="E31" s="72" t="str">
        <f t="shared" ca="1" si="0"/>
        <v/>
      </c>
      <c r="F31" s="72" t="str">
        <f t="shared" ca="1" si="1"/>
        <v/>
      </c>
      <c r="G31" s="79" t="str">
        <f t="shared" ca="1" si="2"/>
        <v/>
      </c>
      <c r="H31" s="77" t="str">
        <f>IF('Production Log'!K31="","",'Production Log'!K31)</f>
        <v/>
      </c>
      <c r="I31" s="54" t="str">
        <f t="shared" ca="1" si="3"/>
        <v/>
      </c>
    </row>
    <row r="32" spans="1:9" x14ac:dyDescent="0.35">
      <c r="A32" s="77" t="str">
        <f>IF('Production Log'!B32="","",'Production Log'!B32)</f>
        <v/>
      </c>
      <c r="B32" s="53" t="str">
        <f>IF('Production Log'!C32="","",'Production Log'!C32)</f>
        <v/>
      </c>
      <c r="C32" s="58" t="str">
        <f>IF('Production Log'!I32="","",'Production Log'!I32)</f>
        <v/>
      </c>
      <c r="D32" s="58" t="str">
        <f>IF('Production Log'!J32="","",'Production Log'!J32)</f>
        <v/>
      </c>
      <c r="E32" s="72" t="str">
        <f t="shared" ca="1" si="0"/>
        <v/>
      </c>
      <c r="F32" s="72" t="str">
        <f t="shared" ca="1" si="1"/>
        <v/>
      </c>
      <c r="G32" s="79" t="str">
        <f t="shared" ca="1" si="2"/>
        <v/>
      </c>
      <c r="H32" s="77" t="str">
        <f>IF('Production Log'!K32="","",'Production Log'!K32)</f>
        <v/>
      </c>
      <c r="I32" s="54" t="str">
        <f t="shared" ca="1" si="3"/>
        <v/>
      </c>
    </row>
    <row r="33" spans="1:9" x14ac:dyDescent="0.35">
      <c r="A33" s="77" t="str">
        <f>IF('Production Log'!B33="","",'Production Log'!B33)</f>
        <v/>
      </c>
      <c r="B33" s="53" t="str">
        <f>IF('Production Log'!C33="","",'Production Log'!C33)</f>
        <v/>
      </c>
      <c r="C33" s="58" t="str">
        <f>IF('Production Log'!I33="","",'Production Log'!I33)</f>
        <v/>
      </c>
      <c r="D33" s="58" t="str">
        <f>IF('Production Log'!J33="","",'Production Log'!J33)</f>
        <v/>
      </c>
      <c r="E33" s="72" t="str">
        <f t="shared" ca="1" si="0"/>
        <v/>
      </c>
      <c r="F33" s="72" t="str">
        <f t="shared" ca="1" si="1"/>
        <v/>
      </c>
      <c r="G33" s="79" t="str">
        <f t="shared" ca="1" si="2"/>
        <v/>
      </c>
      <c r="H33" s="77" t="str">
        <f>IF('Production Log'!K33="","",'Production Log'!K33)</f>
        <v/>
      </c>
      <c r="I33" s="54" t="str">
        <f t="shared" ca="1" si="3"/>
        <v/>
      </c>
    </row>
    <row r="34" spans="1:9" x14ac:dyDescent="0.35">
      <c r="A34" s="77" t="str">
        <f>IF('Production Log'!B34="","",'Production Log'!B34)</f>
        <v/>
      </c>
      <c r="B34" s="53" t="str">
        <f>IF('Production Log'!C34="","",'Production Log'!C34)</f>
        <v/>
      </c>
      <c r="C34" s="58" t="str">
        <f>IF('Production Log'!I34="","",'Production Log'!I34)</f>
        <v/>
      </c>
      <c r="D34" s="58" t="str">
        <f>IF('Production Log'!J34="","",'Production Log'!J34)</f>
        <v/>
      </c>
      <c r="E34" s="72" t="str">
        <f t="shared" ca="1" si="0"/>
        <v/>
      </c>
      <c r="F34" s="72" t="str">
        <f t="shared" ca="1" si="1"/>
        <v/>
      </c>
      <c r="G34" s="79" t="str">
        <f t="shared" ca="1" si="2"/>
        <v/>
      </c>
      <c r="H34" s="77" t="str">
        <f>IF('Production Log'!K34="","",'Production Log'!K34)</f>
        <v/>
      </c>
      <c r="I34" s="54" t="str">
        <f t="shared" ca="1" si="3"/>
        <v/>
      </c>
    </row>
    <row r="35" spans="1:9" x14ac:dyDescent="0.35">
      <c r="A35" s="77" t="str">
        <f>IF('Production Log'!B35="","",'Production Log'!B35)</f>
        <v/>
      </c>
      <c r="B35" s="53" t="str">
        <f>IF('Production Log'!C35="","",'Production Log'!C35)</f>
        <v/>
      </c>
      <c r="C35" s="58" t="str">
        <f>IF('Production Log'!I35="","",'Production Log'!I35)</f>
        <v/>
      </c>
      <c r="D35" s="58" t="str">
        <f>IF('Production Log'!J35="","",'Production Log'!J35)</f>
        <v/>
      </c>
      <c r="E35" s="72" t="str">
        <f t="shared" ca="1" si="0"/>
        <v/>
      </c>
      <c r="F35" s="72" t="str">
        <f t="shared" ca="1" si="1"/>
        <v/>
      </c>
      <c r="G35" s="79" t="str">
        <f t="shared" ca="1" si="2"/>
        <v/>
      </c>
      <c r="H35" s="77" t="str">
        <f>IF('Production Log'!K35="","",'Production Log'!K35)</f>
        <v/>
      </c>
      <c r="I35" s="54" t="str">
        <f t="shared" ca="1" si="3"/>
        <v/>
      </c>
    </row>
    <row r="36" spans="1:9" x14ac:dyDescent="0.35">
      <c r="A36" s="77" t="str">
        <f>IF('Production Log'!B36="","",'Production Log'!B36)</f>
        <v/>
      </c>
      <c r="B36" s="53" t="str">
        <f>IF('Production Log'!C36="","",'Production Log'!C36)</f>
        <v/>
      </c>
      <c r="C36" s="58" t="str">
        <f>IF('Production Log'!I36="","",'Production Log'!I36)</f>
        <v/>
      </c>
      <c r="D36" s="58" t="str">
        <f>IF('Production Log'!J36="","",'Production Log'!J36)</f>
        <v/>
      </c>
      <c r="E36" s="72" t="str">
        <f t="shared" ca="1" si="0"/>
        <v/>
      </c>
      <c r="F36" s="72" t="str">
        <f t="shared" ca="1" si="1"/>
        <v/>
      </c>
      <c r="G36" s="79" t="str">
        <f t="shared" ca="1" si="2"/>
        <v/>
      </c>
      <c r="H36" s="77" t="str">
        <f>IF('Production Log'!K36="","",'Production Log'!K36)</f>
        <v/>
      </c>
      <c r="I36" s="54" t="str">
        <f t="shared" ca="1" si="3"/>
        <v/>
      </c>
    </row>
    <row r="37" spans="1:9" x14ac:dyDescent="0.35">
      <c r="A37" s="77" t="str">
        <f>IF('Production Log'!B37="","",'Production Log'!B37)</f>
        <v/>
      </c>
      <c r="B37" s="53" t="str">
        <f>IF('Production Log'!C37="","",'Production Log'!C37)</f>
        <v/>
      </c>
      <c r="C37" s="58" t="str">
        <f>IF('Production Log'!I37="","",'Production Log'!I37)</f>
        <v/>
      </c>
      <c r="D37" s="58" t="str">
        <f>IF('Production Log'!J37="","",'Production Log'!J37)</f>
        <v/>
      </c>
      <c r="E37" s="72" t="str">
        <f t="shared" ca="1" si="0"/>
        <v/>
      </c>
      <c r="F37" s="72" t="str">
        <f t="shared" ca="1" si="1"/>
        <v/>
      </c>
      <c r="G37" s="79" t="str">
        <f t="shared" ca="1" si="2"/>
        <v/>
      </c>
      <c r="H37" s="77" t="str">
        <f>IF('Production Log'!K37="","",'Production Log'!K37)</f>
        <v/>
      </c>
      <c r="I37" s="54" t="str">
        <f t="shared" ca="1" si="3"/>
        <v/>
      </c>
    </row>
    <row r="38" spans="1:9" x14ac:dyDescent="0.35">
      <c r="A38" s="77" t="str">
        <f>IF('Production Log'!B38="","",'Production Log'!B38)</f>
        <v/>
      </c>
      <c r="B38" s="53" t="str">
        <f>IF('Production Log'!C38="","",'Production Log'!C38)</f>
        <v/>
      </c>
      <c r="C38" s="58" t="str">
        <f>IF('Production Log'!I38="","",'Production Log'!I38)</f>
        <v/>
      </c>
      <c r="D38" s="58" t="str">
        <f>IF('Production Log'!J38="","",'Production Log'!J38)</f>
        <v/>
      </c>
      <c r="E38" s="72" t="str">
        <f t="shared" ca="1" si="0"/>
        <v/>
      </c>
      <c r="F38" s="72" t="str">
        <f t="shared" ca="1" si="1"/>
        <v/>
      </c>
      <c r="G38" s="79" t="str">
        <f t="shared" ca="1" si="2"/>
        <v/>
      </c>
      <c r="H38" s="77" t="str">
        <f>IF('Production Log'!K38="","",'Production Log'!K38)</f>
        <v/>
      </c>
      <c r="I38" s="54" t="str">
        <f t="shared" ca="1" si="3"/>
        <v/>
      </c>
    </row>
    <row r="39" spans="1:9" x14ac:dyDescent="0.35">
      <c r="A39" s="77" t="str">
        <f>IF('Production Log'!B39="","",'Production Log'!B39)</f>
        <v/>
      </c>
      <c r="B39" s="53" t="str">
        <f>IF('Production Log'!C39="","",'Production Log'!C39)</f>
        <v/>
      </c>
      <c r="C39" s="58" t="str">
        <f>IF('Production Log'!I39="","",'Production Log'!I39)</f>
        <v/>
      </c>
      <c r="D39" s="58" t="str">
        <f>IF('Production Log'!J39="","",'Production Log'!J39)</f>
        <v/>
      </c>
      <c r="E39" s="72" t="str">
        <f t="shared" ca="1" si="0"/>
        <v/>
      </c>
      <c r="F39" s="72" t="str">
        <f t="shared" ca="1" si="1"/>
        <v/>
      </c>
      <c r="G39" s="79" t="str">
        <f t="shared" ca="1" si="2"/>
        <v/>
      </c>
      <c r="H39" s="77" t="str">
        <f>IF('Production Log'!K39="","",'Production Log'!K39)</f>
        <v/>
      </c>
      <c r="I39" s="54" t="str">
        <f t="shared" ca="1" si="3"/>
        <v/>
      </c>
    </row>
    <row r="40" spans="1:9" x14ac:dyDescent="0.35">
      <c r="A40" s="77" t="str">
        <f>IF('Production Log'!B40="","",'Production Log'!B40)</f>
        <v/>
      </c>
      <c r="B40" s="53" t="str">
        <f>IF('Production Log'!C40="","",'Production Log'!C40)</f>
        <v/>
      </c>
      <c r="C40" s="58" t="str">
        <f>IF('Production Log'!I40="","",'Production Log'!I40)</f>
        <v/>
      </c>
      <c r="D40" s="58" t="str">
        <f>IF('Production Log'!J40="","",'Production Log'!J40)</f>
        <v/>
      </c>
      <c r="E40" s="72" t="str">
        <f t="shared" ca="1" si="0"/>
        <v/>
      </c>
      <c r="F40" s="72" t="str">
        <f t="shared" ca="1" si="1"/>
        <v/>
      </c>
      <c r="G40" s="79" t="str">
        <f t="shared" ca="1" si="2"/>
        <v/>
      </c>
      <c r="H40" s="77" t="str">
        <f>IF('Production Log'!K40="","",'Production Log'!K40)</f>
        <v/>
      </c>
      <c r="I40" s="54" t="str">
        <f t="shared" ca="1" si="3"/>
        <v/>
      </c>
    </row>
    <row r="41" spans="1:9" x14ac:dyDescent="0.35">
      <c r="A41" s="77" t="str">
        <f>IF('Production Log'!B41="","",'Production Log'!B41)</f>
        <v/>
      </c>
      <c r="B41" s="53" t="str">
        <f>IF('Production Log'!C41="","",'Production Log'!C41)</f>
        <v/>
      </c>
      <c r="C41" s="58" t="str">
        <f>IF('Production Log'!I41="","",'Production Log'!I41)</f>
        <v/>
      </c>
      <c r="D41" s="58" t="str">
        <f>IF('Production Log'!J41="","",'Production Log'!J41)</f>
        <v/>
      </c>
      <c r="E41" s="72" t="str">
        <f t="shared" ca="1" si="0"/>
        <v/>
      </c>
      <c r="F41" s="72" t="str">
        <f t="shared" ca="1" si="1"/>
        <v/>
      </c>
      <c r="G41" s="79" t="str">
        <f t="shared" ca="1" si="2"/>
        <v/>
      </c>
      <c r="H41" s="77" t="str">
        <f>IF('Production Log'!K41="","",'Production Log'!K41)</f>
        <v/>
      </c>
      <c r="I41" s="54" t="str">
        <f t="shared" ca="1" si="3"/>
        <v/>
      </c>
    </row>
    <row r="42" spans="1:9" x14ac:dyDescent="0.35">
      <c r="A42" s="77" t="str">
        <f>IF('Production Log'!B42="","",'Production Log'!B42)</f>
        <v/>
      </c>
      <c r="B42" s="53" t="str">
        <f>IF('Production Log'!C42="","",'Production Log'!C42)</f>
        <v/>
      </c>
      <c r="C42" s="58" t="str">
        <f>IF('Production Log'!I42="","",'Production Log'!I42)</f>
        <v/>
      </c>
      <c r="D42" s="58" t="str">
        <f>IF('Production Log'!J42="","",'Production Log'!J42)</f>
        <v/>
      </c>
      <c r="E42" s="72" t="str">
        <f t="shared" ca="1" si="0"/>
        <v/>
      </c>
      <c r="F42" s="72" t="str">
        <f t="shared" ca="1" si="1"/>
        <v/>
      </c>
      <c r="G42" s="79" t="str">
        <f t="shared" ca="1" si="2"/>
        <v/>
      </c>
      <c r="H42" s="77" t="str">
        <f>IF('Production Log'!K42="","",'Production Log'!K42)</f>
        <v/>
      </c>
      <c r="I42" s="54" t="str">
        <f t="shared" ca="1" si="3"/>
        <v/>
      </c>
    </row>
    <row r="43" spans="1:9" x14ac:dyDescent="0.35">
      <c r="A43" s="77" t="str">
        <f>IF('Production Log'!B43="","",'Production Log'!B43)</f>
        <v/>
      </c>
      <c r="B43" s="53" t="str">
        <f>IF('Production Log'!C43="","",'Production Log'!C43)</f>
        <v/>
      </c>
      <c r="C43" s="58" t="str">
        <f>IF('Production Log'!I43="","",'Production Log'!I43)</f>
        <v/>
      </c>
      <c r="D43" s="58" t="str">
        <f>IF('Production Log'!J43="","",'Production Log'!J43)</f>
        <v/>
      </c>
      <c r="E43" s="72" t="str">
        <f t="shared" ca="1" si="0"/>
        <v/>
      </c>
      <c r="F43" s="72" t="str">
        <f t="shared" ca="1" si="1"/>
        <v/>
      </c>
      <c r="G43" s="79" t="str">
        <f t="shared" ca="1" si="2"/>
        <v/>
      </c>
      <c r="H43" s="77" t="str">
        <f>IF('Production Log'!K43="","",'Production Log'!K43)</f>
        <v/>
      </c>
      <c r="I43" s="54" t="str">
        <f t="shared" ca="1" si="3"/>
        <v/>
      </c>
    </row>
    <row r="44" spans="1:9" x14ac:dyDescent="0.35">
      <c r="A44" s="77" t="str">
        <f>IF('Production Log'!B44="","",'Production Log'!B44)</f>
        <v/>
      </c>
      <c r="B44" s="53" t="str">
        <f>IF('Production Log'!C44="","",'Production Log'!C44)</f>
        <v/>
      </c>
      <c r="C44" s="58" t="str">
        <f>IF('Production Log'!I44="","",'Production Log'!I44)</f>
        <v/>
      </c>
      <c r="D44" s="58" t="str">
        <f>IF('Production Log'!J44="","",'Production Log'!J44)</f>
        <v/>
      </c>
      <c r="E44" s="72" t="str">
        <f t="shared" ca="1" si="0"/>
        <v/>
      </c>
      <c r="F44" s="72" t="str">
        <f t="shared" ca="1" si="1"/>
        <v/>
      </c>
      <c r="G44" s="79" t="str">
        <f t="shared" ca="1" si="2"/>
        <v/>
      </c>
      <c r="H44" s="77"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7" t="s">
        <v>281</v>
      </c>
      <c r="B1" s="92"/>
      <c r="C1" s="92"/>
      <c r="D1" s="92"/>
      <c r="E1" s="92"/>
      <c r="F1" s="92"/>
      <c r="G1" s="92"/>
      <c r="H1" s="92"/>
      <c r="I1" s="92"/>
    </row>
    <row r="2" spans="1:9" x14ac:dyDescent="0.35">
      <c r="A2" s="104" t="s">
        <v>282</v>
      </c>
      <c r="B2" s="105"/>
      <c r="C2" s="105"/>
      <c r="D2" s="105"/>
      <c r="E2" s="105"/>
      <c r="F2" s="105"/>
      <c r="G2" s="105"/>
      <c r="H2" s="105"/>
      <c r="I2" s="105"/>
    </row>
    <row r="3" spans="1:9" ht="18" customHeight="1" x14ac:dyDescent="0.35">
      <c r="A3" s="95" t="s">
        <v>283</v>
      </c>
      <c r="B3" s="96"/>
      <c r="C3" s="96"/>
      <c r="D3" s="96"/>
      <c r="E3" s="96"/>
      <c r="F3" s="96"/>
      <c r="G3" s="96"/>
      <c r="H3" s="96"/>
      <c r="I3" s="96"/>
    </row>
    <row r="4" spans="1:9" x14ac:dyDescent="0.35">
      <c r="A4" s="93" t="s">
        <v>284</v>
      </c>
      <c r="B4" s="92"/>
      <c r="C4" s="46">
        <f>SUM(Inv_TotalPaid)</f>
        <v>2329.3500000000004</v>
      </c>
      <c r="D4" s="97" t="s">
        <v>285</v>
      </c>
      <c r="E4" s="92"/>
      <c r="F4" s="92"/>
      <c r="G4" s="92"/>
      <c r="H4" s="92"/>
      <c r="I4" s="92"/>
    </row>
    <row r="5" spans="1:9" x14ac:dyDescent="0.35">
      <c r="A5" s="93" t="s">
        <v>286</v>
      </c>
      <c r="B5" s="92"/>
      <c r="C5" s="42">
        <v>351</v>
      </c>
      <c r="D5" s="97" t="s">
        <v>287</v>
      </c>
      <c r="E5" s="92"/>
      <c r="F5" s="92"/>
      <c r="G5" s="92"/>
      <c r="H5" s="92"/>
      <c r="I5" s="92"/>
    </row>
    <row r="6" spans="1:9" x14ac:dyDescent="0.35">
      <c r="A6" s="103" t="s">
        <v>288</v>
      </c>
      <c r="B6" s="92"/>
      <c r="C6" s="46">
        <f>C4+C5</f>
        <v>2680.3500000000004</v>
      </c>
      <c r="D6" s="97"/>
      <c r="E6" s="92"/>
      <c r="F6" s="92"/>
      <c r="G6" s="92"/>
      <c r="H6" s="92"/>
      <c r="I6" s="92"/>
    </row>
    <row r="7" spans="1:9" x14ac:dyDescent="0.35">
      <c r="A7" s="93" t="s">
        <v>289</v>
      </c>
      <c r="B7" s="92"/>
      <c r="C7" s="80">
        <f>1+ShippingSAR/MaterialsTotalSAR</f>
        <v>1.1506858136389979</v>
      </c>
      <c r="D7" s="97" t="s">
        <v>290</v>
      </c>
      <c r="E7" s="92"/>
      <c r="F7" s="92"/>
      <c r="G7" s="92"/>
      <c r="H7" s="92"/>
      <c r="I7" s="92"/>
    </row>
    <row r="8" spans="1:9" x14ac:dyDescent="0.35">
      <c r="A8" s="1"/>
      <c r="B8" s="1"/>
      <c r="C8" s="1"/>
      <c r="D8" s="1"/>
      <c r="E8" s="1"/>
      <c r="F8" s="1"/>
      <c r="G8" s="1"/>
      <c r="H8" s="1"/>
      <c r="I8" s="1"/>
    </row>
    <row r="9" spans="1:9" ht="18" customHeight="1" x14ac:dyDescent="0.35">
      <c r="A9" s="95" t="s">
        <v>291</v>
      </c>
      <c r="B9" s="96"/>
      <c r="C9" s="96"/>
      <c r="D9" s="96"/>
      <c r="E9" s="96"/>
      <c r="F9" s="96"/>
      <c r="G9" s="96"/>
      <c r="H9" s="96"/>
      <c r="I9" s="96"/>
    </row>
    <row r="10" spans="1:9" x14ac:dyDescent="0.35">
      <c r="A10" s="93" t="s">
        <v>292</v>
      </c>
      <c r="B10" s="92"/>
      <c r="C10" s="46">
        <f>INDEX(Inv_PricePerG,MATCH("DPG (Dipropylene Glycol)",Inv_Mat,0))</f>
        <v>0.1</v>
      </c>
      <c r="D10" s="97" t="s">
        <v>293</v>
      </c>
      <c r="E10" s="92"/>
      <c r="F10" s="92"/>
      <c r="G10" s="92"/>
      <c r="H10" s="92"/>
      <c r="I10" s="92"/>
    </row>
    <row r="11" spans="1:9" x14ac:dyDescent="0.35">
      <c r="A11" s="93" t="s">
        <v>294</v>
      </c>
      <c r="B11" s="92"/>
      <c r="C11" s="46">
        <f>SUMPRODUCT(FM_Active,FM_CostG)</f>
        <v>4.9875898148148154</v>
      </c>
      <c r="D11" s="97" t="s">
        <v>295</v>
      </c>
      <c r="E11" s="92"/>
      <c r="F11" s="92"/>
      <c r="G11" s="92"/>
      <c r="H11" s="92"/>
      <c r="I11" s="92"/>
    </row>
    <row r="12" spans="1:9" x14ac:dyDescent="0.35">
      <c r="A12" s="93" t="s">
        <v>296</v>
      </c>
      <c r="B12" s="92"/>
      <c r="C12" s="46">
        <f>ConcCostPerG*ShipLoad</f>
        <v>5.7391488441577652</v>
      </c>
      <c r="D12" s="97" t="s">
        <v>297</v>
      </c>
      <c r="E12" s="92"/>
      <c r="F12" s="92"/>
      <c r="G12" s="92"/>
      <c r="H12" s="92"/>
      <c r="I12" s="92"/>
    </row>
    <row r="13" spans="1:9" x14ac:dyDescent="0.35">
      <c r="A13" s="1"/>
      <c r="B13" s="1"/>
      <c r="C13" s="1"/>
      <c r="D13" s="1"/>
      <c r="E13" s="1"/>
      <c r="F13" s="1"/>
      <c r="G13" s="1"/>
      <c r="H13" s="1"/>
      <c r="I13" s="1"/>
    </row>
    <row r="14" spans="1:9" ht="18" customHeight="1" x14ac:dyDescent="0.35">
      <c r="A14" s="95" t="s">
        <v>298</v>
      </c>
      <c r="B14" s="96"/>
      <c r="C14" s="96"/>
      <c r="D14" s="96"/>
      <c r="E14" s="96"/>
      <c r="F14" s="96"/>
      <c r="G14" s="96"/>
      <c r="H14" s="96"/>
      <c r="I14" s="96"/>
    </row>
    <row r="15" spans="1:9" x14ac:dyDescent="0.35">
      <c r="A15" s="125" t="s">
        <v>157</v>
      </c>
      <c r="B15" s="92"/>
      <c r="C15" s="81" t="s">
        <v>211</v>
      </c>
      <c r="D15" s="125" t="s">
        <v>159</v>
      </c>
      <c r="E15" s="92"/>
      <c r="F15" s="92"/>
      <c r="G15" s="92"/>
      <c r="H15" s="92"/>
      <c r="I15" s="92"/>
    </row>
    <row r="16" spans="1:9" x14ac:dyDescent="0.35">
      <c r="A16" s="115" t="s">
        <v>160</v>
      </c>
      <c r="B16" s="110"/>
      <c r="C16" s="24">
        <f>INDEX(Inv_PricePerG,MATCH("Alcohol 190 proof SDA 40B",Inv_Mat,0))*ShipLoad</f>
        <v>0.21308996548870329</v>
      </c>
      <c r="D16" s="109" t="s">
        <v>299</v>
      </c>
      <c r="E16" s="92"/>
      <c r="F16" s="92"/>
      <c r="G16" s="92"/>
      <c r="H16" s="92"/>
      <c r="I16" s="92"/>
    </row>
    <row r="17" spans="1:9" x14ac:dyDescent="0.35">
      <c r="A17" s="115" t="s">
        <v>162</v>
      </c>
      <c r="B17" s="110"/>
      <c r="C17" s="42">
        <v>0.01</v>
      </c>
      <c r="D17" s="109" t="s">
        <v>300</v>
      </c>
      <c r="E17" s="92"/>
      <c r="F17" s="92"/>
      <c r="G17" s="92"/>
      <c r="H17" s="92"/>
      <c r="I17" s="92"/>
    </row>
    <row r="18" spans="1:9" x14ac:dyDescent="0.35">
      <c r="A18" s="115" t="s">
        <v>164</v>
      </c>
      <c r="B18" s="110"/>
      <c r="C18" s="42">
        <v>0.05</v>
      </c>
      <c r="D18" s="109" t="s">
        <v>300</v>
      </c>
      <c r="E18" s="92"/>
      <c r="F18" s="92"/>
      <c r="G18" s="92"/>
      <c r="H18" s="92"/>
      <c r="I18" s="92"/>
    </row>
    <row r="19" spans="1:9" x14ac:dyDescent="0.35">
      <c r="A19" s="115" t="s">
        <v>301</v>
      </c>
      <c r="B19" s="110"/>
      <c r="C19" s="42">
        <v>0.1</v>
      </c>
      <c r="D19" s="109" t="s">
        <v>300</v>
      </c>
      <c r="E19" s="92"/>
      <c r="F19" s="92"/>
      <c r="G19" s="92"/>
      <c r="H19" s="92"/>
      <c r="I19" s="92"/>
    </row>
    <row r="20" spans="1:9" x14ac:dyDescent="0.35">
      <c r="A20" s="115" t="s">
        <v>168</v>
      </c>
      <c r="B20" s="110"/>
      <c r="C20" s="42">
        <v>0.4</v>
      </c>
      <c r="D20" s="109" t="s">
        <v>300</v>
      </c>
      <c r="E20" s="92"/>
      <c r="F20" s="92"/>
      <c r="G20" s="92"/>
      <c r="H20" s="92"/>
      <c r="I20" s="92"/>
    </row>
    <row r="21" spans="1:9" x14ac:dyDescent="0.35">
      <c r="A21" s="115" t="s">
        <v>302</v>
      </c>
      <c r="B21" s="110"/>
      <c r="C21" s="42">
        <v>0.08</v>
      </c>
      <c r="D21" s="109" t="s">
        <v>300</v>
      </c>
      <c r="E21" s="92"/>
      <c r="F21" s="92"/>
      <c r="G21" s="92"/>
      <c r="H21" s="92"/>
      <c r="I21" s="92"/>
    </row>
    <row r="22" spans="1:9" x14ac:dyDescent="0.35">
      <c r="A22" s="115" t="s">
        <v>127</v>
      </c>
      <c r="B22" s="110"/>
      <c r="C22" s="42">
        <v>0.15</v>
      </c>
      <c r="D22" s="109" t="s">
        <v>300</v>
      </c>
      <c r="E22" s="92"/>
      <c r="F22" s="92"/>
      <c r="G22" s="92"/>
      <c r="H22" s="92"/>
      <c r="I22" s="92"/>
    </row>
    <row r="23" spans="1:9" x14ac:dyDescent="0.35">
      <c r="A23" s="115" t="s">
        <v>130</v>
      </c>
      <c r="B23" s="110"/>
      <c r="C23" s="42">
        <v>0.1</v>
      </c>
      <c r="D23" s="109" t="s">
        <v>300</v>
      </c>
      <c r="E23" s="92"/>
      <c r="F23" s="92"/>
      <c r="G23" s="92"/>
      <c r="H23" s="92"/>
      <c r="I23" s="92"/>
    </row>
    <row r="24" spans="1:9" x14ac:dyDescent="0.35">
      <c r="A24" s="115" t="s">
        <v>133</v>
      </c>
      <c r="B24" s="110"/>
      <c r="C24" s="42">
        <v>0.06</v>
      </c>
      <c r="D24" s="109" t="s">
        <v>300</v>
      </c>
      <c r="E24" s="92"/>
      <c r="F24" s="92"/>
      <c r="G24" s="92"/>
      <c r="H24" s="92"/>
      <c r="I24" s="92"/>
    </row>
    <row r="25" spans="1:9" x14ac:dyDescent="0.35">
      <c r="A25" s="115" t="s">
        <v>136</v>
      </c>
      <c r="B25" s="110"/>
      <c r="C25" s="42">
        <v>0.08</v>
      </c>
      <c r="D25" s="109" t="s">
        <v>300</v>
      </c>
      <c r="E25" s="92"/>
      <c r="F25" s="92"/>
      <c r="G25" s="92"/>
      <c r="H25" s="92"/>
      <c r="I25" s="92"/>
    </row>
    <row r="26" spans="1:9" x14ac:dyDescent="0.35">
      <c r="A26" s="115" t="s">
        <v>174</v>
      </c>
      <c r="B26" s="110"/>
      <c r="C26" s="42">
        <v>0.5</v>
      </c>
      <c r="D26" s="109" t="s">
        <v>300</v>
      </c>
      <c r="E26" s="92"/>
      <c r="F26" s="92"/>
      <c r="G26" s="92"/>
      <c r="H26" s="92"/>
      <c r="I26" s="92"/>
    </row>
    <row r="27" spans="1:9" x14ac:dyDescent="0.35">
      <c r="A27" s="1"/>
      <c r="B27" s="1"/>
      <c r="C27" s="1"/>
      <c r="D27" s="1"/>
      <c r="E27" s="1"/>
      <c r="F27" s="1"/>
      <c r="G27" s="1"/>
      <c r="H27" s="1"/>
      <c r="I27" s="1"/>
    </row>
    <row r="28" spans="1:9" ht="18" customHeight="1" x14ac:dyDescent="0.35">
      <c r="A28" s="95" t="s">
        <v>303</v>
      </c>
      <c r="B28" s="96"/>
      <c r="C28" s="96"/>
      <c r="D28" s="96"/>
      <c r="E28" s="96"/>
      <c r="F28" s="96"/>
      <c r="G28" s="96"/>
      <c r="H28" s="96"/>
      <c r="I28" s="96"/>
    </row>
    <row r="29" spans="1:9" ht="24" customHeight="1" x14ac:dyDescent="0.35">
      <c r="A29" s="17" t="s">
        <v>259</v>
      </c>
      <c r="B29" s="17" t="s">
        <v>268</v>
      </c>
      <c r="C29" s="17" t="s">
        <v>205</v>
      </c>
      <c r="D29" s="17" t="s">
        <v>241</v>
      </c>
      <c r="E29" s="17" t="s">
        <v>304</v>
      </c>
      <c r="F29" s="17" t="s">
        <v>269</v>
      </c>
      <c r="G29" s="17" t="s">
        <v>305</v>
      </c>
      <c r="H29" s="17" t="s">
        <v>306</v>
      </c>
      <c r="I29" s="17" t="s">
        <v>307</v>
      </c>
    </row>
    <row r="30" spans="1:9" x14ac:dyDescent="0.35">
      <c r="A30" s="53" t="s">
        <v>308</v>
      </c>
      <c r="B30" s="72">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308</v>
      </c>
      <c r="B31" s="72">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308</v>
      </c>
      <c r="B32" s="72">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2">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309</v>
      </c>
      <c r="B34" s="72">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2">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310</v>
      </c>
      <c r="B36" s="72">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311</v>
      </c>
      <c r="B37" s="72">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5" t="s">
        <v>312</v>
      </c>
      <c r="B39" s="96"/>
      <c r="C39" s="96"/>
      <c r="D39" s="96"/>
      <c r="E39" s="96"/>
      <c r="F39" s="96"/>
      <c r="G39" s="96"/>
      <c r="H39" s="96"/>
      <c r="I39" s="96"/>
    </row>
    <row r="40" spans="1:9" x14ac:dyDescent="0.35">
      <c r="A40" s="93" t="s">
        <v>313</v>
      </c>
      <c r="B40" s="92"/>
      <c r="C40" s="46">
        <f>SUMPRODUCT(Inv_OnHand,Inv_PricePerG)</f>
        <v>2329.3500000000004</v>
      </c>
      <c r="D40" s="1"/>
      <c r="E40" s="1"/>
      <c r="F40" s="1"/>
      <c r="G40" s="1"/>
      <c r="H40" s="1"/>
      <c r="I40" s="1"/>
    </row>
    <row r="41" spans="1:9" x14ac:dyDescent="0.35">
      <c r="A41" s="93" t="s">
        <v>314</v>
      </c>
      <c r="B41" s="92"/>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7" t="s">
        <v>315</v>
      </c>
      <c r="B1" s="92"/>
      <c r="C1" s="92"/>
      <c r="D1" s="92"/>
      <c r="E1" s="92"/>
      <c r="F1" s="92"/>
      <c r="G1" s="92"/>
      <c r="H1" s="92"/>
      <c r="I1" s="92"/>
    </row>
    <row r="2" spans="1:9" x14ac:dyDescent="0.35">
      <c r="A2" s="104" t="s">
        <v>316</v>
      </c>
      <c r="B2" s="105"/>
      <c r="C2" s="105"/>
      <c r="D2" s="105"/>
      <c r="E2" s="105"/>
      <c r="F2" s="105"/>
      <c r="G2" s="105"/>
      <c r="H2" s="105"/>
      <c r="I2" s="105"/>
    </row>
    <row r="3" spans="1:9" ht="18" customHeight="1" x14ac:dyDescent="0.35">
      <c r="A3" s="95" t="s">
        <v>317</v>
      </c>
      <c r="B3" s="96"/>
      <c r="C3" s="96"/>
      <c r="D3" s="96"/>
      <c r="E3" s="96"/>
      <c r="F3" s="96"/>
      <c r="G3" s="96"/>
      <c r="H3" s="96"/>
      <c r="I3" s="96"/>
    </row>
    <row r="4" spans="1:9" x14ac:dyDescent="0.35">
      <c r="A4" s="103" t="s">
        <v>114</v>
      </c>
      <c r="B4" s="92"/>
      <c r="C4" s="20">
        <v>0.28000000000000003</v>
      </c>
      <c r="D4" s="97" t="s">
        <v>318</v>
      </c>
      <c r="E4" s="92"/>
      <c r="F4" s="92"/>
      <c r="G4" s="92"/>
      <c r="H4" s="92"/>
      <c r="I4" s="92"/>
    </row>
    <row r="5" spans="1:9" x14ac:dyDescent="0.35">
      <c r="A5" s="103" t="s">
        <v>115</v>
      </c>
      <c r="B5" s="92"/>
      <c r="C5" s="43">
        <v>0.85</v>
      </c>
      <c r="D5" s="97" t="s">
        <v>319</v>
      </c>
      <c r="E5" s="92"/>
      <c r="F5" s="92"/>
      <c r="G5" s="92"/>
      <c r="H5" s="92"/>
      <c r="I5" s="92"/>
    </row>
    <row r="6" spans="1:9" x14ac:dyDescent="0.35">
      <c r="A6" s="103" t="s">
        <v>320</v>
      </c>
      <c r="B6" s="92"/>
      <c r="C6" s="20">
        <v>0</v>
      </c>
      <c r="D6" s="97" t="s">
        <v>321</v>
      </c>
      <c r="E6" s="92"/>
      <c r="F6" s="92"/>
      <c r="G6" s="92"/>
      <c r="H6" s="92"/>
      <c r="I6" s="92"/>
    </row>
    <row r="7" spans="1:9" x14ac:dyDescent="0.35">
      <c r="A7" s="103" t="s">
        <v>322</v>
      </c>
      <c r="B7" s="92"/>
      <c r="C7" s="16" t="s">
        <v>323</v>
      </c>
      <c r="D7" s="97" t="s">
        <v>324</v>
      </c>
      <c r="E7" s="92"/>
      <c r="F7" s="92"/>
      <c r="G7" s="92"/>
      <c r="H7" s="92"/>
      <c r="I7" s="92"/>
    </row>
    <row r="8" spans="1:9" x14ac:dyDescent="0.35">
      <c r="A8" s="1"/>
      <c r="B8" s="1"/>
      <c r="C8" s="1"/>
      <c r="D8" s="1"/>
      <c r="E8" s="1"/>
      <c r="F8" s="1"/>
      <c r="G8" s="116" t="s">
        <v>325</v>
      </c>
      <c r="H8" s="92"/>
      <c r="I8" s="60">
        <v>50</v>
      </c>
    </row>
    <row r="9" spans="1:9" ht="18" customHeight="1" x14ac:dyDescent="0.35">
      <c r="A9" s="95" t="s">
        <v>326</v>
      </c>
      <c r="B9" s="96"/>
      <c r="C9" s="96"/>
      <c r="D9" s="96"/>
      <c r="E9" s="96"/>
      <c r="F9" s="96"/>
      <c r="G9" s="96"/>
      <c r="H9" s="96"/>
      <c r="I9" s="96"/>
    </row>
    <row r="10" spans="1:9" x14ac:dyDescent="0.35">
      <c r="A10" s="1"/>
      <c r="B10" s="3" t="s">
        <v>327</v>
      </c>
      <c r="C10" s="3" t="s">
        <v>328</v>
      </c>
      <c r="D10" s="3" t="s">
        <v>329</v>
      </c>
      <c r="E10" s="3" t="s">
        <v>330</v>
      </c>
      <c r="F10" s="3" t="s">
        <v>331</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6" t="str">
        <f>IF(COUNT($F$27:$F$52)=0,"—",INDEX($A$27:$A$52,MATCH($B$11,$F$27:$F$52,0)))</f>
        <v>Iso E Super</v>
      </c>
      <c r="G11" s="92"/>
      <c r="H11" s="92"/>
      <c r="I11" s="92"/>
    </row>
    <row r="12" spans="1:9" x14ac:dyDescent="0.35">
      <c r="A12" s="1"/>
      <c r="B12" s="1"/>
      <c r="C12" s="1"/>
      <c r="D12" s="1"/>
      <c r="E12" s="1"/>
      <c r="F12" s="1"/>
      <c r="G12" s="1"/>
      <c r="H12" s="1"/>
      <c r="I12" s="1"/>
    </row>
    <row r="13" spans="1:9" ht="18" customHeight="1" x14ac:dyDescent="0.35">
      <c r="A13" s="95" t="s">
        <v>332</v>
      </c>
      <c r="B13" s="96"/>
      <c r="C13" s="96"/>
      <c r="D13" s="96"/>
      <c r="E13" s="96"/>
      <c r="F13" s="96"/>
      <c r="G13" s="96"/>
      <c r="H13" s="96"/>
      <c r="I13" s="96"/>
    </row>
    <row r="14" spans="1:9" x14ac:dyDescent="0.35">
      <c r="A14" s="97" t="str">
        <f>"At "&amp;TEXT(YC_ConcPct,"0%")&amp;" concentrate ("&amp;IF(YC_ConcPct&gt;=0.25,"Extrait",IF(YC_ConcPct&gt;=0.15,"EDP","light"))&amp;"), "&amp;TEXT(YC_Density,"0.00")&amp;" g/ml, "&amp;TEXT(YC_Loss,"0%")&amp;" bench loss, stock basis: "&amp;YC_Basis</f>
        <v>At 28% concentrate (Extrait), 0.85 g/ml, 0% bench loss, stock basis: On hand</v>
      </c>
      <c r="B14" s="92"/>
      <c r="C14" s="92"/>
      <c r="D14" s="92"/>
      <c r="E14" s="92"/>
      <c r="F14" s="92"/>
      <c r="G14" s="92"/>
      <c r="H14" s="92"/>
      <c r="I14" s="92"/>
    </row>
    <row r="15" spans="1:9" ht="24" customHeight="1" x14ac:dyDescent="0.35">
      <c r="A15" s="17" t="s">
        <v>333</v>
      </c>
      <c r="B15" s="17" t="s">
        <v>334</v>
      </c>
      <c r="C15" s="17" t="s">
        <v>335</v>
      </c>
      <c r="D15" s="17" t="s">
        <v>336</v>
      </c>
      <c r="E15" s="17" t="s">
        <v>337</v>
      </c>
      <c r="F15" s="17" t="s">
        <v>338</v>
      </c>
      <c r="G15" s="17" t="s">
        <v>339</v>
      </c>
      <c r="H15" s="17" t="s">
        <v>340</v>
      </c>
      <c r="I15" s="17" t="s">
        <v>341</v>
      </c>
    </row>
    <row r="16" spans="1:9" ht="18" x14ac:dyDescent="0.35">
      <c r="A16" s="69">
        <v>10</v>
      </c>
      <c r="B16" s="24">
        <f t="shared" ref="B16:B21" si="0">$A16*YC_Density*YC_ConcPct</f>
        <v>2.3800000000000003</v>
      </c>
      <c r="C16" s="24">
        <f t="shared" ref="C16:C21" si="1">$A16*YC_Density*(1-YC_ConcPct)</f>
        <v>6.12</v>
      </c>
      <c r="D16" s="79">
        <f t="shared" ref="D16:D21" si="2">IF(B16=0,"",YC_UsableConc/B16)</f>
        <v>25.210084033613441</v>
      </c>
      <c r="E16" s="79">
        <f t="shared" ref="E16:E21" si="3">IF(C16=0,"",YC_AlcOnHand/C16)</f>
        <v>132.35294117647058</v>
      </c>
      <c r="F16" s="70">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69">
        <v>20</v>
      </c>
      <c r="B17" s="24">
        <f t="shared" si="0"/>
        <v>4.7600000000000007</v>
      </c>
      <c r="C17" s="24">
        <f t="shared" si="1"/>
        <v>12.24</v>
      </c>
      <c r="D17" s="79">
        <f t="shared" si="2"/>
        <v>12.605042016806721</v>
      </c>
      <c r="E17" s="79">
        <f t="shared" si="3"/>
        <v>66.17647058823529</v>
      </c>
      <c r="F17" s="70">
        <f t="shared" si="4"/>
        <v>12</v>
      </c>
      <c r="G17" s="24">
        <f t="shared" si="5"/>
        <v>29.926569675772694</v>
      </c>
      <c r="H17" s="24">
        <f t="shared" si="6"/>
        <v>359.11883610927231</v>
      </c>
      <c r="I17" s="61" t="str">
        <f t="shared" si="7"/>
        <v>concentrate (Iso E Super)</v>
      </c>
    </row>
    <row r="18" spans="1:9" ht="18" x14ac:dyDescent="0.35">
      <c r="A18" s="69">
        <v>30</v>
      </c>
      <c r="B18" s="24">
        <f t="shared" si="0"/>
        <v>7.1400000000000006</v>
      </c>
      <c r="C18" s="24">
        <f t="shared" si="1"/>
        <v>18.36</v>
      </c>
      <c r="D18" s="79">
        <f t="shared" si="2"/>
        <v>8.4033613445378137</v>
      </c>
      <c r="E18" s="79">
        <f t="shared" si="3"/>
        <v>44.117647058823529</v>
      </c>
      <c r="F18" s="70">
        <f t="shared" si="4"/>
        <v>8</v>
      </c>
      <c r="G18" s="24">
        <f t="shared" si="5"/>
        <v>44.889854513659046</v>
      </c>
      <c r="H18" s="24">
        <f t="shared" si="6"/>
        <v>359.11883610927237</v>
      </c>
      <c r="I18" s="61" t="str">
        <f t="shared" si="7"/>
        <v>concentrate (Iso E Super)</v>
      </c>
    </row>
    <row r="19" spans="1:9" ht="18" x14ac:dyDescent="0.35">
      <c r="A19" s="69">
        <v>50</v>
      </c>
      <c r="B19" s="24">
        <f t="shared" si="0"/>
        <v>11.9</v>
      </c>
      <c r="C19" s="24">
        <f t="shared" si="1"/>
        <v>30.599999999999998</v>
      </c>
      <c r="D19" s="79">
        <f t="shared" si="2"/>
        <v>5.0420168067226889</v>
      </c>
      <c r="E19" s="79">
        <f t="shared" si="3"/>
        <v>26.47058823529412</v>
      </c>
      <c r="F19" s="70">
        <f t="shared" si="4"/>
        <v>5</v>
      </c>
      <c r="G19" s="24">
        <f t="shared" si="5"/>
        <v>74.816424189431729</v>
      </c>
      <c r="H19" s="24">
        <f t="shared" si="6"/>
        <v>374.08212094715861</v>
      </c>
      <c r="I19" s="61" t="str">
        <f t="shared" si="7"/>
        <v>concentrate (Iso E Super)</v>
      </c>
    </row>
    <row r="20" spans="1:9" ht="18" x14ac:dyDescent="0.35">
      <c r="A20" s="69">
        <v>70</v>
      </c>
      <c r="B20" s="24">
        <f t="shared" si="0"/>
        <v>16.66</v>
      </c>
      <c r="C20" s="24">
        <f t="shared" si="1"/>
        <v>42.839999999999996</v>
      </c>
      <c r="D20" s="79">
        <f t="shared" si="2"/>
        <v>3.601440576230492</v>
      </c>
      <c r="E20" s="79">
        <f t="shared" si="3"/>
        <v>18.907563025210084</v>
      </c>
      <c r="F20" s="70">
        <f t="shared" si="4"/>
        <v>3</v>
      </c>
      <c r="G20" s="24">
        <f t="shared" si="5"/>
        <v>104.74299386520443</v>
      </c>
      <c r="H20" s="24">
        <f t="shared" si="6"/>
        <v>314.22898159561328</v>
      </c>
      <c r="I20" s="61" t="str">
        <f t="shared" si="7"/>
        <v>concentrate (Iso E Super)</v>
      </c>
    </row>
    <row r="21" spans="1:9" ht="18" x14ac:dyDescent="0.35">
      <c r="A21" s="69">
        <v>100</v>
      </c>
      <c r="B21" s="24">
        <f t="shared" si="0"/>
        <v>23.8</v>
      </c>
      <c r="C21" s="24">
        <f t="shared" si="1"/>
        <v>61.199999999999996</v>
      </c>
      <c r="D21" s="79">
        <f t="shared" si="2"/>
        <v>2.5210084033613445</v>
      </c>
      <c r="E21" s="79">
        <f t="shared" si="3"/>
        <v>13.23529411764706</v>
      </c>
      <c r="F21" s="70">
        <f t="shared" si="4"/>
        <v>2</v>
      </c>
      <c r="G21" s="24">
        <f t="shared" si="5"/>
        <v>149.63284837886346</v>
      </c>
      <c r="H21" s="24">
        <f t="shared" si="6"/>
        <v>299.26569675772691</v>
      </c>
      <c r="I21" s="61" t="str">
        <f t="shared" si="7"/>
        <v>concentrate (Iso E Super)</v>
      </c>
    </row>
    <row r="22" spans="1:9" x14ac:dyDescent="0.35">
      <c r="A22" s="97" t="str">
        <f>"To make more, buy more "&amp;YC_LimitMat&amp;" — it runs out first. See the material-by-material table below for the next bottlenecks."</f>
        <v>To make more, buy more Iso E Super — it runs out first. See the material-by-material table below for the next bottlenecks.</v>
      </c>
      <c r="B22" s="92"/>
      <c r="C22" s="92"/>
      <c r="D22" s="92"/>
      <c r="E22" s="92"/>
      <c r="F22" s="92"/>
      <c r="G22" s="92"/>
      <c r="H22" s="92"/>
      <c r="I22" s="92"/>
    </row>
    <row r="23" spans="1:9" x14ac:dyDescent="0.35">
      <c r="A23" s="1"/>
      <c r="B23" s="1"/>
      <c r="C23" s="1"/>
      <c r="D23" s="1"/>
      <c r="E23" s="1"/>
      <c r="F23" s="1"/>
      <c r="G23" s="1"/>
      <c r="H23" s="1"/>
      <c r="I23" s="1"/>
    </row>
    <row r="24" spans="1:9" ht="18" customHeight="1" x14ac:dyDescent="0.35">
      <c r="A24" s="95" t="s">
        <v>342</v>
      </c>
      <c r="B24" s="96"/>
      <c r="C24" s="96"/>
      <c r="D24" s="96"/>
      <c r="E24" s="96"/>
      <c r="F24" s="96"/>
      <c r="G24" s="96"/>
      <c r="H24" s="96"/>
      <c r="I24" s="96"/>
    </row>
    <row r="25" spans="1:9" x14ac:dyDescent="0.35">
      <c r="A25" s="1"/>
      <c r="B25" s="1"/>
      <c r="C25" s="1"/>
      <c r="D25" s="1"/>
      <c r="E25" s="1"/>
      <c r="F25" s="1"/>
      <c r="G25" s="1"/>
      <c r="H25" s="1"/>
      <c r="I25" s="1"/>
    </row>
    <row r="26" spans="1:9" ht="24" customHeight="1" x14ac:dyDescent="0.35">
      <c r="A26" s="17" t="s">
        <v>35</v>
      </c>
      <c r="B26" s="17" t="s">
        <v>34</v>
      </c>
      <c r="C26" s="17" t="s">
        <v>39</v>
      </c>
      <c r="D26" s="17" t="s">
        <v>343</v>
      </c>
      <c r="E26" s="17" t="s">
        <v>344</v>
      </c>
      <c r="F26" s="17" t="s">
        <v>345</v>
      </c>
      <c r="G26" s="17" t="s">
        <v>346</v>
      </c>
      <c r="H26" s="17" t="s">
        <v>347</v>
      </c>
      <c r="I26" s="17" t="s">
        <v>348</v>
      </c>
    </row>
    <row r="27" spans="1:9" x14ac:dyDescent="0.35">
      <c r="A27" s="53" t="str">
        <f>'Formula Master'!$B$7</f>
        <v>Bergamot Accord</v>
      </c>
      <c r="B27" s="61" t="str">
        <f>'Formula Master'!$A$7</f>
        <v>TOP</v>
      </c>
      <c r="C27" s="74">
        <f>'Formula Master'!$F$7</f>
        <v>0.09</v>
      </c>
      <c r="D27" s="24">
        <f t="shared" ref="D27:D51" si="8">IF(YC_Basis="On hand",INDEX(Inv_OnHand,MATCH($A27,Inv_Mat,0)),INDEX(Inv_GramsBought,MATCH($A27,Inv_Mat,0)))</f>
        <v>9</v>
      </c>
      <c r="E27" s="75">
        <f>C27*IF('Formula Master'!$D$7="D10",0.1,1)</f>
        <v>0.09</v>
      </c>
      <c r="F27" s="57">
        <f t="shared" ref="F27:F52" si="9">IF(E27&lt;=0,"",MAX(D27,0)/E27)</f>
        <v>100</v>
      </c>
      <c r="G27" s="82">
        <f t="shared" ref="G27:G52" si="10">IF(F27="","",FLOOR(F27/(50*YC_Density*YC_ConcPct),1))</f>
        <v>8</v>
      </c>
      <c r="H27" s="72">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4">
        <f>'Formula Master'!$F$8</f>
        <v>1.4999999999999999E-2</v>
      </c>
      <c r="D28" s="24">
        <f t="shared" si="8"/>
        <v>9</v>
      </c>
      <c r="E28" s="75">
        <f>C28*IF('Formula Master'!$D$8="D10",0.1,1)</f>
        <v>1.4999999999999999E-2</v>
      </c>
      <c r="F28" s="57">
        <f t="shared" si="9"/>
        <v>600</v>
      </c>
      <c r="G28" s="82">
        <f t="shared" si="10"/>
        <v>50</v>
      </c>
      <c r="H28" s="72">
        <f t="shared" si="11"/>
        <v>50</v>
      </c>
      <c r="I28" s="63">
        <f t="shared" si="12"/>
        <v>50</v>
      </c>
    </row>
    <row r="29" spans="1:9" x14ac:dyDescent="0.35">
      <c r="A29" s="53" t="str">
        <f>'Formula Master'!$B$9</f>
        <v>Neroli Accord</v>
      </c>
      <c r="B29" s="61" t="str">
        <f>'Formula Master'!$A$9</f>
        <v>TOP</v>
      </c>
      <c r="C29" s="74">
        <f>'Formula Master'!$F$9</f>
        <v>0.01</v>
      </c>
      <c r="D29" s="24">
        <f t="shared" si="8"/>
        <v>9</v>
      </c>
      <c r="E29" s="75">
        <f>C29*IF('Formula Master'!$D$9="D10",0.1,1)</f>
        <v>0.01</v>
      </c>
      <c r="F29" s="57">
        <f t="shared" si="9"/>
        <v>900</v>
      </c>
      <c r="G29" s="82">
        <f t="shared" si="10"/>
        <v>75</v>
      </c>
      <c r="H29" s="72">
        <f t="shared" si="11"/>
        <v>50</v>
      </c>
      <c r="I29" s="63">
        <f t="shared" si="12"/>
        <v>75</v>
      </c>
    </row>
    <row r="30" spans="1:9" x14ac:dyDescent="0.35">
      <c r="A30" s="53" t="str">
        <f>'Formula Master'!$B$10</f>
        <v>Pink Peppercorn</v>
      </c>
      <c r="B30" s="61" t="str">
        <f>'Formula Master'!$A$10</f>
        <v>TOP</v>
      </c>
      <c r="C30" s="74">
        <f>'Formula Master'!$F$10</f>
        <v>5.0000000000000001E-3</v>
      </c>
      <c r="D30" s="24">
        <f t="shared" si="8"/>
        <v>9</v>
      </c>
      <c r="E30" s="75">
        <f>C30*IF('Formula Master'!$D$10="D10",0.1,1)</f>
        <v>5.0000000000000001E-4</v>
      </c>
      <c r="F30" s="57">
        <f t="shared" si="9"/>
        <v>18000</v>
      </c>
      <c r="G30" s="82">
        <f t="shared" si="10"/>
        <v>1512</v>
      </c>
      <c r="H30" s="72">
        <f t="shared" si="11"/>
        <v>50</v>
      </c>
      <c r="I30" s="63">
        <f t="shared" si="12"/>
        <v>1512</v>
      </c>
    </row>
    <row r="31" spans="1:9" x14ac:dyDescent="0.35">
      <c r="A31" s="53" t="str">
        <f>'Formula Master'!$B$11</f>
        <v>Floralozone</v>
      </c>
      <c r="B31" s="61" t="str">
        <f>'Formula Master'!$A$11</f>
        <v>TOP</v>
      </c>
      <c r="C31" s="74">
        <f>'Formula Master'!$F$11</f>
        <v>5.0000000000000001E-3</v>
      </c>
      <c r="D31" s="24">
        <f t="shared" si="8"/>
        <v>10</v>
      </c>
      <c r="E31" s="75">
        <f>C31*IF('Formula Master'!$D$11="D10",0.1,1)</f>
        <v>5.0000000000000001E-4</v>
      </c>
      <c r="F31" s="57">
        <f t="shared" si="9"/>
        <v>20000</v>
      </c>
      <c r="G31" s="82">
        <f t="shared" si="10"/>
        <v>1680</v>
      </c>
      <c r="H31" s="72">
        <f t="shared" si="11"/>
        <v>50</v>
      </c>
      <c r="I31" s="63">
        <f t="shared" si="12"/>
        <v>1680</v>
      </c>
    </row>
    <row r="32" spans="1:9" x14ac:dyDescent="0.35">
      <c r="A32" s="53" t="str">
        <f>'Formula Master'!$B$12</f>
        <v>Hedione (Firmenich)</v>
      </c>
      <c r="B32" s="61" t="str">
        <f>'Formula Master'!$A$12</f>
        <v>HEART</v>
      </c>
      <c r="C32" s="74">
        <f>'Formula Master'!$F$12</f>
        <v>0.2</v>
      </c>
      <c r="D32" s="24">
        <f t="shared" si="8"/>
        <v>27</v>
      </c>
      <c r="E32" s="75">
        <f>C32*IF('Formula Master'!$D$12="D10",0.1,1)</f>
        <v>0.2</v>
      </c>
      <c r="F32" s="57">
        <f t="shared" si="9"/>
        <v>135</v>
      </c>
      <c r="G32" s="82">
        <f t="shared" si="10"/>
        <v>11</v>
      </c>
      <c r="H32" s="72">
        <f t="shared" si="11"/>
        <v>50</v>
      </c>
      <c r="I32" s="63">
        <f t="shared" si="12"/>
        <v>11</v>
      </c>
    </row>
    <row r="33" spans="1:9" x14ac:dyDescent="0.35">
      <c r="A33" s="53" t="str">
        <f>'Formula Master'!$B$13</f>
        <v>Orange Blossom Tunisia Absolute</v>
      </c>
      <c r="B33" s="61" t="str">
        <f>'Formula Master'!$A$13</f>
        <v>HEART</v>
      </c>
      <c r="C33" s="74">
        <f>'Formula Master'!$F$13</f>
        <v>2.5000000000000001E-2</v>
      </c>
      <c r="D33" s="24">
        <f t="shared" si="8"/>
        <v>10</v>
      </c>
      <c r="E33" s="75">
        <f>C33*IF('Formula Master'!$D$13="D10",0.1,1)</f>
        <v>2.5000000000000001E-2</v>
      </c>
      <c r="F33" s="57">
        <f t="shared" si="9"/>
        <v>400</v>
      </c>
      <c r="G33" s="82">
        <f t="shared" si="10"/>
        <v>33</v>
      </c>
      <c r="H33" s="72">
        <f t="shared" si="11"/>
        <v>50</v>
      </c>
      <c r="I33" s="63">
        <f t="shared" si="12"/>
        <v>33</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82">
        <f t="shared" si="10"/>
        <v>18</v>
      </c>
      <c r="H34" s="72">
        <f t="shared" si="11"/>
        <v>50</v>
      </c>
      <c r="I34" s="63">
        <f t="shared" si="12"/>
        <v>18</v>
      </c>
    </row>
    <row r="35" spans="1:9" x14ac:dyDescent="0.35">
      <c r="A35" s="53" t="str">
        <f>'Formula Master'!$B$15</f>
        <v>Irone Alpha</v>
      </c>
      <c r="B35" s="61" t="str">
        <f>'Formula Master'!$A$15</f>
        <v>HEART</v>
      </c>
      <c r="C35" s="74">
        <f>'Formula Master'!$F$15</f>
        <v>0.01</v>
      </c>
      <c r="D35" s="24">
        <f t="shared" si="8"/>
        <v>10</v>
      </c>
      <c r="E35" s="75">
        <f>C35*IF('Formula Master'!$D$15="D10",0.1,1)</f>
        <v>1E-3</v>
      </c>
      <c r="F35" s="57">
        <f t="shared" si="9"/>
        <v>10000</v>
      </c>
      <c r="G35" s="82">
        <f t="shared" si="10"/>
        <v>840</v>
      </c>
      <c r="H35" s="72">
        <f t="shared" si="11"/>
        <v>50</v>
      </c>
      <c r="I35" s="63">
        <f t="shared" si="12"/>
        <v>840</v>
      </c>
    </row>
    <row r="36" spans="1:9" x14ac:dyDescent="0.35">
      <c r="A36" s="53" t="str">
        <f>'Formula Master'!$B$16</f>
        <v>Benzyl Salicylate</v>
      </c>
      <c r="B36" s="61" t="str">
        <f>'Formula Master'!$A$16</f>
        <v>HEART</v>
      </c>
      <c r="C36" s="74">
        <f>'Formula Master'!$F$16</f>
        <v>0.03</v>
      </c>
      <c r="D36" s="24">
        <f t="shared" si="8"/>
        <v>9</v>
      </c>
      <c r="E36" s="75">
        <f>C36*IF('Formula Master'!$D$16="D10",0.1,1)</f>
        <v>0.03</v>
      </c>
      <c r="F36" s="57">
        <f t="shared" si="9"/>
        <v>300</v>
      </c>
      <c r="G36" s="82">
        <f t="shared" si="10"/>
        <v>25</v>
      </c>
      <c r="H36" s="72">
        <f t="shared" si="11"/>
        <v>50</v>
      </c>
      <c r="I36" s="63">
        <f t="shared" si="12"/>
        <v>25</v>
      </c>
    </row>
    <row r="37" spans="1:9" x14ac:dyDescent="0.35">
      <c r="A37" s="53" t="str">
        <f>'Formula Master'!$B$17</f>
        <v>Linalool</v>
      </c>
      <c r="B37" s="61" t="str">
        <f>'Formula Master'!$A$17</f>
        <v>HEART</v>
      </c>
      <c r="C37" s="74">
        <f>'Formula Master'!$F$17</f>
        <v>0.01</v>
      </c>
      <c r="D37" s="24">
        <f t="shared" si="8"/>
        <v>9</v>
      </c>
      <c r="E37" s="75">
        <f>C37*IF('Formula Master'!$D$17="D10",0.1,1)</f>
        <v>0.01</v>
      </c>
      <c r="F37" s="57">
        <f t="shared" si="9"/>
        <v>900</v>
      </c>
      <c r="G37" s="82">
        <f t="shared" si="10"/>
        <v>75</v>
      </c>
      <c r="H37" s="72">
        <f t="shared" si="11"/>
        <v>50</v>
      </c>
      <c r="I37" s="63">
        <f t="shared" si="12"/>
        <v>75</v>
      </c>
    </row>
    <row r="38" spans="1:9" x14ac:dyDescent="0.35">
      <c r="A38" s="53" t="str">
        <f>'Formula Master'!$B$18</f>
        <v>Iso E Super</v>
      </c>
      <c r="B38" s="61" t="str">
        <f>'Formula Master'!$A$18</f>
        <v>BASE</v>
      </c>
      <c r="C38" s="74">
        <f>'Formula Master'!$F$18</f>
        <v>0.15</v>
      </c>
      <c r="D38" s="24">
        <f t="shared" si="8"/>
        <v>9</v>
      </c>
      <c r="E38" s="75">
        <f>C38*IF('Formula Master'!$D$18="D10",0.1,1)</f>
        <v>0.15</v>
      </c>
      <c r="F38" s="57">
        <f t="shared" si="9"/>
        <v>60</v>
      </c>
      <c r="G38" s="82">
        <f t="shared" si="10"/>
        <v>5</v>
      </c>
      <c r="H38" s="72">
        <f t="shared" si="11"/>
        <v>50</v>
      </c>
      <c r="I38" s="63">
        <f t="shared" si="12"/>
        <v>5</v>
      </c>
    </row>
    <row r="39" spans="1:9" x14ac:dyDescent="0.35">
      <c r="A39" s="53" t="str">
        <f>'Formula Master'!$B$19</f>
        <v>Amberxan (Ambroxan)</v>
      </c>
      <c r="B39" s="61" t="str">
        <f>'Formula Master'!$A$19</f>
        <v>BASE</v>
      </c>
      <c r="C39" s="74">
        <f>'Formula Master'!$F$19</f>
        <v>0.08</v>
      </c>
      <c r="D39" s="24">
        <f t="shared" si="8"/>
        <v>10</v>
      </c>
      <c r="E39" s="75">
        <f>C39*IF('Formula Master'!$D$19="D10",0.1,1)</f>
        <v>0.08</v>
      </c>
      <c r="F39" s="57">
        <f t="shared" si="9"/>
        <v>125</v>
      </c>
      <c r="G39" s="82">
        <f t="shared" si="10"/>
        <v>10</v>
      </c>
      <c r="H39" s="72">
        <f t="shared" si="11"/>
        <v>50</v>
      </c>
      <c r="I39" s="63">
        <f t="shared" si="12"/>
        <v>10</v>
      </c>
    </row>
    <row r="40" spans="1:9" x14ac:dyDescent="0.35">
      <c r="A40" s="53" t="str">
        <f>'Formula Master'!$B$20</f>
        <v>Cashmeran IFF</v>
      </c>
      <c r="B40" s="61" t="str">
        <f>'Formula Master'!$A$20</f>
        <v>BASE</v>
      </c>
      <c r="C40" s="74">
        <f>'Formula Master'!$F$20</f>
        <v>2.5000000000000001E-2</v>
      </c>
      <c r="D40" s="24">
        <f t="shared" si="8"/>
        <v>9</v>
      </c>
      <c r="E40" s="75">
        <f>C40*IF('Formula Master'!$D$20="D10",0.1,1)</f>
        <v>2.5000000000000001E-2</v>
      </c>
      <c r="F40" s="57">
        <f t="shared" si="9"/>
        <v>360</v>
      </c>
      <c r="G40" s="82">
        <f t="shared" si="10"/>
        <v>30</v>
      </c>
      <c r="H40" s="72">
        <f t="shared" si="11"/>
        <v>50</v>
      </c>
      <c r="I40" s="63">
        <f t="shared" si="12"/>
        <v>30</v>
      </c>
    </row>
    <row r="41" spans="1:9" x14ac:dyDescent="0.35">
      <c r="A41" s="53" t="str">
        <f>'Formula Master'!$B$21</f>
        <v>Sandal Spicatum Australia</v>
      </c>
      <c r="B41" s="61" t="str">
        <f>'Formula Master'!$A$21</f>
        <v>BASE</v>
      </c>
      <c r="C41" s="74">
        <f>'Formula Master'!$F$21</f>
        <v>0.04</v>
      </c>
      <c r="D41" s="24">
        <f t="shared" si="8"/>
        <v>10</v>
      </c>
      <c r="E41" s="75">
        <f>C41*IF('Formula Master'!$D$21="D10",0.1,1)</f>
        <v>0.04</v>
      </c>
      <c r="F41" s="57">
        <f t="shared" si="9"/>
        <v>250</v>
      </c>
      <c r="G41" s="82">
        <f t="shared" si="10"/>
        <v>21</v>
      </c>
      <c r="H41" s="72">
        <f t="shared" si="11"/>
        <v>50</v>
      </c>
      <c r="I41" s="63">
        <f t="shared" si="12"/>
        <v>21</v>
      </c>
    </row>
    <row r="42" spans="1:9" x14ac:dyDescent="0.35">
      <c r="A42" s="53" t="str">
        <f>'Formula Master'!$B$22</f>
        <v>Sandalore (Givaudan)</v>
      </c>
      <c r="B42" s="61" t="str">
        <f>'Formula Master'!$A$22</f>
        <v>BASE</v>
      </c>
      <c r="C42" s="74">
        <f>'Formula Master'!$F$22</f>
        <v>0.03</v>
      </c>
      <c r="D42" s="24">
        <f t="shared" si="8"/>
        <v>9</v>
      </c>
      <c r="E42" s="75">
        <f>C42*IF('Formula Master'!$D$22="D10",0.1,1)</f>
        <v>0.03</v>
      </c>
      <c r="F42" s="57">
        <f t="shared" si="9"/>
        <v>300</v>
      </c>
      <c r="G42" s="82">
        <f t="shared" si="10"/>
        <v>25</v>
      </c>
      <c r="H42" s="72">
        <f t="shared" si="11"/>
        <v>50</v>
      </c>
      <c r="I42" s="63">
        <f t="shared" si="12"/>
        <v>25</v>
      </c>
    </row>
    <row r="43" spans="1:9" x14ac:dyDescent="0.35">
      <c r="A43" s="53" t="str">
        <f>'Formula Master'!$B$23</f>
        <v>Javanol</v>
      </c>
      <c r="B43" s="61" t="str">
        <f>'Formula Master'!$A$23</f>
        <v>BASE</v>
      </c>
      <c r="C43" s="74">
        <f>'Formula Master'!$F$23</f>
        <v>5.0000000000000001E-3</v>
      </c>
      <c r="D43" s="24">
        <f t="shared" si="8"/>
        <v>10</v>
      </c>
      <c r="E43" s="75">
        <f>C43*IF('Formula Master'!$D$23="D10",0.1,1)</f>
        <v>5.0000000000000001E-4</v>
      </c>
      <c r="F43" s="57">
        <f t="shared" si="9"/>
        <v>20000</v>
      </c>
      <c r="G43" s="82">
        <f t="shared" si="10"/>
        <v>1680</v>
      </c>
      <c r="H43" s="72">
        <f t="shared" si="11"/>
        <v>50</v>
      </c>
      <c r="I43" s="63">
        <f t="shared" si="12"/>
        <v>1680</v>
      </c>
    </row>
    <row r="44" spans="1:9" x14ac:dyDescent="0.35">
      <c r="A44" s="53" t="str">
        <f>'Formula Master'!$B$24</f>
        <v>Globalide (Habanolide)</v>
      </c>
      <c r="B44" s="61" t="str">
        <f>'Formula Master'!$A$24</f>
        <v>BASE</v>
      </c>
      <c r="C44" s="74">
        <f>'Formula Master'!$F$24</f>
        <v>6.5000000000000002E-2</v>
      </c>
      <c r="D44" s="24">
        <f t="shared" si="8"/>
        <v>10</v>
      </c>
      <c r="E44" s="75">
        <f>C44*IF('Formula Master'!$D$24="D10",0.1,1)</f>
        <v>6.5000000000000002E-2</v>
      </c>
      <c r="F44" s="57">
        <f t="shared" si="9"/>
        <v>153.84615384615384</v>
      </c>
      <c r="G44" s="82">
        <f t="shared" si="10"/>
        <v>12</v>
      </c>
      <c r="H44" s="72">
        <f t="shared" si="11"/>
        <v>50</v>
      </c>
      <c r="I44" s="63">
        <f t="shared" si="12"/>
        <v>12</v>
      </c>
    </row>
    <row r="45" spans="1:9" x14ac:dyDescent="0.35">
      <c r="A45" s="53" t="str">
        <f>'Formula Master'!$B$25</f>
        <v>Helvetolide</v>
      </c>
      <c r="B45" s="61" t="str">
        <f>'Formula Master'!$A$25</f>
        <v>BASE</v>
      </c>
      <c r="C45" s="74">
        <f>'Formula Master'!$F$25</f>
        <v>0.05</v>
      </c>
      <c r="D45" s="24">
        <f t="shared" si="8"/>
        <v>10</v>
      </c>
      <c r="E45" s="75">
        <f>C45*IF('Formula Master'!$D$25="D10",0.1,1)</f>
        <v>0.05</v>
      </c>
      <c r="F45" s="57">
        <f t="shared" si="9"/>
        <v>200</v>
      </c>
      <c r="G45" s="82">
        <f t="shared" si="10"/>
        <v>16</v>
      </c>
      <c r="H45" s="72">
        <f t="shared" si="11"/>
        <v>50</v>
      </c>
      <c r="I45" s="63">
        <f t="shared" si="12"/>
        <v>16</v>
      </c>
    </row>
    <row r="46" spans="1:9" x14ac:dyDescent="0.35">
      <c r="A46" s="53" t="str">
        <f>'Formula Master'!$B$26</f>
        <v>Ambrettolide (Givaudan)</v>
      </c>
      <c r="B46" s="61" t="str">
        <f>'Formula Master'!$A$26</f>
        <v>BASE</v>
      </c>
      <c r="C46" s="74">
        <f>'Formula Master'!$F$26</f>
        <v>2.5000000000000001E-2</v>
      </c>
      <c r="D46" s="24">
        <f t="shared" si="8"/>
        <v>9</v>
      </c>
      <c r="E46" s="75">
        <f>C46*IF('Formula Master'!$D$26="D10",0.1,1)</f>
        <v>2.5000000000000001E-2</v>
      </c>
      <c r="F46" s="57">
        <f t="shared" si="9"/>
        <v>360</v>
      </c>
      <c r="G46" s="82">
        <f t="shared" si="10"/>
        <v>30</v>
      </c>
      <c r="H46" s="72">
        <f t="shared" si="11"/>
        <v>50</v>
      </c>
      <c r="I46" s="63">
        <f t="shared" si="12"/>
        <v>30</v>
      </c>
    </row>
    <row r="47" spans="1:9" x14ac:dyDescent="0.35">
      <c r="A47" s="53" t="str">
        <f>'Formula Master'!$B$27</f>
        <v>Ethylene Brassylate</v>
      </c>
      <c r="B47" s="61" t="str">
        <f>'Formula Master'!$A$27</f>
        <v>BASE</v>
      </c>
      <c r="C47" s="74">
        <f>'Formula Master'!$F$27</f>
        <v>3.5000000000000003E-2</v>
      </c>
      <c r="D47" s="24">
        <f t="shared" si="8"/>
        <v>9</v>
      </c>
      <c r="E47" s="75">
        <f>C47*IF('Formula Master'!$D$27="D10",0.1,1)</f>
        <v>3.5000000000000003E-2</v>
      </c>
      <c r="F47" s="57">
        <f t="shared" si="9"/>
        <v>257.14285714285711</v>
      </c>
      <c r="G47" s="82">
        <f t="shared" si="10"/>
        <v>21</v>
      </c>
      <c r="H47" s="72">
        <f t="shared" si="11"/>
        <v>50</v>
      </c>
      <c r="I47" s="63">
        <f t="shared" si="12"/>
        <v>21</v>
      </c>
    </row>
    <row r="48" spans="1:9" x14ac:dyDescent="0.35">
      <c r="A48" s="53" t="str">
        <f>'Formula Master'!$B$28</f>
        <v>Exaltolide Total (Firmenich)</v>
      </c>
      <c r="B48" s="61" t="str">
        <f>'Formula Master'!$A$28</f>
        <v>BASE</v>
      </c>
      <c r="C48" s="74">
        <f>'Formula Master'!$F$28</f>
        <v>0.02</v>
      </c>
      <c r="D48" s="24">
        <f t="shared" si="8"/>
        <v>9</v>
      </c>
      <c r="E48" s="75">
        <f>C48*IF('Formula Master'!$D$28="D10",0.1,1)</f>
        <v>0.02</v>
      </c>
      <c r="F48" s="57">
        <f t="shared" si="9"/>
        <v>450</v>
      </c>
      <c r="G48" s="82">
        <f t="shared" si="10"/>
        <v>37</v>
      </c>
      <c r="H48" s="72">
        <f t="shared" si="11"/>
        <v>50</v>
      </c>
      <c r="I48" s="63">
        <f t="shared" si="12"/>
        <v>37</v>
      </c>
    </row>
    <row r="49" spans="1:9" x14ac:dyDescent="0.35">
      <c r="A49" s="53" t="str">
        <f>'Formula Master'!$B$29</f>
        <v>Cedarwood Virginia</v>
      </c>
      <c r="B49" s="61" t="str">
        <f>'Formula Master'!$A$29</f>
        <v>BASE</v>
      </c>
      <c r="C49" s="74">
        <f>'Formula Master'!$F$29</f>
        <v>0.02</v>
      </c>
      <c r="D49" s="24">
        <f t="shared" si="8"/>
        <v>9</v>
      </c>
      <c r="E49" s="75">
        <f>C49*IF('Formula Master'!$D$29="D10",0.1,1)</f>
        <v>0.02</v>
      </c>
      <c r="F49" s="57">
        <f t="shared" si="9"/>
        <v>450</v>
      </c>
      <c r="G49" s="82">
        <f t="shared" si="10"/>
        <v>37</v>
      </c>
      <c r="H49" s="72">
        <f t="shared" si="11"/>
        <v>50</v>
      </c>
      <c r="I49" s="63">
        <f t="shared" si="12"/>
        <v>37</v>
      </c>
    </row>
    <row r="50" spans="1:9" x14ac:dyDescent="0.35">
      <c r="A50" s="53" t="str">
        <f>'Formula Master'!$B$30</f>
        <v>Vetyveryle Acetate</v>
      </c>
      <c r="B50" s="61" t="str">
        <f>'Formula Master'!$A$30</f>
        <v>BASE</v>
      </c>
      <c r="C50" s="74">
        <f>'Formula Master'!$F$30</f>
        <v>5.0000000000000001E-3</v>
      </c>
      <c r="D50" s="24">
        <f t="shared" si="8"/>
        <v>10</v>
      </c>
      <c r="E50" s="75">
        <f>C50*IF('Formula Master'!$D$30="D10",0.1,1)</f>
        <v>5.0000000000000001E-3</v>
      </c>
      <c r="F50" s="57">
        <f t="shared" si="9"/>
        <v>2000</v>
      </c>
      <c r="G50" s="82">
        <f t="shared" si="10"/>
        <v>168</v>
      </c>
      <c r="H50" s="72">
        <f t="shared" si="11"/>
        <v>50</v>
      </c>
      <c r="I50" s="63">
        <f t="shared" si="12"/>
        <v>168</v>
      </c>
    </row>
    <row r="51" spans="1:9" x14ac:dyDescent="0.35">
      <c r="A51" s="53" t="str">
        <f>'Formula Master'!$B$31</f>
        <v>Safraleine</v>
      </c>
      <c r="B51" s="61" t="str">
        <f>'Formula Master'!$A$31</f>
        <v>BASE</v>
      </c>
      <c r="C51" s="74">
        <f>'Formula Master'!$F$31</f>
        <v>0.01</v>
      </c>
      <c r="D51" s="24">
        <f t="shared" si="8"/>
        <v>10</v>
      </c>
      <c r="E51" s="75">
        <f>C51*IF('Formula Master'!$D$31="D10",0.1,1)</f>
        <v>1E-3</v>
      </c>
      <c r="F51" s="57">
        <f t="shared" si="9"/>
        <v>10000</v>
      </c>
      <c r="G51" s="82">
        <f t="shared" si="10"/>
        <v>840</v>
      </c>
      <c r="H51" s="72">
        <f t="shared" si="11"/>
        <v>50</v>
      </c>
      <c r="I51" s="63">
        <f t="shared" si="12"/>
        <v>840</v>
      </c>
    </row>
    <row r="52" spans="1:9" x14ac:dyDescent="0.35">
      <c r="A52" s="54" t="s">
        <v>227</v>
      </c>
      <c r="B52" s="61" t="s">
        <v>349</v>
      </c>
      <c r="C52" s="74">
        <f>D10ActivePct</f>
        <v>3.5000000000000003E-2</v>
      </c>
      <c r="D52" s="24">
        <f>YC_DPGOnHand</f>
        <v>500</v>
      </c>
      <c r="E52" s="75">
        <f>D10ActivePct*0.9</f>
        <v>3.1500000000000007E-2</v>
      </c>
      <c r="F52" s="57">
        <f t="shared" si="9"/>
        <v>15873.015873015869</v>
      </c>
      <c r="G52" s="82">
        <f t="shared" si="10"/>
        <v>1333</v>
      </c>
      <c r="H52" s="72">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7" t="s">
        <v>350</v>
      </c>
      <c r="B1" s="92"/>
      <c r="C1" s="92"/>
      <c r="D1" s="92"/>
      <c r="E1" s="92"/>
      <c r="F1" s="92"/>
      <c r="G1" s="92"/>
      <c r="H1" s="92"/>
      <c r="I1" s="92"/>
      <c r="J1" s="92"/>
      <c r="K1" s="92"/>
    </row>
    <row r="2" spans="1:11" x14ac:dyDescent="0.35">
      <c r="A2" s="104" t="s">
        <v>351</v>
      </c>
      <c r="B2" s="105"/>
      <c r="C2" s="105"/>
      <c r="D2" s="105"/>
      <c r="E2" s="105"/>
      <c r="F2" s="105"/>
      <c r="G2" s="105"/>
      <c r="H2" s="105"/>
      <c r="I2" s="105"/>
      <c r="J2" s="105"/>
      <c r="K2" s="105"/>
    </row>
    <row r="3" spans="1:11" ht="18" customHeight="1" x14ac:dyDescent="0.35">
      <c r="A3" s="95" t="s">
        <v>352</v>
      </c>
      <c r="B3" s="96"/>
      <c r="C3" s="96"/>
      <c r="D3" s="96"/>
      <c r="E3" s="96"/>
      <c r="F3" s="96"/>
      <c r="G3" s="96"/>
      <c r="H3" s="96"/>
      <c r="I3" s="96"/>
      <c r="J3" s="96"/>
      <c r="K3" s="96"/>
    </row>
    <row r="4" spans="1:11" x14ac:dyDescent="0.35">
      <c r="A4" s="103" t="s">
        <v>353</v>
      </c>
      <c r="B4" s="92"/>
      <c r="C4" s="60">
        <f>FLOOR(YC_AlcOnHand/(50*$C$6*(1-$C$5)),1)</f>
        <v>26</v>
      </c>
      <c r="D4" s="97" t="s">
        <v>354</v>
      </c>
      <c r="E4" s="92"/>
      <c r="F4" s="92"/>
      <c r="G4" s="92"/>
      <c r="H4" s="92"/>
      <c r="I4" s="92"/>
      <c r="J4" s="92"/>
      <c r="K4" s="92"/>
    </row>
    <row r="5" spans="1:11" x14ac:dyDescent="0.35">
      <c r="A5" s="103" t="s">
        <v>114</v>
      </c>
      <c r="B5" s="92"/>
      <c r="C5" s="20">
        <v>0.28000000000000003</v>
      </c>
      <c r="D5" s="97" t="s">
        <v>355</v>
      </c>
      <c r="E5" s="92"/>
      <c r="F5" s="92"/>
      <c r="G5" s="92"/>
      <c r="H5" s="92"/>
      <c r="I5" s="92"/>
      <c r="J5" s="92"/>
      <c r="K5" s="92"/>
    </row>
    <row r="6" spans="1:11" x14ac:dyDescent="0.35">
      <c r="A6" s="103" t="s">
        <v>115</v>
      </c>
      <c r="B6" s="92"/>
      <c r="C6" s="43">
        <v>0.85</v>
      </c>
      <c r="D6" s="97" t="s">
        <v>356</v>
      </c>
      <c r="E6" s="92"/>
      <c r="F6" s="92"/>
      <c r="G6" s="92"/>
      <c r="H6" s="92"/>
      <c r="I6" s="92"/>
      <c r="J6" s="92"/>
      <c r="K6" s="92"/>
    </row>
    <row r="7" spans="1:11" x14ac:dyDescent="0.35">
      <c r="A7" s="103" t="s">
        <v>320</v>
      </c>
      <c r="B7" s="92"/>
      <c r="C7" s="20">
        <v>0.05</v>
      </c>
      <c r="D7" s="97" t="s">
        <v>357</v>
      </c>
      <c r="E7" s="92"/>
      <c r="F7" s="92"/>
      <c r="G7" s="92"/>
      <c r="H7" s="92"/>
      <c r="I7" s="92"/>
      <c r="J7" s="92"/>
      <c r="K7" s="92"/>
    </row>
    <row r="8" spans="1:11" x14ac:dyDescent="0.35">
      <c r="A8" s="103" t="s">
        <v>322</v>
      </c>
      <c r="B8" s="92"/>
      <c r="C8" s="16" t="s">
        <v>323</v>
      </c>
      <c r="D8" s="97" t="s">
        <v>358</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359</v>
      </c>
      <c r="B10" s="96"/>
      <c r="C10" s="96"/>
      <c r="D10" s="96"/>
      <c r="E10" s="96"/>
      <c r="F10" s="96"/>
      <c r="G10" s="96"/>
      <c r="H10" s="96"/>
      <c r="I10" s="96"/>
      <c r="J10" s="96"/>
      <c r="K10" s="96"/>
    </row>
    <row r="11" spans="1:11" x14ac:dyDescent="0.35">
      <c r="A11" s="1"/>
      <c r="B11" s="3" t="s">
        <v>360</v>
      </c>
      <c r="C11" s="3" t="s">
        <v>361</v>
      </c>
      <c r="D11" s="3" t="s">
        <v>362</v>
      </c>
      <c r="E11" s="3" t="s">
        <v>363</v>
      </c>
      <c r="F11" s="3" t="s">
        <v>364</v>
      </c>
      <c r="G11" s="3" t="s">
        <v>365</v>
      </c>
      <c r="H11" s="3" t="s">
        <v>366</v>
      </c>
      <c r="I11" s="3" t="s">
        <v>367</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3">
        <f>SUM($I$19:$I$53)</f>
        <v>795.81999999999994</v>
      </c>
      <c r="I12" s="127" t="str">
        <f>YC_LimitMat</f>
        <v>Iso E Super</v>
      </c>
      <c r="J12" s="113"/>
      <c r="K12" s="114"/>
    </row>
    <row r="13" spans="1:11" x14ac:dyDescent="0.35">
      <c r="A13" s="1"/>
      <c r="B13" s="1"/>
      <c r="C13" s="1"/>
      <c r="D13" s="1"/>
      <c r="E13" s="1"/>
      <c r="F13" s="1"/>
      <c r="G13" s="1"/>
      <c r="H13" s="1"/>
      <c r="I13" s="1"/>
      <c r="J13" s="1"/>
      <c r="K13" s="1"/>
    </row>
    <row r="14" spans="1:11" x14ac:dyDescent="0.35">
      <c r="A14" s="102"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92"/>
      <c r="C14" s="92"/>
      <c r="D14" s="92"/>
      <c r="E14" s="92"/>
      <c r="F14" s="92"/>
      <c r="G14" s="92"/>
      <c r="H14" s="92"/>
      <c r="I14" s="92"/>
      <c r="J14" s="92"/>
      <c r="K14" s="92"/>
    </row>
    <row r="15" spans="1:11" x14ac:dyDescent="0.35">
      <c r="A15" s="92"/>
      <c r="B15" s="92"/>
      <c r="C15" s="92"/>
      <c r="D15" s="92"/>
      <c r="E15" s="92"/>
      <c r="F15" s="92"/>
      <c r="G15" s="92"/>
      <c r="H15" s="92"/>
      <c r="I15" s="92"/>
      <c r="J15" s="92"/>
      <c r="K15" s="92"/>
    </row>
    <row r="16" spans="1:11" x14ac:dyDescent="0.35">
      <c r="A16" s="1"/>
      <c r="B16" s="1"/>
      <c r="C16" s="1"/>
      <c r="D16" s="1"/>
      <c r="E16" s="1"/>
      <c r="F16" s="1"/>
      <c r="G16" s="1"/>
      <c r="H16" s="1"/>
      <c r="I16" s="1"/>
      <c r="J16" s="1"/>
      <c r="K16" s="1"/>
    </row>
    <row r="17" spans="1:11" ht="18" customHeight="1" x14ac:dyDescent="0.35">
      <c r="A17" s="95" t="s">
        <v>368</v>
      </c>
      <c r="B17" s="96"/>
      <c r="C17" s="96"/>
      <c r="D17" s="96"/>
      <c r="E17" s="96"/>
      <c r="F17" s="96"/>
      <c r="G17" s="96"/>
      <c r="H17" s="96"/>
      <c r="I17" s="96"/>
      <c r="J17" s="96"/>
      <c r="K17" s="96"/>
    </row>
    <row r="18" spans="1:11" ht="24" customHeight="1" x14ac:dyDescent="0.35">
      <c r="A18" s="17" t="s">
        <v>35</v>
      </c>
      <c r="B18" s="17" t="s">
        <v>34</v>
      </c>
      <c r="C18" s="17" t="s">
        <v>39</v>
      </c>
      <c r="D18" s="17" t="s">
        <v>343</v>
      </c>
      <c r="E18" s="17" t="s">
        <v>369</v>
      </c>
      <c r="F18" s="17" t="s">
        <v>370</v>
      </c>
      <c r="G18" s="17" t="s">
        <v>371</v>
      </c>
      <c r="H18" s="17" t="s">
        <v>240</v>
      </c>
      <c r="I18" s="17" t="s">
        <v>372</v>
      </c>
      <c r="J18" s="17" t="s">
        <v>215</v>
      </c>
      <c r="K18" s="17" t="s">
        <v>373</v>
      </c>
    </row>
    <row r="19" spans="1:11" x14ac:dyDescent="0.35">
      <c r="A19" s="53" t="str">
        <f>'Formula Master'!$B$7</f>
        <v>Bergamot Accord</v>
      </c>
      <c r="B19" s="61" t="str">
        <f>'Formula Master'!$A$7</f>
        <v>TOP</v>
      </c>
      <c r="C19" s="74">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4">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4">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4">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4">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4">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4">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4">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4">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4">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4">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4">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4">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4">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4">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4">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4">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4">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4">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4">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4">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4">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4">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4">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4">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349</v>
      </c>
      <c r="C52" s="74">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374</v>
      </c>
      <c r="C53" s="74">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7" t="s">
        <v>375</v>
      </c>
      <c r="B1" s="92"/>
      <c r="C1" s="92"/>
      <c r="D1" s="92"/>
      <c r="E1" s="92"/>
      <c r="F1" s="92"/>
      <c r="G1" s="92"/>
      <c r="H1" s="92"/>
      <c r="I1" s="92"/>
    </row>
    <row r="2" spans="1:9" x14ac:dyDescent="0.35">
      <c r="A2" s="104" t="s">
        <v>376</v>
      </c>
      <c r="B2" s="105"/>
      <c r="C2" s="105"/>
      <c r="D2" s="105"/>
      <c r="E2" s="105"/>
      <c r="F2" s="105"/>
      <c r="G2" s="105"/>
      <c r="H2" s="105"/>
      <c r="I2" s="105"/>
    </row>
    <row r="3" spans="1:9" ht="18" customHeight="1" x14ac:dyDescent="0.35">
      <c r="A3" s="95" t="s">
        <v>377</v>
      </c>
      <c r="B3" s="96"/>
      <c r="C3" s="96"/>
      <c r="D3" s="96"/>
      <c r="E3" s="96"/>
      <c r="F3" s="96"/>
      <c r="G3" s="96"/>
      <c r="H3" s="96"/>
      <c r="I3" s="96"/>
    </row>
    <row r="4" spans="1:9" x14ac:dyDescent="0.35">
      <c r="A4" s="103" t="s">
        <v>114</v>
      </c>
      <c r="B4" s="92"/>
      <c r="C4" s="20">
        <v>0.28000000000000003</v>
      </c>
      <c r="D4" s="97" t="s">
        <v>378</v>
      </c>
      <c r="E4" s="92"/>
      <c r="F4" s="92"/>
      <c r="G4" s="92"/>
      <c r="H4" s="92"/>
      <c r="I4" s="92"/>
    </row>
    <row r="5" spans="1:9" x14ac:dyDescent="0.35">
      <c r="A5" s="103" t="s">
        <v>115</v>
      </c>
      <c r="B5" s="92"/>
      <c r="C5" s="43">
        <v>0.85</v>
      </c>
      <c r="D5" s="97" t="s">
        <v>379</v>
      </c>
      <c r="E5" s="92"/>
      <c r="F5" s="92"/>
      <c r="G5" s="92"/>
      <c r="H5" s="92"/>
      <c r="I5" s="92"/>
    </row>
    <row r="6" spans="1:9" x14ac:dyDescent="0.35">
      <c r="A6" s="103" t="s">
        <v>380</v>
      </c>
      <c r="B6" s="92"/>
      <c r="C6" s="42">
        <v>0</v>
      </c>
      <c r="D6" s="97" t="s">
        <v>381</v>
      </c>
      <c r="E6" s="92"/>
      <c r="F6" s="92"/>
      <c r="G6" s="92"/>
      <c r="H6" s="92"/>
      <c r="I6" s="92"/>
    </row>
    <row r="7" spans="1:9" x14ac:dyDescent="0.35">
      <c r="A7" s="103" t="s">
        <v>382</v>
      </c>
      <c r="B7" s="92"/>
      <c r="C7" s="84">
        <v>3</v>
      </c>
      <c r="D7" s="97" t="s">
        <v>383</v>
      </c>
      <c r="E7" s="92"/>
      <c r="F7" s="92"/>
      <c r="G7" s="92"/>
      <c r="H7" s="92"/>
      <c r="I7" s="92"/>
    </row>
    <row r="8" spans="1:9" x14ac:dyDescent="0.35">
      <c r="A8" s="103" t="s">
        <v>384</v>
      </c>
      <c r="B8" s="92"/>
      <c r="C8" s="20">
        <v>0.15</v>
      </c>
      <c r="D8" s="97" t="s">
        <v>385</v>
      </c>
      <c r="E8" s="92"/>
      <c r="F8" s="92"/>
      <c r="G8" s="92"/>
      <c r="H8" s="92"/>
      <c r="I8" s="92"/>
    </row>
    <row r="9" spans="1:9" x14ac:dyDescent="0.35">
      <c r="A9" s="1"/>
      <c r="B9" s="1"/>
      <c r="C9" s="1"/>
      <c r="D9" s="1"/>
      <c r="E9" s="1"/>
      <c r="F9" s="1"/>
      <c r="G9" s="1"/>
      <c r="H9" s="1"/>
      <c r="I9" s="1"/>
    </row>
    <row r="10" spans="1:9" ht="18" customHeight="1" x14ac:dyDescent="0.35">
      <c r="A10" s="95" t="s">
        <v>386</v>
      </c>
      <c r="B10" s="96"/>
      <c r="C10" s="96"/>
      <c r="D10" s="96"/>
      <c r="E10" s="96"/>
      <c r="F10" s="96"/>
      <c r="G10" s="96"/>
      <c r="H10" s="96"/>
      <c r="I10" s="96"/>
    </row>
    <row r="11" spans="1:9" ht="24" customHeight="1" x14ac:dyDescent="0.35">
      <c r="A11" s="17" t="s">
        <v>333</v>
      </c>
      <c r="B11" s="17" t="s">
        <v>387</v>
      </c>
      <c r="C11" s="17" t="s">
        <v>388</v>
      </c>
      <c r="D11" s="17" t="s">
        <v>389</v>
      </c>
      <c r="E11" s="17" t="s">
        <v>390</v>
      </c>
      <c r="F11" s="17" t="s">
        <v>391</v>
      </c>
      <c r="G11" s="17" t="s">
        <v>392</v>
      </c>
      <c r="H11" s="17" t="s">
        <v>393</v>
      </c>
      <c r="I11" s="17" t="s">
        <v>394</v>
      </c>
    </row>
    <row r="12" spans="1:9" ht="18" x14ac:dyDescent="0.35">
      <c r="A12" s="69">
        <v>30</v>
      </c>
      <c r="B12" s="24">
        <f>$A12*PR_Density*PR_ConcPct*ConcCostPerGLoaded+$A12*PR_Density*(1-PR_ConcPct)*AlcCostPerG</f>
        <v>44.889854513659046</v>
      </c>
      <c r="C12" s="42">
        <v>30</v>
      </c>
      <c r="D12" s="24">
        <f>PR_Labour</f>
        <v>0</v>
      </c>
      <c r="E12" s="50">
        <f>B12+C12+D12</f>
        <v>74.889854513659046</v>
      </c>
      <c r="F12" s="4">
        <f>E12*PR_Mult</f>
        <v>224.66956354097715</v>
      </c>
      <c r="G12" s="24">
        <f>F12*(1+PR_Vat)</f>
        <v>258.36999807212368</v>
      </c>
      <c r="H12" s="24">
        <f>F12-E12</f>
        <v>149.77970902731812</v>
      </c>
      <c r="I12" s="78">
        <f>IF(F12=0,"",(F12-E12)/F12)</f>
        <v>0.66666666666666674</v>
      </c>
    </row>
    <row r="13" spans="1:9" ht="18" x14ac:dyDescent="0.35">
      <c r="A13" s="69">
        <v>50</v>
      </c>
      <c r="B13" s="24">
        <f>$A13*PR_Density*PR_ConcPct*ConcCostPerGLoaded+$A13*PR_Density*(1-PR_ConcPct)*AlcCostPerG</f>
        <v>74.816424189431729</v>
      </c>
      <c r="C13" s="42">
        <v>40</v>
      </c>
      <c r="D13" s="24">
        <f>PR_Labour</f>
        <v>0</v>
      </c>
      <c r="E13" s="50">
        <f>B13+C13+D13</f>
        <v>114.81642418943173</v>
      </c>
      <c r="F13" s="4">
        <f>E13*PR_Mult</f>
        <v>344.44927256829521</v>
      </c>
      <c r="G13" s="24">
        <f>F13*(1+PR_Vat)</f>
        <v>396.11666345353945</v>
      </c>
      <c r="H13" s="24">
        <f>F13-E13</f>
        <v>229.63284837886349</v>
      </c>
      <c r="I13" s="78">
        <f>IF(F13=0,"",(F13-E13)/F13)</f>
        <v>0.66666666666666674</v>
      </c>
    </row>
    <row r="14" spans="1:9" ht="18" x14ac:dyDescent="0.35">
      <c r="A14" s="69">
        <v>100</v>
      </c>
      <c r="B14" s="24">
        <f>$A14*PR_Density*PR_ConcPct*ConcCostPerGLoaded+$A14*PR_Density*(1-PR_ConcPct)*AlcCostPerG</f>
        <v>149.63284837886346</v>
      </c>
      <c r="C14" s="42">
        <v>55</v>
      </c>
      <c r="D14" s="24">
        <f>PR_Labour</f>
        <v>0</v>
      </c>
      <c r="E14" s="50">
        <f>B14+C14+D14</f>
        <v>204.63284837886346</v>
      </c>
      <c r="F14" s="4">
        <f>E14*PR_Mult</f>
        <v>613.89854513659043</v>
      </c>
      <c r="G14" s="24">
        <f>F14*(1+PR_Vat)</f>
        <v>705.98332690707889</v>
      </c>
      <c r="H14" s="24">
        <f>F14-E14</f>
        <v>409.26569675772697</v>
      </c>
      <c r="I14" s="78">
        <f>IF(F14=0,"",(F14-E14)/F14)</f>
        <v>0.66666666666666674</v>
      </c>
    </row>
    <row r="15" spans="1:9" x14ac:dyDescent="0.35">
      <c r="A15" s="1"/>
      <c r="B15" s="1"/>
      <c r="C15" s="1"/>
      <c r="D15" s="1"/>
      <c r="E15" s="1"/>
      <c r="F15" s="1"/>
      <c r="G15" s="1"/>
      <c r="H15" s="1"/>
      <c r="I15" s="1"/>
    </row>
    <row r="16" spans="1:9" ht="18" customHeight="1" x14ac:dyDescent="0.35">
      <c r="A16" s="95" t="s">
        <v>395</v>
      </c>
      <c r="B16" s="96"/>
      <c r="C16" s="96"/>
      <c r="D16" s="96"/>
      <c r="E16" s="96"/>
      <c r="F16" s="96"/>
      <c r="G16" s="96"/>
      <c r="H16" s="96"/>
      <c r="I16" s="96"/>
    </row>
    <row r="17" spans="1:9" ht="24" customHeight="1" x14ac:dyDescent="0.35">
      <c r="A17" s="17" t="s">
        <v>396</v>
      </c>
      <c r="B17" s="17" t="s">
        <v>397</v>
      </c>
      <c r="C17" s="17" t="s">
        <v>398</v>
      </c>
      <c r="D17" s="17" t="s">
        <v>399</v>
      </c>
      <c r="E17" s="17" t="s">
        <v>400</v>
      </c>
      <c r="F17" s="130" t="s">
        <v>401</v>
      </c>
      <c r="G17" s="113"/>
      <c r="H17" s="113"/>
      <c r="I17" s="114"/>
    </row>
    <row r="18" spans="1:9" x14ac:dyDescent="0.35">
      <c r="A18" s="85" t="s">
        <v>402</v>
      </c>
      <c r="B18" s="24">
        <f>$E$13*2</f>
        <v>229.63284837886346</v>
      </c>
      <c r="C18" s="24">
        <f>$E$13*2.5</f>
        <v>287.04106047357931</v>
      </c>
      <c r="D18" s="24">
        <f>$E$13*3</f>
        <v>344.44927256829521</v>
      </c>
      <c r="E18" s="24">
        <f>$E$13*4</f>
        <v>459.26569675772691</v>
      </c>
      <c r="F18" s="109" t="str">
        <f>"Your total cost for a 50 ml = "&amp;TEXT($E$13,"0.00")&amp;" SAR"</f>
        <v>Your total cost for a 50 ml = 114.82 SAR</v>
      </c>
      <c r="G18" s="92"/>
      <c r="H18" s="92"/>
      <c r="I18" s="92"/>
    </row>
    <row r="19" spans="1:9" x14ac:dyDescent="0.35">
      <c r="A19" s="1"/>
      <c r="B19" s="1"/>
      <c r="C19" s="1"/>
      <c r="D19" s="1"/>
      <c r="E19" s="1"/>
      <c r="F19" s="1"/>
      <c r="G19" s="1"/>
      <c r="H19" s="1"/>
      <c r="I19" s="1"/>
    </row>
    <row r="20" spans="1:9" ht="18" customHeight="1" x14ac:dyDescent="0.35">
      <c r="A20" s="95" t="s">
        <v>403</v>
      </c>
      <c r="B20" s="96"/>
      <c r="C20" s="96"/>
      <c r="D20" s="96"/>
      <c r="E20" s="96"/>
      <c r="F20" s="96"/>
      <c r="G20" s="96"/>
      <c r="H20" s="96"/>
      <c r="I20" s="96"/>
    </row>
    <row r="21" spans="1:9" x14ac:dyDescent="0.35">
      <c r="A21" s="93" t="s">
        <v>404</v>
      </c>
      <c r="B21" s="92"/>
      <c r="C21" s="60">
        <v>4</v>
      </c>
      <c r="D21" s="97" t="s">
        <v>405</v>
      </c>
      <c r="E21" s="92"/>
      <c r="F21" s="92"/>
      <c r="G21" s="92"/>
      <c r="H21" s="92"/>
      <c r="I21" s="92"/>
    </row>
    <row r="22" spans="1:9" x14ac:dyDescent="0.35">
      <c r="A22" s="93" t="s">
        <v>406</v>
      </c>
      <c r="B22" s="92"/>
      <c r="C22" s="46">
        <f>PR_NSell*$F$13</f>
        <v>1377.7970902731809</v>
      </c>
      <c r="D22" s="97" t="s">
        <v>407</v>
      </c>
      <c r="E22" s="92"/>
      <c r="F22" s="92"/>
      <c r="G22" s="92"/>
      <c r="H22" s="92"/>
      <c r="I22" s="92"/>
    </row>
    <row r="23" spans="1:9" x14ac:dyDescent="0.35">
      <c r="A23" s="93" t="s">
        <v>408</v>
      </c>
      <c r="B23" s="92"/>
      <c r="C23" s="46">
        <f>PR_NSell*$E$13</f>
        <v>459.26569675772691</v>
      </c>
      <c r="D23" s="97" t="s">
        <v>409</v>
      </c>
      <c r="E23" s="92"/>
      <c r="F23" s="92"/>
      <c r="G23" s="92"/>
      <c r="H23" s="92"/>
      <c r="I23" s="92"/>
    </row>
    <row r="24" spans="1:9" x14ac:dyDescent="0.35">
      <c r="A24" s="103" t="s">
        <v>410</v>
      </c>
      <c r="B24" s="92"/>
      <c r="C24" s="46">
        <f>PR_NSell*($F$13-$E$13)</f>
        <v>918.53139351545394</v>
      </c>
      <c r="D24" s="97" t="s">
        <v>411</v>
      </c>
      <c r="E24" s="92"/>
      <c r="F24" s="92"/>
      <c r="G24" s="92"/>
      <c r="H24" s="92"/>
      <c r="I24" s="92"/>
    </row>
    <row r="25" spans="1:9" x14ac:dyDescent="0.35">
      <c r="A25" s="93" t="s">
        <v>412</v>
      </c>
      <c r="B25" s="92"/>
      <c r="C25" s="46">
        <f>$E$13</f>
        <v>114.81642418943173</v>
      </c>
      <c r="D25" s="97" t="s">
        <v>413</v>
      </c>
      <c r="E25" s="92"/>
      <c r="F25" s="92"/>
      <c r="G25" s="92"/>
      <c r="H25" s="92"/>
      <c r="I25" s="92"/>
    </row>
    <row r="26" spans="1:9" x14ac:dyDescent="0.35">
      <c r="A26" s="1"/>
      <c r="B26" s="1"/>
      <c r="C26" s="1"/>
      <c r="D26" s="1"/>
      <c r="E26" s="1"/>
      <c r="F26" s="1"/>
      <c r="G26" s="1"/>
      <c r="H26" s="1"/>
      <c r="I26" s="1"/>
    </row>
    <row r="27" spans="1:9" ht="18" customHeight="1" x14ac:dyDescent="0.35">
      <c r="A27" s="128" t="s">
        <v>414</v>
      </c>
      <c r="B27" s="129"/>
      <c r="C27" s="129"/>
      <c r="D27" s="129"/>
      <c r="E27" s="129"/>
      <c r="F27" s="129"/>
      <c r="G27" s="129"/>
      <c r="H27" s="129"/>
      <c r="I27" s="129"/>
    </row>
    <row r="28" spans="1:9" ht="28" customHeight="1" x14ac:dyDescent="0.35">
      <c r="A28" s="106" t="s">
        <v>415</v>
      </c>
      <c r="B28" s="92"/>
      <c r="C28" s="92"/>
      <c r="D28" s="92"/>
      <c r="E28" s="92"/>
      <c r="F28" s="92"/>
      <c r="G28" s="92"/>
      <c r="H28" s="92"/>
      <c r="I28" s="92"/>
    </row>
    <row r="29" spans="1:9" ht="28" customHeight="1" x14ac:dyDescent="0.35">
      <c r="A29" s="106" t="s">
        <v>416</v>
      </c>
      <c r="B29" s="92"/>
      <c r="C29" s="92"/>
      <c r="D29" s="92"/>
      <c r="E29" s="92"/>
      <c r="F29" s="92"/>
      <c r="G29" s="92"/>
      <c r="H29" s="92"/>
      <c r="I29" s="92"/>
    </row>
    <row r="30" spans="1:9" ht="28" customHeight="1" x14ac:dyDescent="0.35">
      <c r="A30" s="106" t="s">
        <v>417</v>
      </c>
      <c r="B30" s="92"/>
      <c r="C30" s="92"/>
      <c r="D30" s="92"/>
      <c r="E30" s="92"/>
      <c r="F30" s="92"/>
      <c r="G30" s="92"/>
      <c r="H30" s="92"/>
      <c r="I30" s="92"/>
    </row>
    <row r="31" spans="1:9" ht="28" customHeight="1" x14ac:dyDescent="0.35">
      <c r="A31" s="106" t="s">
        <v>418</v>
      </c>
      <c r="B31" s="92"/>
      <c r="C31" s="92"/>
      <c r="D31" s="92"/>
      <c r="E31" s="92"/>
      <c r="F31" s="92"/>
      <c r="G31" s="92"/>
      <c r="H31" s="92"/>
      <c r="I31" s="92"/>
    </row>
    <row r="32" spans="1:9" ht="28" customHeight="1" x14ac:dyDescent="0.35">
      <c r="A32" s="106" t="s">
        <v>419</v>
      </c>
      <c r="B32" s="92"/>
      <c r="C32" s="92"/>
      <c r="D32" s="92"/>
      <c r="E32" s="92"/>
      <c r="F32" s="92"/>
      <c r="G32" s="92"/>
      <c r="H32" s="92"/>
      <c r="I32" s="92"/>
    </row>
    <row r="33" spans="1:9" ht="28" customHeight="1" x14ac:dyDescent="0.35">
      <c r="A33" s="106" t="s">
        <v>420</v>
      </c>
      <c r="B33" s="92"/>
      <c r="C33" s="92"/>
      <c r="D33" s="92"/>
      <c r="E33" s="92"/>
      <c r="F33" s="92"/>
      <c r="G33" s="92"/>
      <c r="H33" s="92"/>
      <c r="I33" s="92"/>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7" t="s">
        <v>421</v>
      </c>
      <c r="B1" s="92"/>
      <c r="C1" s="92"/>
      <c r="D1" s="92"/>
      <c r="E1" s="92"/>
      <c r="F1" s="92"/>
      <c r="G1" s="92"/>
      <c r="H1" s="92"/>
      <c r="I1" s="92"/>
    </row>
    <row r="2" spans="1:9" x14ac:dyDescent="0.35">
      <c r="A2" s="104" t="s">
        <v>422</v>
      </c>
      <c r="B2" s="105"/>
      <c r="C2" s="105"/>
      <c r="D2" s="105"/>
      <c r="E2" s="105"/>
      <c r="F2" s="105"/>
      <c r="G2" s="105"/>
      <c r="H2" s="105"/>
      <c r="I2" s="105"/>
    </row>
    <row r="3" spans="1:9" ht="18" customHeight="1" x14ac:dyDescent="0.35">
      <c r="A3" s="95" t="s">
        <v>423</v>
      </c>
      <c r="B3" s="96"/>
      <c r="C3" s="96"/>
      <c r="D3" s="96"/>
      <c r="E3" s="96"/>
      <c r="F3" s="96"/>
      <c r="G3" s="96"/>
      <c r="H3" s="96"/>
      <c r="I3" s="96"/>
    </row>
    <row r="4" spans="1:9" x14ac:dyDescent="0.35">
      <c r="A4" s="103" t="s">
        <v>424</v>
      </c>
      <c r="B4" s="92"/>
      <c r="C4" s="60">
        <f>ScaleTargetBottles50</f>
        <v>26</v>
      </c>
      <c r="D4" s="97" t="s">
        <v>425</v>
      </c>
      <c r="E4" s="92"/>
      <c r="F4" s="92"/>
      <c r="G4" s="92"/>
      <c r="H4" s="92"/>
      <c r="I4" s="92"/>
    </row>
    <row r="5" spans="1:9" x14ac:dyDescent="0.35">
      <c r="A5" s="103" t="s">
        <v>426</v>
      </c>
      <c r="B5" s="92"/>
      <c r="C5" s="60">
        <f>MIN(8,$C$4)</f>
        <v>8</v>
      </c>
      <c r="D5" s="97" t="s">
        <v>427</v>
      </c>
      <c r="E5" s="92"/>
      <c r="F5" s="92"/>
      <c r="G5" s="92"/>
      <c r="H5" s="92"/>
      <c r="I5" s="92"/>
    </row>
    <row r="6" spans="1:9" x14ac:dyDescent="0.35">
      <c r="A6" s="103" t="s">
        <v>428</v>
      </c>
      <c r="B6" s="92"/>
      <c r="C6" s="20">
        <v>0.35</v>
      </c>
      <c r="D6" s="97" t="s">
        <v>429</v>
      </c>
      <c r="E6" s="92"/>
      <c r="F6" s="92"/>
      <c r="G6" s="92"/>
      <c r="H6" s="92"/>
      <c r="I6" s="92"/>
    </row>
    <row r="7" spans="1:9" x14ac:dyDescent="0.35">
      <c r="A7" s="103" t="s">
        <v>430</v>
      </c>
      <c r="B7" s="92"/>
      <c r="C7" s="20">
        <v>0.1</v>
      </c>
      <c r="D7" s="97" t="s">
        <v>431</v>
      </c>
      <c r="E7" s="92"/>
      <c r="F7" s="92"/>
      <c r="G7" s="92"/>
      <c r="H7" s="92"/>
      <c r="I7" s="92"/>
    </row>
    <row r="8" spans="1:9" x14ac:dyDescent="0.35">
      <c r="A8" s="103" t="s">
        <v>432</v>
      </c>
      <c r="B8" s="92"/>
      <c r="C8" s="20">
        <f>PR_Vat</f>
        <v>0.15</v>
      </c>
      <c r="D8" s="97" t="s">
        <v>433</v>
      </c>
      <c r="E8" s="92"/>
      <c r="F8" s="92"/>
      <c r="G8" s="92"/>
      <c r="H8" s="92"/>
      <c r="I8" s="92"/>
    </row>
    <row r="9" spans="1:9" x14ac:dyDescent="0.35">
      <c r="A9" s="1"/>
      <c r="B9" s="1"/>
      <c r="C9" s="1"/>
      <c r="D9" s="1"/>
      <c r="E9" s="1"/>
      <c r="F9" s="1"/>
      <c r="G9" s="1"/>
      <c r="H9" s="1"/>
      <c r="I9" s="1"/>
    </row>
    <row r="10" spans="1:9" ht="18" customHeight="1" x14ac:dyDescent="0.35">
      <c r="A10" s="95" t="s">
        <v>434</v>
      </c>
      <c r="B10" s="96"/>
      <c r="C10" s="96"/>
      <c r="D10" s="96"/>
      <c r="E10" s="96"/>
      <c r="F10" s="96"/>
      <c r="G10" s="96"/>
      <c r="H10" s="96"/>
      <c r="I10" s="96"/>
    </row>
    <row r="11" spans="1:9" ht="24" customHeight="1" x14ac:dyDescent="0.35">
      <c r="A11" s="17" t="s">
        <v>435</v>
      </c>
      <c r="B11" s="17" t="s">
        <v>436</v>
      </c>
      <c r="C11" s="17" t="s">
        <v>437</v>
      </c>
      <c r="D11" s="17" t="s">
        <v>438</v>
      </c>
      <c r="E11" s="17" t="s">
        <v>439</v>
      </c>
      <c r="F11" s="17" t="s">
        <v>440</v>
      </c>
      <c r="G11" s="17" t="s">
        <v>441</v>
      </c>
      <c r="H11" s="17" t="s">
        <v>442</v>
      </c>
      <c r="I11" s="17" t="s">
        <v>443</v>
      </c>
    </row>
    <row r="12" spans="1:9" ht="18" x14ac:dyDescent="0.35">
      <c r="A12" s="86" t="s">
        <v>444</v>
      </c>
      <c r="B12" s="24">
        <f>'Pricing &amp; Sales'!$E$12</f>
        <v>74.889854513659046</v>
      </c>
      <c r="C12" s="24">
        <f>'Pricing &amp; Sales'!$F$12</f>
        <v>224.66956354097715</v>
      </c>
      <c r="D12" s="83">
        <f>CEILING(C12*(1+$C$7),10)</f>
        <v>250</v>
      </c>
      <c r="E12" s="24">
        <f>D12*(1+$C$8)</f>
        <v>287.5</v>
      </c>
      <c r="F12" s="24">
        <f>D12-B12</f>
        <v>175.11014548634097</v>
      </c>
      <c r="G12" s="78">
        <f>IF(D12=0,"",F12/D12)</f>
        <v>0.70044058194536385</v>
      </c>
      <c r="H12" s="61" t="s">
        <v>445</v>
      </c>
      <c r="I12" s="61" t="s">
        <v>446</v>
      </c>
    </row>
    <row r="13" spans="1:9" ht="18" x14ac:dyDescent="0.35">
      <c r="A13" s="86" t="s">
        <v>447</v>
      </c>
      <c r="B13" s="24">
        <f>'Pricing &amp; Sales'!$E$13</f>
        <v>114.81642418943173</v>
      </c>
      <c r="C13" s="24">
        <f>'Pricing &amp; Sales'!$F$13</f>
        <v>344.44927256829521</v>
      </c>
      <c r="D13" s="83">
        <f>CEILING(C13*(1+$C$7),10)</f>
        <v>380</v>
      </c>
      <c r="E13" s="24">
        <f>D13*(1+$C$8)</f>
        <v>436.99999999999994</v>
      </c>
      <c r="F13" s="24">
        <f>D13-B13</f>
        <v>265.1835758105683</v>
      </c>
      <c r="G13" s="78">
        <f>IF(D13=0,"",F13/D13)</f>
        <v>0.69785151529096923</v>
      </c>
      <c r="H13" s="61" t="s">
        <v>448</v>
      </c>
      <c r="I13" s="61" t="s">
        <v>449</v>
      </c>
    </row>
    <row r="14" spans="1:9" ht="18" x14ac:dyDescent="0.35">
      <c r="A14" s="86" t="s">
        <v>450</v>
      </c>
      <c r="B14" s="24">
        <f>'Pricing &amp; Sales'!$E$14</f>
        <v>204.63284837886346</v>
      </c>
      <c r="C14" s="24">
        <f>'Pricing &amp; Sales'!$F$14</f>
        <v>613.89854513659043</v>
      </c>
      <c r="D14" s="83">
        <f>CEILING(C14*(1+$C$7),10)</f>
        <v>680</v>
      </c>
      <c r="E14" s="24">
        <f>D14*(1+$C$8)</f>
        <v>781.99999999999989</v>
      </c>
      <c r="F14" s="24">
        <f>D14-B14</f>
        <v>475.36715162113654</v>
      </c>
      <c r="G14" s="78">
        <f>IF(D14=0,"",F14/D14)</f>
        <v>0.69906934061931847</v>
      </c>
      <c r="H14" s="61" t="s">
        <v>451</v>
      </c>
      <c r="I14" s="61" t="s">
        <v>452</v>
      </c>
    </row>
    <row r="15" spans="1:9" x14ac:dyDescent="0.35">
      <c r="A15" s="1"/>
      <c r="B15" s="1"/>
      <c r="C15" s="1"/>
      <c r="D15" s="1"/>
      <c r="E15" s="1"/>
      <c r="F15" s="1"/>
      <c r="G15" s="1"/>
      <c r="H15" s="1"/>
      <c r="I15" s="1"/>
    </row>
    <row r="16" spans="1:9" ht="18" customHeight="1" x14ac:dyDescent="0.35">
      <c r="A16" s="95" t="s">
        <v>453</v>
      </c>
      <c r="B16" s="96"/>
      <c r="C16" s="96"/>
      <c r="D16" s="96"/>
      <c r="E16" s="96"/>
      <c r="F16" s="96"/>
      <c r="G16" s="96"/>
      <c r="H16" s="96"/>
      <c r="I16" s="96"/>
    </row>
    <row r="17" spans="1:9" ht="24" customHeight="1" x14ac:dyDescent="0.35">
      <c r="A17" s="17" t="s">
        <v>454</v>
      </c>
      <c r="B17" s="17" t="s">
        <v>455</v>
      </c>
      <c r="C17" s="17" t="s">
        <v>456</v>
      </c>
      <c r="D17" s="17" t="s">
        <v>457</v>
      </c>
      <c r="E17" s="17" t="s">
        <v>458</v>
      </c>
      <c r="F17" s="17" t="s">
        <v>459</v>
      </c>
      <c r="G17" s="17" t="s">
        <v>460</v>
      </c>
      <c r="H17" s="17" t="s">
        <v>461</v>
      </c>
      <c r="I17" s="17" t="s">
        <v>273</v>
      </c>
    </row>
    <row r="18" spans="1:9" ht="24" x14ac:dyDescent="0.35">
      <c r="A18" s="85" t="s">
        <v>462</v>
      </c>
      <c r="B18" s="72">
        <f>MAX($C$4-B19-B20,0)</f>
        <v>13</v>
      </c>
      <c r="C18" s="24">
        <f>$D$13*(1-$C$7)</f>
        <v>342</v>
      </c>
      <c r="D18" s="78">
        <v>0</v>
      </c>
      <c r="E18" s="24">
        <f>B18*C18*(1-D18)</f>
        <v>4446</v>
      </c>
      <c r="F18" s="24">
        <f>'Pricing &amp; Sales'!$E$13</f>
        <v>114.81642418943173</v>
      </c>
      <c r="G18" s="24">
        <f>E18-B18*F18</f>
        <v>2953.3864855373877</v>
      </c>
      <c r="H18" s="61" t="s">
        <v>463</v>
      </c>
      <c r="I18" s="87" t="s">
        <v>464</v>
      </c>
    </row>
    <row r="19" spans="1:9" ht="36" x14ac:dyDescent="0.35">
      <c r="A19" s="85" t="s">
        <v>426</v>
      </c>
      <c r="B19" s="72">
        <f>MIN($C$5,$C$4)</f>
        <v>8</v>
      </c>
      <c r="C19" s="24">
        <v>0</v>
      </c>
      <c r="D19" s="78">
        <v>0</v>
      </c>
      <c r="E19" s="24">
        <f>B19*C19*(1-D19)</f>
        <v>0</v>
      </c>
      <c r="F19" s="24">
        <f>'Pricing &amp; Sales'!$E$13</f>
        <v>114.81642418943173</v>
      </c>
      <c r="G19" s="24">
        <f>E19-B19*F19</f>
        <v>-918.53139351545383</v>
      </c>
      <c r="H19" s="61" t="s">
        <v>465</v>
      </c>
      <c r="I19" s="87" t="s">
        <v>466</v>
      </c>
    </row>
    <row r="20" spans="1:9" ht="36" x14ac:dyDescent="0.35">
      <c r="A20" s="85" t="s">
        <v>467</v>
      </c>
      <c r="B20" s="72">
        <f>ROUND(MAX($C$4-B19,0)*0.25,0)</f>
        <v>5</v>
      </c>
      <c r="C20" s="24">
        <f>$D$13</f>
        <v>380</v>
      </c>
      <c r="D20" s="78">
        <f>$C$6</f>
        <v>0.35</v>
      </c>
      <c r="E20" s="24">
        <f>B20*C20*(1-D20)</f>
        <v>1235</v>
      </c>
      <c r="F20" s="24">
        <f>'Pricing &amp; Sales'!$E$13</f>
        <v>114.81642418943173</v>
      </c>
      <c r="G20" s="24">
        <f>E20-B20*F20</f>
        <v>660.91787905284139</v>
      </c>
      <c r="H20" s="61" t="s">
        <v>468</v>
      </c>
      <c r="I20" s="87" t="s">
        <v>469</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5" t="s">
        <v>470</v>
      </c>
      <c r="B23" s="96"/>
      <c r="C23" s="96"/>
      <c r="D23" s="96"/>
      <c r="E23" s="96"/>
      <c r="F23" s="96"/>
      <c r="G23" s="96"/>
      <c r="H23" s="96"/>
      <c r="I23" s="96"/>
    </row>
    <row r="24" spans="1:9" x14ac:dyDescent="0.35">
      <c r="A24" s="106" t="s">
        <v>471</v>
      </c>
      <c r="B24" s="92"/>
      <c r="C24" s="92"/>
      <c r="D24" s="92"/>
      <c r="E24" s="92"/>
      <c r="F24" s="92"/>
      <c r="G24" s="92"/>
      <c r="H24" s="92"/>
      <c r="I24" s="92"/>
    </row>
    <row r="25" spans="1:9" x14ac:dyDescent="0.35">
      <c r="A25" s="106" t="s">
        <v>472</v>
      </c>
      <c r="B25" s="92"/>
      <c r="C25" s="92"/>
      <c r="D25" s="92"/>
      <c r="E25" s="92"/>
      <c r="F25" s="92"/>
      <c r="G25" s="92"/>
      <c r="H25" s="92"/>
      <c r="I25" s="92"/>
    </row>
    <row r="26" spans="1:9" x14ac:dyDescent="0.35">
      <c r="A26" s="106" t="s">
        <v>473</v>
      </c>
      <c r="B26" s="92"/>
      <c r="C26" s="92"/>
      <c r="D26" s="92"/>
      <c r="E26" s="92"/>
      <c r="F26" s="92"/>
      <c r="G26" s="92"/>
      <c r="H26" s="92"/>
      <c r="I26" s="92"/>
    </row>
    <row r="27" spans="1:9" x14ac:dyDescent="0.35">
      <c r="A27" s="106" t="s">
        <v>474</v>
      </c>
      <c r="B27" s="92"/>
      <c r="C27" s="92"/>
      <c r="D27" s="92"/>
      <c r="E27" s="92"/>
      <c r="F27" s="92"/>
      <c r="G27" s="92"/>
      <c r="H27" s="92"/>
      <c r="I27" s="92"/>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7" t="s">
        <v>475</v>
      </c>
      <c r="B1" s="92"/>
      <c r="C1" s="92"/>
      <c r="D1" s="92"/>
      <c r="E1" s="92"/>
      <c r="F1" s="92"/>
      <c r="G1" s="92"/>
      <c r="H1" s="92"/>
      <c r="I1" s="92"/>
    </row>
    <row r="2" spans="1:9" x14ac:dyDescent="0.35">
      <c r="A2" s="104" t="s">
        <v>476</v>
      </c>
      <c r="B2" s="105"/>
      <c r="C2" s="105"/>
      <c r="D2" s="105"/>
      <c r="E2" s="105"/>
      <c r="F2" s="105"/>
      <c r="G2" s="105"/>
      <c r="H2" s="105"/>
      <c r="I2" s="105"/>
    </row>
    <row r="3" spans="1:9" x14ac:dyDescent="0.35">
      <c r="A3" s="1"/>
      <c r="B3" s="1"/>
      <c r="C3" s="1"/>
      <c r="D3" s="1"/>
      <c r="E3" s="1"/>
      <c r="F3" s="1"/>
      <c r="G3" s="1"/>
      <c r="H3" s="1"/>
      <c r="I3" s="1"/>
    </row>
    <row r="4" spans="1:9" ht="18" customHeight="1" x14ac:dyDescent="0.35">
      <c r="A4" s="95" t="s">
        <v>477</v>
      </c>
      <c r="B4" s="96"/>
      <c r="C4" s="96"/>
      <c r="D4" s="96"/>
      <c r="E4" s="96"/>
      <c r="F4" s="96"/>
      <c r="G4" s="96"/>
      <c r="H4" s="96"/>
      <c r="I4" s="96"/>
    </row>
    <row r="5" spans="1:9" ht="16" customHeight="1" x14ac:dyDescent="0.35">
      <c r="A5" s="1"/>
      <c r="B5" s="131" t="s">
        <v>478</v>
      </c>
      <c r="C5" s="92"/>
      <c r="D5" s="92"/>
      <c r="E5" s="92"/>
      <c r="F5" s="92"/>
      <c r="G5" s="92"/>
      <c r="H5" s="92"/>
      <c r="I5" s="92"/>
    </row>
    <row r="6" spans="1:9" ht="28" customHeight="1" x14ac:dyDescent="0.35">
      <c r="A6" s="1"/>
      <c r="B6" s="131" t="s">
        <v>479</v>
      </c>
      <c r="C6" s="92"/>
      <c r="D6" s="92"/>
      <c r="E6" s="92"/>
      <c r="F6" s="92"/>
      <c r="G6" s="92"/>
      <c r="H6" s="92"/>
      <c r="I6" s="92"/>
    </row>
    <row r="7" spans="1:9" ht="16" customHeight="1" x14ac:dyDescent="0.35">
      <c r="A7" s="1"/>
      <c r="B7" s="131" t="s">
        <v>480</v>
      </c>
      <c r="C7" s="92"/>
      <c r="D7" s="92"/>
      <c r="E7" s="92"/>
      <c r="F7" s="92"/>
      <c r="G7" s="92"/>
      <c r="H7" s="92"/>
      <c r="I7" s="92"/>
    </row>
    <row r="8" spans="1:9" x14ac:dyDescent="0.35">
      <c r="A8" s="1"/>
      <c r="B8" s="1"/>
      <c r="C8" s="1"/>
      <c r="D8" s="1"/>
      <c r="E8" s="1"/>
      <c r="F8" s="1"/>
      <c r="G8" s="1"/>
      <c r="H8" s="1"/>
      <c r="I8" s="1"/>
    </row>
    <row r="9" spans="1:9" ht="18" customHeight="1" x14ac:dyDescent="0.35">
      <c r="A9" s="95" t="s">
        <v>481</v>
      </c>
      <c r="B9" s="96"/>
      <c r="C9" s="96"/>
      <c r="D9" s="96"/>
      <c r="E9" s="96"/>
      <c r="F9" s="96"/>
      <c r="G9" s="96"/>
      <c r="H9" s="96"/>
      <c r="I9" s="96"/>
    </row>
    <row r="10" spans="1:9" ht="56" customHeight="1" x14ac:dyDescent="0.35">
      <c r="A10" s="1"/>
      <c r="B10" s="131" t="s">
        <v>482</v>
      </c>
      <c r="C10" s="92"/>
      <c r="D10" s="92"/>
      <c r="E10" s="92"/>
      <c r="F10" s="92"/>
      <c r="G10" s="92"/>
      <c r="H10" s="92"/>
      <c r="I10" s="92"/>
    </row>
    <row r="11" spans="1:9" ht="42" customHeight="1" x14ac:dyDescent="0.35">
      <c r="A11" s="1"/>
      <c r="B11" s="131" t="s">
        <v>483</v>
      </c>
      <c r="C11" s="92"/>
      <c r="D11" s="92"/>
      <c r="E11" s="92"/>
      <c r="F11" s="92"/>
      <c r="G11" s="92"/>
      <c r="H11" s="92"/>
      <c r="I11" s="92"/>
    </row>
    <row r="12" spans="1:9" ht="28" customHeight="1" x14ac:dyDescent="0.35">
      <c r="A12" s="1"/>
      <c r="B12" s="131" t="s">
        <v>484</v>
      </c>
      <c r="C12" s="92"/>
      <c r="D12" s="92"/>
      <c r="E12" s="92"/>
      <c r="F12" s="92"/>
      <c r="G12" s="92"/>
      <c r="H12" s="92"/>
      <c r="I12" s="92"/>
    </row>
    <row r="13" spans="1:9" ht="42" customHeight="1" x14ac:dyDescent="0.35">
      <c r="A13" s="1"/>
      <c r="B13" s="131" t="s">
        <v>485</v>
      </c>
      <c r="C13" s="92"/>
      <c r="D13" s="92"/>
      <c r="E13" s="92"/>
      <c r="F13" s="92"/>
      <c r="G13" s="92"/>
      <c r="H13" s="92"/>
      <c r="I13" s="92"/>
    </row>
    <row r="14" spans="1:9" ht="28" customHeight="1" x14ac:dyDescent="0.35">
      <c r="A14" s="1"/>
      <c r="B14" s="131" t="s">
        <v>486</v>
      </c>
      <c r="C14" s="92"/>
      <c r="D14" s="92"/>
      <c r="E14" s="92"/>
      <c r="F14" s="92"/>
      <c r="G14" s="92"/>
      <c r="H14" s="92"/>
      <c r="I14" s="92"/>
    </row>
    <row r="15" spans="1:9" ht="28" customHeight="1" x14ac:dyDescent="0.35">
      <c r="A15" s="1"/>
      <c r="B15" s="131" t="s">
        <v>487</v>
      </c>
      <c r="C15" s="92"/>
      <c r="D15" s="92"/>
      <c r="E15" s="92"/>
      <c r="F15" s="92"/>
      <c r="G15" s="92"/>
      <c r="H15" s="92"/>
      <c r="I15" s="92"/>
    </row>
    <row r="16" spans="1:9" ht="42" customHeight="1" x14ac:dyDescent="0.35">
      <c r="A16" s="1"/>
      <c r="B16" s="131" t="s">
        <v>488</v>
      </c>
      <c r="C16" s="92"/>
      <c r="D16" s="92"/>
      <c r="E16" s="92"/>
      <c r="F16" s="92"/>
      <c r="G16" s="92"/>
      <c r="H16" s="92"/>
      <c r="I16" s="92"/>
    </row>
    <row r="17" spans="1:9" ht="16" customHeight="1" x14ac:dyDescent="0.35">
      <c r="A17" s="1"/>
      <c r="B17" s="131" t="s">
        <v>489</v>
      </c>
      <c r="C17" s="92"/>
      <c r="D17" s="92"/>
      <c r="E17" s="92"/>
      <c r="F17" s="92"/>
      <c r="G17" s="92"/>
      <c r="H17" s="92"/>
      <c r="I17" s="92"/>
    </row>
    <row r="18" spans="1:9" ht="16" customHeight="1" x14ac:dyDescent="0.35">
      <c r="A18" s="1"/>
      <c r="B18" s="131" t="s">
        <v>490</v>
      </c>
      <c r="C18" s="92"/>
      <c r="D18" s="92"/>
      <c r="E18" s="92"/>
      <c r="F18" s="92"/>
      <c r="G18" s="92"/>
      <c r="H18" s="92"/>
      <c r="I18" s="92"/>
    </row>
    <row r="19" spans="1:9" ht="42" customHeight="1" x14ac:dyDescent="0.35">
      <c r="A19" s="1"/>
      <c r="B19" s="131" t="s">
        <v>491</v>
      </c>
      <c r="C19" s="92"/>
      <c r="D19" s="92"/>
      <c r="E19" s="92"/>
      <c r="F19" s="92"/>
      <c r="G19" s="92"/>
      <c r="H19" s="92"/>
      <c r="I19" s="92"/>
    </row>
    <row r="20" spans="1:9" ht="28" customHeight="1" x14ac:dyDescent="0.35">
      <c r="A20" s="1"/>
      <c r="B20" s="131" t="s">
        <v>492</v>
      </c>
      <c r="C20" s="92"/>
      <c r="D20" s="92"/>
      <c r="E20" s="92"/>
      <c r="F20" s="92"/>
      <c r="G20" s="92"/>
      <c r="H20" s="92"/>
      <c r="I20" s="92"/>
    </row>
    <row r="21" spans="1:9" x14ac:dyDescent="0.35">
      <c r="A21" s="1"/>
      <c r="B21" s="1"/>
      <c r="C21" s="1"/>
      <c r="D21" s="1"/>
      <c r="E21" s="1"/>
      <c r="F21" s="1"/>
      <c r="G21" s="1"/>
      <c r="H21" s="1"/>
      <c r="I21" s="1"/>
    </row>
    <row r="22" spans="1:9" ht="18" customHeight="1" x14ac:dyDescent="0.35">
      <c r="A22" s="95" t="s">
        <v>493</v>
      </c>
      <c r="B22" s="96"/>
      <c r="C22" s="96"/>
      <c r="D22" s="96"/>
      <c r="E22" s="96"/>
      <c r="F22" s="96"/>
      <c r="G22" s="96"/>
      <c r="H22" s="96"/>
      <c r="I22" s="96"/>
    </row>
    <row r="23" spans="1:9" ht="28" customHeight="1" x14ac:dyDescent="0.35">
      <c r="A23" s="1"/>
      <c r="B23" s="131" t="s">
        <v>494</v>
      </c>
      <c r="C23" s="92"/>
      <c r="D23" s="92"/>
      <c r="E23" s="92"/>
      <c r="F23" s="92"/>
      <c r="G23" s="92"/>
      <c r="H23" s="92"/>
      <c r="I23" s="92"/>
    </row>
    <row r="24" spans="1:9" ht="16" customHeight="1" x14ac:dyDescent="0.35">
      <c r="A24" s="1"/>
      <c r="B24" s="131" t="s">
        <v>495</v>
      </c>
      <c r="C24" s="92"/>
      <c r="D24" s="92"/>
      <c r="E24" s="92"/>
      <c r="F24" s="92"/>
      <c r="G24" s="92"/>
      <c r="H24" s="92"/>
      <c r="I24" s="92"/>
    </row>
    <row r="25" spans="1:9" x14ac:dyDescent="0.35">
      <c r="A25" s="1"/>
      <c r="B25" s="1"/>
      <c r="C25" s="1"/>
      <c r="D25" s="1"/>
      <c r="E25" s="1"/>
      <c r="F25" s="1"/>
      <c r="G25" s="1"/>
      <c r="H25" s="1"/>
      <c r="I25" s="1"/>
    </row>
    <row r="26" spans="1:9" ht="18" customHeight="1" x14ac:dyDescent="0.35">
      <c r="A26" s="95" t="s">
        <v>496</v>
      </c>
      <c r="B26" s="96"/>
      <c r="C26" s="96"/>
      <c r="D26" s="96"/>
      <c r="E26" s="96"/>
      <c r="F26" s="96"/>
      <c r="G26" s="96"/>
      <c r="H26" s="96"/>
      <c r="I26" s="96"/>
    </row>
    <row r="27" spans="1:9" ht="16" customHeight="1" x14ac:dyDescent="0.35">
      <c r="A27" s="1"/>
      <c r="B27" s="131" t="s">
        <v>497</v>
      </c>
      <c r="C27" s="92"/>
      <c r="D27" s="92"/>
      <c r="E27" s="92"/>
      <c r="F27" s="92"/>
      <c r="G27" s="92"/>
      <c r="H27" s="92"/>
      <c r="I27" s="92"/>
    </row>
    <row r="28" spans="1:9" ht="16" customHeight="1" x14ac:dyDescent="0.35">
      <c r="A28" s="1"/>
      <c r="B28" s="131" t="s">
        <v>498</v>
      </c>
      <c r="C28" s="92"/>
      <c r="D28" s="92"/>
      <c r="E28" s="92"/>
      <c r="F28" s="92"/>
      <c r="G28" s="92"/>
      <c r="H28" s="92"/>
      <c r="I28" s="92"/>
    </row>
    <row r="29" spans="1:9" ht="16" customHeight="1" x14ac:dyDescent="0.35">
      <c r="A29" s="1"/>
      <c r="B29" s="131" t="s">
        <v>499</v>
      </c>
      <c r="C29" s="92"/>
      <c r="D29" s="92"/>
      <c r="E29" s="92"/>
      <c r="F29" s="92"/>
      <c r="G29" s="92"/>
      <c r="H29" s="92"/>
      <c r="I29" s="92"/>
    </row>
    <row r="30" spans="1:9" ht="16" customHeight="1" x14ac:dyDescent="0.35">
      <c r="A30" s="1"/>
      <c r="B30" s="131" t="s">
        <v>500</v>
      </c>
      <c r="C30" s="92"/>
      <c r="D30" s="92"/>
      <c r="E30" s="92"/>
      <c r="F30" s="92"/>
      <c r="G30" s="92"/>
      <c r="H30" s="92"/>
      <c r="I30" s="92"/>
    </row>
    <row r="31" spans="1:9" ht="28" customHeight="1" x14ac:dyDescent="0.35">
      <c r="A31" s="1"/>
      <c r="B31" s="131" t="s">
        <v>501</v>
      </c>
      <c r="C31" s="92"/>
      <c r="D31" s="92"/>
      <c r="E31" s="92"/>
      <c r="F31" s="92"/>
      <c r="G31" s="92"/>
      <c r="H31" s="92"/>
      <c r="I31" s="92"/>
    </row>
    <row r="32" spans="1:9" x14ac:dyDescent="0.35">
      <c r="A32" s="1"/>
      <c r="B32" s="1"/>
      <c r="C32" s="1"/>
      <c r="D32" s="1"/>
      <c r="E32" s="1"/>
      <c r="F32" s="1"/>
      <c r="G32" s="1"/>
      <c r="H32" s="1"/>
      <c r="I32" s="1"/>
    </row>
    <row r="33" spans="1:9" ht="18" customHeight="1" x14ac:dyDescent="0.35">
      <c r="A33" s="95" t="s">
        <v>502</v>
      </c>
      <c r="B33" s="96"/>
      <c r="C33" s="96"/>
      <c r="D33" s="96"/>
      <c r="E33" s="96"/>
      <c r="F33" s="96"/>
      <c r="G33" s="96"/>
      <c r="H33" s="96"/>
      <c r="I33" s="96"/>
    </row>
    <row r="34" spans="1:9" ht="16" customHeight="1" x14ac:dyDescent="0.35">
      <c r="A34" s="1"/>
      <c r="B34" s="131" t="s">
        <v>503</v>
      </c>
      <c r="C34" s="92"/>
      <c r="D34" s="92"/>
      <c r="E34" s="92"/>
      <c r="F34" s="92"/>
      <c r="G34" s="92"/>
      <c r="H34" s="92"/>
      <c r="I34" s="92"/>
    </row>
    <row r="35" spans="1:9" ht="28" customHeight="1" x14ac:dyDescent="0.35">
      <c r="A35" s="1"/>
      <c r="B35" s="131" t="s">
        <v>504</v>
      </c>
      <c r="C35" s="92"/>
      <c r="D35" s="92"/>
      <c r="E35" s="92"/>
      <c r="F35" s="92"/>
      <c r="G35" s="92"/>
      <c r="H35" s="92"/>
      <c r="I35" s="92"/>
    </row>
    <row r="36" spans="1:9" ht="16" customHeight="1" x14ac:dyDescent="0.35">
      <c r="A36" s="1"/>
      <c r="B36" s="131" t="s">
        <v>505</v>
      </c>
      <c r="C36" s="92"/>
      <c r="D36" s="92"/>
      <c r="E36" s="92"/>
      <c r="F36" s="92"/>
      <c r="G36" s="92"/>
      <c r="H36" s="92"/>
      <c r="I36" s="92"/>
    </row>
    <row r="37" spans="1:9" x14ac:dyDescent="0.35">
      <c r="A37" s="1"/>
      <c r="B37" s="1"/>
      <c r="C37" s="1"/>
      <c r="D37" s="1"/>
      <c r="E37" s="1"/>
      <c r="F37" s="1"/>
      <c r="G37" s="1"/>
      <c r="H37" s="1"/>
      <c r="I37" s="1"/>
    </row>
    <row r="38" spans="1:9" ht="18" customHeight="1" x14ac:dyDescent="0.35">
      <c r="A38" s="95" t="s">
        <v>506</v>
      </c>
      <c r="B38" s="96"/>
      <c r="C38" s="96"/>
      <c r="D38" s="96"/>
      <c r="E38" s="96"/>
      <c r="F38" s="96"/>
      <c r="G38" s="96"/>
      <c r="H38" s="96"/>
      <c r="I38" s="96"/>
    </row>
    <row r="39" spans="1:9" ht="16" customHeight="1" x14ac:dyDescent="0.35">
      <c r="A39" s="1"/>
      <c r="B39" s="131" t="s">
        <v>507</v>
      </c>
      <c r="C39" s="92"/>
      <c r="D39" s="92"/>
      <c r="E39" s="92"/>
      <c r="F39" s="92"/>
      <c r="G39" s="92"/>
      <c r="H39" s="92"/>
      <c r="I39" s="92"/>
    </row>
    <row r="40" spans="1:9" ht="16" customHeight="1" x14ac:dyDescent="0.35">
      <c r="A40" s="1"/>
      <c r="B40" s="131" t="s">
        <v>508</v>
      </c>
      <c r="C40" s="92"/>
      <c r="D40" s="92"/>
      <c r="E40" s="92"/>
      <c r="F40" s="92"/>
      <c r="G40" s="92"/>
      <c r="H40" s="92"/>
      <c r="I40" s="92"/>
    </row>
    <row r="41" spans="1:9" ht="16" customHeight="1" x14ac:dyDescent="0.35">
      <c r="A41" s="1"/>
      <c r="B41" s="131" t="s">
        <v>509</v>
      </c>
      <c r="C41" s="92"/>
      <c r="D41" s="92"/>
      <c r="E41" s="92"/>
      <c r="F41" s="92"/>
      <c r="G41" s="92"/>
      <c r="H41" s="92"/>
      <c r="I41" s="92"/>
    </row>
    <row r="42" spans="1:9" ht="16" customHeight="1" x14ac:dyDescent="0.35">
      <c r="A42" s="1"/>
      <c r="B42" s="131" t="s">
        <v>510</v>
      </c>
      <c r="C42" s="92"/>
      <c r="D42" s="92"/>
      <c r="E42" s="92"/>
      <c r="F42" s="92"/>
      <c r="G42" s="92"/>
      <c r="H42" s="92"/>
      <c r="I42" s="92"/>
    </row>
    <row r="43" spans="1:9" ht="16" customHeight="1" x14ac:dyDescent="0.35">
      <c r="A43" s="1"/>
      <c r="B43" s="131" t="s">
        <v>511</v>
      </c>
      <c r="C43" s="92"/>
      <c r="D43" s="92"/>
      <c r="E43" s="92"/>
      <c r="F43" s="92"/>
      <c r="G43" s="92"/>
      <c r="H43" s="92"/>
      <c r="I43" s="92"/>
    </row>
    <row r="44" spans="1:9" ht="16" customHeight="1" x14ac:dyDescent="0.35">
      <c r="A44" s="1"/>
      <c r="B44" s="131" t="s">
        <v>512</v>
      </c>
      <c r="C44" s="92"/>
      <c r="D44" s="92"/>
      <c r="E44" s="92"/>
      <c r="F44" s="92"/>
      <c r="G44" s="92"/>
      <c r="H44" s="92"/>
      <c r="I44" s="92"/>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7" t="s">
        <v>513</v>
      </c>
      <c r="B1" s="92"/>
      <c r="C1" s="92"/>
      <c r="D1" s="92"/>
      <c r="E1" s="92"/>
      <c r="F1" s="92"/>
      <c r="G1" s="92"/>
      <c r="H1" s="92"/>
      <c r="I1" s="92"/>
    </row>
    <row r="2" spans="1:9" x14ac:dyDescent="0.35">
      <c r="A2" s="104" t="s">
        <v>514</v>
      </c>
      <c r="B2" s="105"/>
      <c r="C2" s="105"/>
      <c r="D2" s="105"/>
      <c r="E2" s="105"/>
      <c r="F2" s="105"/>
      <c r="G2" s="105"/>
      <c r="H2" s="105"/>
      <c r="I2" s="105"/>
    </row>
    <row r="3" spans="1:9" x14ac:dyDescent="0.35">
      <c r="A3" s="1"/>
      <c r="B3" s="1"/>
      <c r="C3" s="1"/>
      <c r="D3" s="1"/>
      <c r="E3" s="1"/>
      <c r="F3" s="1"/>
      <c r="G3" s="1"/>
      <c r="H3" s="1"/>
      <c r="I3" s="1"/>
    </row>
    <row r="4" spans="1:9" ht="28" customHeight="1" x14ac:dyDescent="0.35">
      <c r="A4" s="88" t="s">
        <v>515</v>
      </c>
      <c r="B4" s="131" t="s">
        <v>516</v>
      </c>
      <c r="C4" s="92"/>
      <c r="D4" s="92"/>
      <c r="E4" s="92"/>
      <c r="F4" s="92"/>
      <c r="G4" s="92"/>
      <c r="H4" s="92"/>
      <c r="I4" s="92"/>
    </row>
    <row r="5" spans="1:9" x14ac:dyDescent="0.35">
      <c r="A5" s="1"/>
      <c r="B5" s="1"/>
      <c r="C5" s="1"/>
      <c r="D5" s="1"/>
      <c r="E5" s="1"/>
      <c r="F5" s="1"/>
      <c r="G5" s="1"/>
      <c r="H5" s="1"/>
      <c r="I5" s="1"/>
    </row>
    <row r="6" spans="1:9" ht="28" customHeight="1" x14ac:dyDescent="0.35">
      <c r="A6" s="88" t="s">
        <v>515</v>
      </c>
      <c r="B6" s="131" t="s">
        <v>517</v>
      </c>
      <c r="C6" s="92"/>
      <c r="D6" s="92"/>
      <c r="E6" s="92"/>
      <c r="F6" s="92"/>
      <c r="G6" s="92"/>
      <c r="H6" s="92"/>
      <c r="I6" s="92"/>
    </row>
    <row r="7" spans="1:9" x14ac:dyDescent="0.35">
      <c r="A7" s="1"/>
      <c r="B7" s="1"/>
      <c r="C7" s="1"/>
      <c r="D7" s="1"/>
      <c r="E7" s="1"/>
      <c r="F7" s="1"/>
      <c r="G7" s="1"/>
      <c r="H7" s="1"/>
      <c r="I7" s="1"/>
    </row>
    <row r="8" spans="1:9" ht="18" customHeight="1" x14ac:dyDescent="0.35">
      <c r="A8" s="88" t="s">
        <v>515</v>
      </c>
      <c r="B8" s="131" t="s">
        <v>518</v>
      </c>
      <c r="C8" s="92"/>
      <c r="D8" s="92"/>
      <c r="E8" s="92"/>
      <c r="F8" s="92"/>
      <c r="G8" s="92"/>
      <c r="H8" s="92"/>
      <c r="I8" s="92"/>
    </row>
    <row r="9" spans="1:9" x14ac:dyDescent="0.35">
      <c r="A9" s="1"/>
      <c r="B9" s="1"/>
      <c r="C9" s="1"/>
      <c r="D9" s="1"/>
      <c r="E9" s="1"/>
      <c r="F9" s="1"/>
      <c r="G9" s="1"/>
      <c r="H9" s="1"/>
      <c r="I9" s="1"/>
    </row>
    <row r="10" spans="1:9" ht="18" customHeight="1" x14ac:dyDescent="0.35">
      <c r="A10" s="89" t="s">
        <v>519</v>
      </c>
      <c r="B10" s="131" t="s">
        <v>520</v>
      </c>
      <c r="C10" s="92"/>
      <c r="D10" s="92"/>
      <c r="E10" s="92"/>
      <c r="F10" s="92"/>
      <c r="G10" s="92"/>
      <c r="H10" s="92"/>
      <c r="I10" s="92"/>
    </row>
    <row r="11" spans="1:9" x14ac:dyDescent="0.35">
      <c r="A11" s="1"/>
      <c r="B11" s="1"/>
      <c r="C11" s="1"/>
      <c r="D11" s="1"/>
      <c r="E11" s="1"/>
      <c r="F11" s="1"/>
      <c r="G11" s="1"/>
      <c r="H11" s="1"/>
      <c r="I11" s="1"/>
    </row>
    <row r="12" spans="1:9" ht="28" customHeight="1" x14ac:dyDescent="0.35">
      <c r="A12" s="89" t="s">
        <v>519</v>
      </c>
      <c r="B12" s="131" t="s">
        <v>521</v>
      </c>
      <c r="C12" s="92"/>
      <c r="D12" s="92"/>
      <c r="E12" s="92"/>
      <c r="F12" s="92"/>
      <c r="G12" s="92"/>
      <c r="H12" s="92"/>
      <c r="I12" s="92"/>
    </row>
    <row r="13" spans="1:9" x14ac:dyDescent="0.35">
      <c r="A13" s="1"/>
      <c r="B13" s="1"/>
      <c r="C13" s="1"/>
      <c r="D13" s="1"/>
      <c r="E13" s="1"/>
      <c r="F13" s="1"/>
      <c r="G13" s="1"/>
      <c r="H13" s="1"/>
      <c r="I13" s="1"/>
    </row>
    <row r="14" spans="1:9" ht="18" customHeight="1" x14ac:dyDescent="0.35">
      <c r="A14" s="89" t="s">
        <v>519</v>
      </c>
      <c r="B14" s="131" t="s">
        <v>522</v>
      </c>
      <c r="C14" s="92"/>
      <c r="D14" s="92"/>
      <c r="E14" s="92"/>
      <c r="F14" s="92"/>
      <c r="G14" s="92"/>
      <c r="H14" s="92"/>
      <c r="I14" s="92"/>
    </row>
    <row r="15" spans="1:9" x14ac:dyDescent="0.35">
      <c r="A15" s="1"/>
      <c r="B15" s="1"/>
      <c r="C15" s="1"/>
      <c r="D15" s="1"/>
      <c r="E15" s="1"/>
      <c r="F15" s="1"/>
      <c r="G15" s="1"/>
      <c r="H15" s="1"/>
      <c r="I15" s="1"/>
    </row>
    <row r="16" spans="1:9" ht="18" customHeight="1" x14ac:dyDescent="0.35">
      <c r="A16" s="89" t="s">
        <v>519</v>
      </c>
      <c r="B16" s="131" t="s">
        <v>523</v>
      </c>
      <c r="C16" s="92"/>
      <c r="D16" s="92"/>
      <c r="E16" s="92"/>
      <c r="F16" s="92"/>
      <c r="G16" s="92"/>
      <c r="H16" s="92"/>
      <c r="I16" s="92"/>
    </row>
    <row r="17" spans="1:9" x14ac:dyDescent="0.35">
      <c r="A17" s="1"/>
      <c r="B17" s="1"/>
      <c r="C17" s="1"/>
      <c r="D17" s="1"/>
      <c r="E17" s="1"/>
      <c r="F17" s="1"/>
      <c r="G17" s="1"/>
      <c r="H17" s="1"/>
      <c r="I17" s="1"/>
    </row>
    <row r="18" spans="1:9" ht="28" customHeight="1" x14ac:dyDescent="0.35">
      <c r="A18" s="90" t="s">
        <v>524</v>
      </c>
      <c r="B18" s="131" t="s">
        <v>525</v>
      </c>
      <c r="C18" s="92"/>
      <c r="D18" s="92"/>
      <c r="E18" s="92"/>
      <c r="F18" s="92"/>
      <c r="G18" s="92"/>
      <c r="H18" s="92"/>
      <c r="I18" s="92"/>
    </row>
    <row r="19" spans="1:9" x14ac:dyDescent="0.35">
      <c r="A19" s="1"/>
      <c r="B19" s="1"/>
      <c r="C19" s="1"/>
      <c r="D19" s="1"/>
      <c r="E19" s="1"/>
      <c r="F19" s="1"/>
      <c r="G19" s="1"/>
      <c r="H19" s="1"/>
      <c r="I19" s="1"/>
    </row>
    <row r="20" spans="1:9" ht="28" customHeight="1" x14ac:dyDescent="0.35">
      <c r="A20" s="90" t="s">
        <v>524</v>
      </c>
      <c r="B20" s="131" t="s">
        <v>526</v>
      </c>
      <c r="C20" s="92"/>
      <c r="D20" s="92"/>
      <c r="E20" s="92"/>
      <c r="F20" s="92"/>
      <c r="G20" s="92"/>
      <c r="H20" s="92"/>
      <c r="I20" s="92"/>
    </row>
    <row r="21" spans="1:9" x14ac:dyDescent="0.35">
      <c r="A21" s="1"/>
      <c r="B21" s="1"/>
      <c r="C21" s="1"/>
      <c r="D21" s="1"/>
      <c r="E21" s="1"/>
      <c r="F21" s="1"/>
      <c r="G21" s="1"/>
      <c r="H21" s="1"/>
      <c r="I21" s="1"/>
    </row>
    <row r="22" spans="1:9" ht="18" customHeight="1" x14ac:dyDescent="0.35">
      <c r="A22" s="90" t="s">
        <v>524</v>
      </c>
      <c r="B22" s="131" t="s">
        <v>527</v>
      </c>
      <c r="C22" s="92"/>
      <c r="D22" s="92"/>
      <c r="E22" s="92"/>
      <c r="F22" s="92"/>
      <c r="G22" s="92"/>
      <c r="H22" s="92"/>
      <c r="I22" s="92"/>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528</v>
      </c>
      <c r="C1" s="1" t="s">
        <v>529</v>
      </c>
      <c r="D1" s="1" t="s">
        <v>530</v>
      </c>
      <c r="E1" s="1" t="s">
        <v>207</v>
      </c>
      <c r="F1" s="1"/>
      <c r="G1" s="1" t="s">
        <v>215</v>
      </c>
      <c r="H1" s="1" t="s">
        <v>531</v>
      </c>
      <c r="I1" s="1" t="s">
        <v>205</v>
      </c>
    </row>
    <row r="2" spans="1:9" x14ac:dyDescent="0.35">
      <c r="A2" s="1" t="s">
        <v>308</v>
      </c>
      <c r="B2" s="1">
        <v>0.2</v>
      </c>
      <c r="C2" s="1">
        <v>0.12</v>
      </c>
      <c r="D2" s="1">
        <v>0.3</v>
      </c>
      <c r="E2" s="1">
        <v>0.85</v>
      </c>
      <c r="F2" s="1"/>
      <c r="G2" s="1" t="s">
        <v>532</v>
      </c>
      <c r="H2" s="1" t="s">
        <v>32</v>
      </c>
      <c r="I2" s="1" t="s">
        <v>112</v>
      </c>
    </row>
    <row r="3" spans="1:9" x14ac:dyDescent="0.35">
      <c r="A3" s="1" t="s">
        <v>107</v>
      </c>
      <c r="B3" s="1">
        <v>0.28000000000000003</v>
      </c>
      <c r="C3" s="1">
        <v>0.2</v>
      </c>
      <c r="D3" s="1">
        <v>0.35</v>
      </c>
      <c r="E3" s="1">
        <v>0.85</v>
      </c>
      <c r="F3" s="1"/>
      <c r="G3" s="1" t="s">
        <v>533</v>
      </c>
      <c r="H3" s="1" t="s">
        <v>534</v>
      </c>
      <c r="I3" s="1" t="s">
        <v>221</v>
      </c>
    </row>
    <row r="4" spans="1:9" x14ac:dyDescent="0.35">
      <c r="A4" s="1" t="s">
        <v>309</v>
      </c>
      <c r="B4" s="1">
        <v>0.05</v>
      </c>
      <c r="C4" s="1">
        <v>0.03</v>
      </c>
      <c r="D4" s="1">
        <v>0.06</v>
      </c>
      <c r="E4" s="1">
        <v>0.87</v>
      </c>
      <c r="F4" s="1"/>
      <c r="G4" s="1" t="s">
        <v>535</v>
      </c>
      <c r="H4" s="1"/>
      <c r="I4" s="1"/>
    </row>
    <row r="5" spans="1:9" x14ac:dyDescent="0.35">
      <c r="A5" s="1" t="s">
        <v>132</v>
      </c>
      <c r="B5" s="1">
        <v>2.5000000000000001E-2</v>
      </c>
      <c r="C5" s="1">
        <v>0.02</v>
      </c>
      <c r="D5" s="1">
        <v>0.03</v>
      </c>
      <c r="E5" s="1">
        <v>0.99</v>
      </c>
      <c r="F5" s="1"/>
      <c r="G5" s="1"/>
      <c r="H5" s="1"/>
      <c r="I5" s="1"/>
    </row>
    <row r="6" spans="1:9" x14ac:dyDescent="0.35">
      <c r="A6" s="1" t="s">
        <v>536</v>
      </c>
      <c r="B6" s="1">
        <v>0.01</v>
      </c>
      <c r="C6" s="1">
        <v>8.0000000000000002E-3</v>
      </c>
      <c r="D6" s="1">
        <v>1.2E-2</v>
      </c>
      <c r="E6" s="1">
        <v>0.98</v>
      </c>
      <c r="F6" s="1"/>
      <c r="G6" s="1"/>
      <c r="H6" s="1"/>
      <c r="I6" s="1"/>
    </row>
    <row r="7" spans="1:9" x14ac:dyDescent="0.35">
      <c r="A7" s="1" t="s">
        <v>537</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99</vt:i4>
      </vt:variant>
    </vt:vector>
  </HeadingPairs>
  <TitlesOfParts>
    <vt:vector size="115" baseType="lpstr">
      <vt:lpstr>Dashboard</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2026-07-11T05:09:57Z</dcterms:modified>
</cp:coreProperties>
</file>