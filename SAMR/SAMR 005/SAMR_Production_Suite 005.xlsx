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A57B828A-E37E-4BFC-8B46-662962E629FE}"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4" l="1"/>
  <c r="C8" i="14"/>
  <c r="D14" i="13"/>
  <c r="D13" i="13"/>
  <c r="D12" i="13"/>
  <c r="G53" i="12"/>
  <c r="C53" i="12"/>
  <c r="G52" i="12"/>
  <c r="B43" i="12"/>
  <c r="A43" i="12"/>
  <c r="G43" i="12" s="1"/>
  <c r="B42" i="12"/>
  <c r="A42" i="12"/>
  <c r="B41" i="12"/>
  <c r="A41" i="12"/>
  <c r="B40" i="12"/>
  <c r="A40" i="12"/>
  <c r="B39" i="12"/>
  <c r="A39" i="12"/>
  <c r="B38" i="12"/>
  <c r="A38" i="12"/>
  <c r="B37" i="12"/>
  <c r="A37" i="12"/>
  <c r="B36" i="12"/>
  <c r="A36" i="12"/>
  <c r="B35" i="12"/>
  <c r="A35" i="12"/>
  <c r="B34" i="12"/>
  <c r="A34" i="12"/>
  <c r="G34" i="12" s="1"/>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I26" i="7" s="1"/>
  <c r="J26" i="7" s="1"/>
  <c r="F25" i="7"/>
  <c r="D25" i="7"/>
  <c r="C25" i="7"/>
  <c r="B25" i="7"/>
  <c r="A25" i="7"/>
  <c r="F24" i="7"/>
  <c r="D24" i="7"/>
  <c r="C24" i="7"/>
  <c r="B24" i="7"/>
  <c r="A24" i="7"/>
  <c r="F23" i="7"/>
  <c r="D23" i="7"/>
  <c r="C23" i="7"/>
  <c r="B23" i="7"/>
  <c r="A23" i="7"/>
  <c r="F22" i="7"/>
  <c r="D22" i="7"/>
  <c r="C22" i="7"/>
  <c r="B22" i="7"/>
  <c r="A22" i="7"/>
  <c r="I22" i="7" s="1"/>
  <c r="J22" i="7" s="1"/>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H30" i="6"/>
  <c r="F30" i="6"/>
  <c r="H29" i="6"/>
  <c r="F29" i="6"/>
  <c r="H28" i="6"/>
  <c r="F28" i="6"/>
  <c r="H27" i="6"/>
  <c r="F27" i="6"/>
  <c r="H26" i="6"/>
  <c r="F26" i="6"/>
  <c r="H25" i="6"/>
  <c r="F25" i="6"/>
  <c r="H24" i="6"/>
  <c r="F24" i="6"/>
  <c r="H23" i="6"/>
  <c r="F23" i="6"/>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F26" i="3"/>
  <c r="F25" i="3"/>
  <c r="F24" i="3"/>
  <c r="F23" i="3"/>
  <c r="F22" i="3"/>
  <c r="F21" i="3"/>
  <c r="F20" i="3"/>
  <c r="F19" i="3"/>
  <c r="F18" i="3"/>
  <c r="F17" i="3"/>
  <c r="F16" i="3"/>
  <c r="F15" i="3"/>
  <c r="F14" i="3"/>
  <c r="F13" i="3"/>
  <c r="F12" i="3"/>
  <c r="F11" i="3"/>
  <c r="F10" i="3"/>
  <c r="F9" i="3"/>
  <c r="F8" i="3"/>
  <c r="F7" i="3"/>
  <c r="I4" i="3"/>
  <c r="I3" i="3"/>
  <c r="G15" i="1"/>
  <c r="G12" i="1"/>
  <c r="G11" i="1"/>
  <c r="C11" i="1"/>
  <c r="G10" i="1"/>
  <c r="C10" i="1"/>
  <c r="F7" i="1"/>
  <c r="E7" i="1"/>
  <c r="I30" i="7" l="1"/>
  <c r="J30" i="7" s="1"/>
  <c r="C23" i="4"/>
  <c r="D59" i="4"/>
  <c r="G42" i="12"/>
  <c r="G41" i="12"/>
  <c r="G40" i="12"/>
  <c r="G39" i="12"/>
  <c r="G38" i="12"/>
  <c r="G37" i="12"/>
  <c r="G36" i="12"/>
  <c r="G35" i="12"/>
  <c r="G33" i="12"/>
  <c r="G32" i="12"/>
  <c r="D31" i="12"/>
  <c r="G31" i="12"/>
  <c r="G30" i="12"/>
  <c r="D29" i="12"/>
  <c r="G29" i="12"/>
  <c r="D28" i="12"/>
  <c r="G28" i="12"/>
  <c r="G27" i="12"/>
  <c r="G26" i="12"/>
  <c r="D25" i="12"/>
  <c r="G25" i="12"/>
  <c r="D24" i="12"/>
  <c r="G24" i="12"/>
  <c r="G23" i="12"/>
  <c r="D22" i="12"/>
  <c r="G22" i="12"/>
  <c r="G21" i="12"/>
  <c r="G20" i="12"/>
  <c r="D20" i="12"/>
  <c r="G19" i="12"/>
  <c r="E44" i="9"/>
  <c r="G44" i="9"/>
  <c r="E43" i="9"/>
  <c r="G43" i="9"/>
  <c r="E42" i="9"/>
  <c r="G42" i="9"/>
  <c r="G41" i="9"/>
  <c r="E41" i="9"/>
  <c r="G40" i="9"/>
  <c r="E40" i="9"/>
  <c r="E39" i="9"/>
  <c r="G39" i="9"/>
  <c r="E38" i="9"/>
  <c r="G38" i="9"/>
  <c r="G37" i="9"/>
  <c r="E37" i="9"/>
  <c r="G36" i="9"/>
  <c r="E36" i="9"/>
  <c r="G35" i="9"/>
  <c r="E35" i="9"/>
  <c r="G34" i="9"/>
  <c r="E34" i="9"/>
  <c r="G33" i="9"/>
  <c r="E33" i="9"/>
  <c r="E32" i="9"/>
  <c r="G32" i="9"/>
  <c r="E31" i="9"/>
  <c r="G31" i="9"/>
  <c r="G30" i="9"/>
  <c r="E30" i="9"/>
  <c r="G29" i="9"/>
  <c r="E29" i="9"/>
  <c r="G28" i="9"/>
  <c r="E28" i="9"/>
  <c r="E27" i="9"/>
  <c r="G27" i="9"/>
  <c r="E26" i="9"/>
  <c r="G26" i="9"/>
  <c r="E25" i="9"/>
  <c r="G25" i="9"/>
  <c r="E24" i="9"/>
  <c r="G24" i="9"/>
  <c r="E23" i="9"/>
  <c r="G23" i="9"/>
  <c r="G22" i="9"/>
  <c r="E22" i="9"/>
  <c r="E21" i="9"/>
  <c r="G21" i="9"/>
  <c r="G20" i="9"/>
  <c r="E20" i="9"/>
  <c r="G19" i="9"/>
  <c r="E19" i="9"/>
  <c r="G18" i="9"/>
  <c r="E18" i="9"/>
  <c r="E17" i="9"/>
  <c r="G17" i="9"/>
  <c r="G16" i="9"/>
  <c r="E16" i="9"/>
  <c r="G15" i="9"/>
  <c r="E15" i="9"/>
  <c r="E14" i="9"/>
  <c r="G14" i="9"/>
  <c r="E13" i="9"/>
  <c r="G13" i="9"/>
  <c r="E12" i="9"/>
  <c r="G12" i="9"/>
  <c r="E11" i="9"/>
  <c r="G11" i="9"/>
  <c r="E10" i="9"/>
  <c r="G10" i="9"/>
  <c r="E9" i="9"/>
  <c r="G9" i="9"/>
  <c r="E8" i="9"/>
  <c r="G8" i="9"/>
  <c r="E7" i="9"/>
  <c r="G7" i="9"/>
  <c r="E6" i="9"/>
  <c r="G6" i="9"/>
  <c r="E5" i="9"/>
  <c r="G5" i="9"/>
  <c r="J30" i="6"/>
  <c r="K30" i="6" s="1"/>
  <c r="G14" i="1"/>
  <c r="J16" i="6"/>
  <c r="J14" i="6"/>
  <c r="J13" i="6"/>
  <c r="J10" i="6"/>
  <c r="J9" i="6"/>
  <c r="J7" i="6"/>
  <c r="J6" i="6"/>
  <c r="K6" i="6" s="1"/>
  <c r="D21" i="12" s="1"/>
  <c r="J5" i="6"/>
  <c r="J4" i="6"/>
  <c r="K4" i="6" s="1"/>
  <c r="D19" i="12" s="1"/>
  <c r="J26" i="6"/>
  <c r="K26" i="6" s="1"/>
  <c r="D41" i="12" s="1"/>
  <c r="J27" i="6"/>
  <c r="K27" i="6" s="1"/>
  <c r="D42" i="12" s="1"/>
  <c r="J29" i="6"/>
  <c r="K29" i="6" s="1"/>
  <c r="O29" i="6" s="1"/>
  <c r="J28" i="6"/>
  <c r="K28" i="6" s="1"/>
  <c r="J11" i="6"/>
  <c r="K11" i="6" s="1"/>
  <c r="D26" i="12" s="1"/>
  <c r="J12" i="6"/>
  <c r="K12" i="6" s="1"/>
  <c r="D27" i="12" s="1"/>
  <c r="J15" i="6"/>
  <c r="K15" i="6" s="1"/>
  <c r="D30" i="12" s="1"/>
  <c r="J25" i="6"/>
  <c r="K25" i="6" s="1"/>
  <c r="D40" i="12" s="1"/>
  <c r="G13" i="1"/>
  <c r="J18" i="6"/>
  <c r="K18" i="6" s="1"/>
  <c r="D33" i="12" s="1"/>
  <c r="J24" i="6"/>
  <c r="K24" i="6" s="1"/>
  <c r="D39" i="12" s="1"/>
  <c r="J23" i="6"/>
  <c r="K23" i="6" s="1"/>
  <c r="D38" i="12" s="1"/>
  <c r="J22" i="6"/>
  <c r="K22" i="6" s="1"/>
  <c r="D37" i="12" s="1"/>
  <c r="J21" i="6"/>
  <c r="K21" i="6" s="1"/>
  <c r="D36" i="12" s="1"/>
  <c r="J20" i="6"/>
  <c r="K20" i="6" s="1"/>
  <c r="D35" i="12" s="1"/>
  <c r="J19" i="6"/>
  <c r="K19" i="6" s="1"/>
  <c r="J8" i="6"/>
  <c r="K8" i="6" s="1"/>
  <c r="D23" i="12" s="1"/>
  <c r="J17" i="6"/>
  <c r="K17" i="6" s="1"/>
  <c r="D32" i="12" s="1"/>
  <c r="I33" i="7"/>
  <c r="J33" i="7"/>
  <c r="J32" i="7"/>
  <c r="I32" i="7"/>
  <c r="I31" i="7"/>
  <c r="J31" i="7" s="1"/>
  <c r="I29" i="7"/>
  <c r="J29" i="7" s="1"/>
  <c r="I28" i="7"/>
  <c r="J28" i="7"/>
  <c r="I27" i="7"/>
  <c r="J27" i="7" s="1"/>
  <c r="I25" i="7"/>
  <c r="J25" i="7" s="1"/>
  <c r="I24" i="7"/>
  <c r="J24" i="7" s="1"/>
  <c r="I23" i="7"/>
  <c r="J23" i="7" s="1"/>
  <c r="I21" i="7"/>
  <c r="J21" i="7" s="1"/>
  <c r="I20" i="7"/>
  <c r="J20" i="7" s="1"/>
  <c r="I19" i="7"/>
  <c r="J19" i="7" s="1"/>
  <c r="I17" i="7"/>
  <c r="J17" i="7" s="1"/>
  <c r="I16" i="7"/>
  <c r="J16" i="7" s="1"/>
  <c r="I15" i="7"/>
  <c r="J15" i="7" s="1"/>
  <c r="I14" i="7"/>
  <c r="J14" i="7" s="1"/>
  <c r="I13" i="7"/>
  <c r="J13" i="7" s="1"/>
  <c r="I12" i="7"/>
  <c r="J12" i="7" s="1"/>
  <c r="I11" i="7"/>
  <c r="J11" i="7" s="1"/>
  <c r="I10" i="7"/>
  <c r="J10" i="7" s="1"/>
  <c r="I9" i="7"/>
  <c r="J9" i="7" s="1"/>
  <c r="I8" i="7"/>
  <c r="J8" i="7" s="1"/>
  <c r="I7" i="7"/>
  <c r="J7" i="7" s="1"/>
  <c r="I30" i="6"/>
  <c r="I29" i="6"/>
  <c r="C10" i="10" s="1"/>
  <c r="I28" i="6"/>
  <c r="H31" i="3" s="1"/>
  <c r="I27" i="6"/>
  <c r="H30" i="3" s="1"/>
  <c r="I26" i="6"/>
  <c r="H29" i="3" s="1"/>
  <c r="I25" i="6"/>
  <c r="H28" i="3" s="1"/>
  <c r="I24" i="6"/>
  <c r="H27" i="3" s="1"/>
  <c r="I23" i="6"/>
  <c r="H26" i="3" s="1"/>
  <c r="I22" i="6"/>
  <c r="H25" i="3" s="1"/>
  <c r="I21" i="6"/>
  <c r="H24" i="3" s="1"/>
  <c r="I20" i="6"/>
  <c r="H23" i="3" s="1"/>
  <c r="I19" i="6"/>
  <c r="H22" i="3" s="1"/>
  <c r="I18" i="6"/>
  <c r="H21" i="3" s="1"/>
  <c r="I17" i="6"/>
  <c r="H20" i="3" s="1"/>
  <c r="I16" i="6"/>
  <c r="H19" i="3" s="1"/>
  <c r="K16" i="6"/>
  <c r="I15" i="6"/>
  <c r="H18" i="3" s="1"/>
  <c r="K14" i="6"/>
  <c r="I14" i="6"/>
  <c r="H17" i="3" s="1"/>
  <c r="I13" i="6"/>
  <c r="H16" i="3" s="1"/>
  <c r="K13" i="6"/>
  <c r="I12" i="6"/>
  <c r="H15" i="3" s="1"/>
  <c r="C4" i="10"/>
  <c r="H31" i="6"/>
  <c r="I11" i="6"/>
  <c r="H14" i="3" s="1"/>
  <c r="K10" i="6"/>
  <c r="I10" i="6"/>
  <c r="H13" i="3" s="1"/>
  <c r="I9" i="6"/>
  <c r="H12" i="3" s="1"/>
  <c r="K9" i="6"/>
  <c r="I8" i="6"/>
  <c r="H11" i="3" s="1"/>
  <c r="K7" i="6"/>
  <c r="I7" i="6"/>
  <c r="H10" i="3" s="1"/>
  <c r="I6" i="6"/>
  <c r="H9" i="3" s="1"/>
  <c r="I5" i="6"/>
  <c r="H8" i="3" s="1"/>
  <c r="K5" i="6"/>
  <c r="I4" i="6"/>
  <c r="H7" i="3" s="1"/>
  <c r="C11" i="10" s="1"/>
  <c r="L8" i="6"/>
  <c r="L29" i="6"/>
  <c r="L21" i="6"/>
  <c r="L20" i="6"/>
  <c r="L9" i="6"/>
  <c r="L19" i="6"/>
  <c r="L10" i="6"/>
  <c r="L23" i="6"/>
  <c r="L4" i="6"/>
  <c r="L7" i="6"/>
  <c r="L5" i="6"/>
  <c r="L6" i="6"/>
  <c r="L25" i="6"/>
  <c r="L26" i="6"/>
  <c r="L24" i="6"/>
  <c r="L27" i="6"/>
  <c r="L28" i="6"/>
  <c r="L22" i="6"/>
  <c r="E29" i="4"/>
  <c r="E30" i="4"/>
  <c r="G30" i="4" s="1"/>
  <c r="E31" i="4"/>
  <c r="G31" i="4" s="1"/>
  <c r="D58" i="4"/>
  <c r="E35" i="4"/>
  <c r="G35" i="4" s="1"/>
  <c r="E47" i="4"/>
  <c r="G47" i="4" s="1"/>
  <c r="E49" i="4"/>
  <c r="G49" i="4" s="1"/>
  <c r="C12" i="1"/>
  <c r="E48" i="4"/>
  <c r="G48" i="4" s="1"/>
  <c r="E32" i="4"/>
  <c r="G32" i="4" s="1"/>
  <c r="E33" i="4"/>
  <c r="G33" i="4" s="1"/>
  <c r="E34" i="4"/>
  <c r="G34" i="4" s="1"/>
  <c r="E45" i="4"/>
  <c r="G45" i="4" s="1"/>
  <c r="C43" i="12"/>
  <c r="C51" i="11"/>
  <c r="E51" i="11" s="1"/>
  <c r="D42" i="4"/>
  <c r="E42" i="4" s="1"/>
  <c r="G42" i="4" s="1"/>
  <c r="C42" i="12"/>
  <c r="D41" i="4"/>
  <c r="E41" i="4" s="1"/>
  <c r="G41" i="4" s="1"/>
  <c r="C50" i="11"/>
  <c r="E50" i="11" s="1"/>
  <c r="C41" i="12"/>
  <c r="C49" i="11"/>
  <c r="E49" i="11" s="1"/>
  <c r="D40" i="4"/>
  <c r="E40" i="4" s="1"/>
  <c r="G40" i="4" s="1"/>
  <c r="C48" i="11"/>
  <c r="E48" i="11" s="1"/>
  <c r="D39" i="4"/>
  <c r="E39" i="4" s="1"/>
  <c r="G39" i="4" s="1"/>
  <c r="C40" i="12"/>
  <c r="C47" i="11"/>
  <c r="E47" i="11" s="1"/>
  <c r="C39" i="12"/>
  <c r="D38" i="4"/>
  <c r="E38" i="4" s="1"/>
  <c r="G38" i="4" s="1"/>
  <c r="C46" i="11"/>
  <c r="E46" i="11" s="1"/>
  <c r="C38" i="12"/>
  <c r="D37" i="4"/>
  <c r="E37" i="4" s="1"/>
  <c r="G37" i="4" s="1"/>
  <c r="C37" i="12"/>
  <c r="D36" i="4"/>
  <c r="E36" i="4" s="1"/>
  <c r="G36" i="4" s="1"/>
  <c r="C45" i="11"/>
  <c r="E45" i="11" s="1"/>
  <c r="C36" i="12"/>
  <c r="C44" i="11"/>
  <c r="E44" i="11" s="1"/>
  <c r="D35" i="4"/>
  <c r="C35" i="12"/>
  <c r="C43" i="11"/>
  <c r="E43" i="11" s="1"/>
  <c r="D34" i="4"/>
  <c r="C34" i="12"/>
  <c r="C42" i="11"/>
  <c r="E42" i="11" s="1"/>
  <c r="D33" i="4"/>
  <c r="C33" i="12"/>
  <c r="L18" i="6"/>
  <c r="D32" i="4"/>
  <c r="C41" i="11"/>
  <c r="E41" i="11" s="1"/>
  <c r="L17" i="6"/>
  <c r="C40" i="11"/>
  <c r="E40" i="11" s="1"/>
  <c r="D31" i="4"/>
  <c r="C32" i="12"/>
  <c r="C39" i="11"/>
  <c r="E39" i="11" s="1"/>
  <c r="L16" i="6"/>
  <c r="C31" i="12"/>
  <c r="D30" i="4"/>
  <c r="C38" i="11"/>
  <c r="E38" i="11" s="1"/>
  <c r="L15" i="6"/>
  <c r="C30" i="12"/>
  <c r="D29" i="4"/>
  <c r="I18" i="7"/>
  <c r="J18" i="7" s="1"/>
  <c r="L14" i="6"/>
  <c r="C29" i="12"/>
  <c r="D49" i="4"/>
  <c r="C37" i="11"/>
  <c r="E37" i="11" s="1"/>
  <c r="C28" i="12"/>
  <c r="L13" i="6"/>
  <c r="D48" i="4"/>
  <c r="C36" i="11"/>
  <c r="E36" i="11" s="1"/>
  <c r="L12" i="6"/>
  <c r="C35" i="11"/>
  <c r="E35" i="11" s="1"/>
  <c r="C27" i="12"/>
  <c r="D47" i="4"/>
  <c r="D46" i="4"/>
  <c r="E46" i="4" s="1"/>
  <c r="G46" i="4" s="1"/>
  <c r="L11" i="6"/>
  <c r="C26" i="12"/>
  <c r="C34" i="11"/>
  <c r="E34" i="11" s="1"/>
  <c r="D45" i="4"/>
  <c r="C33" i="11"/>
  <c r="E33" i="11" s="1"/>
  <c r="C25" i="12"/>
  <c r="D44" i="4"/>
  <c r="E44" i="4" s="1"/>
  <c r="G44" i="4" s="1"/>
  <c r="C32" i="11"/>
  <c r="E32" i="11" s="1"/>
  <c r="C24" i="12"/>
  <c r="C31" i="11"/>
  <c r="E31" i="11" s="1"/>
  <c r="D43" i="4"/>
  <c r="E43" i="4" s="1"/>
  <c r="G43" i="4" s="1"/>
  <c r="C23" i="12"/>
  <c r="C22" i="12"/>
  <c r="D53" i="4"/>
  <c r="E53" i="4" s="1"/>
  <c r="G53" i="4" s="1"/>
  <c r="C30" i="11"/>
  <c r="E30" i="11" s="1"/>
  <c r="D52" i="4"/>
  <c r="E52" i="4" s="1"/>
  <c r="G52" i="4" s="1"/>
  <c r="C21" i="12"/>
  <c r="C29" i="11"/>
  <c r="E29" i="11" s="1"/>
  <c r="C28" i="11"/>
  <c r="E28" i="11" s="1"/>
  <c r="C20" i="12"/>
  <c r="D51" i="4"/>
  <c r="E51" i="4" s="1"/>
  <c r="G51" i="4" s="1"/>
  <c r="C19" i="12"/>
  <c r="D50" i="4"/>
  <c r="E50" i="4" s="1"/>
  <c r="G50" i="4" s="1"/>
  <c r="F33" i="3"/>
  <c r="A34" i="3" s="1"/>
  <c r="C27" i="11"/>
  <c r="E27" i="11" s="1"/>
  <c r="E52" i="11"/>
  <c r="C52" i="11"/>
  <c r="C52" i="12"/>
  <c r="M30" i="6" l="1"/>
  <c r="O30" i="6"/>
  <c r="P30" i="6"/>
  <c r="D11" i="11"/>
  <c r="D53" i="12"/>
  <c r="G33" i="7"/>
  <c r="M29" i="6"/>
  <c r="P29" i="6"/>
  <c r="G32" i="7"/>
  <c r="E11" i="11"/>
  <c r="D52" i="11" s="1"/>
  <c r="F52" i="11" s="1"/>
  <c r="D52" i="12"/>
  <c r="D51" i="11"/>
  <c r="F51" i="11" s="1"/>
  <c r="M28" i="6"/>
  <c r="O28" i="6"/>
  <c r="P28" i="6"/>
  <c r="D43" i="12"/>
  <c r="G31" i="7"/>
  <c r="D50" i="11"/>
  <c r="F50" i="11" s="1"/>
  <c r="M27" i="6"/>
  <c r="O27" i="6"/>
  <c r="P27" i="6"/>
  <c r="G30" i="7"/>
  <c r="D49" i="11"/>
  <c r="F49" i="11" s="1"/>
  <c r="M26" i="6"/>
  <c r="O26" i="6"/>
  <c r="P26" i="6"/>
  <c r="G29" i="7"/>
  <c r="D48" i="11"/>
  <c r="F48" i="11" s="1"/>
  <c r="M25" i="6"/>
  <c r="O25" i="6"/>
  <c r="P25" i="6"/>
  <c r="G28" i="7"/>
  <c r="D47" i="11"/>
  <c r="F47" i="11" s="1"/>
  <c r="M24" i="6"/>
  <c r="O24" i="6"/>
  <c r="P24" i="6"/>
  <c r="G27" i="7"/>
  <c r="D46" i="11"/>
  <c r="F46" i="11" s="1"/>
  <c r="M23" i="6"/>
  <c r="O23" i="6"/>
  <c r="P23" i="6"/>
  <c r="G26" i="7"/>
  <c r="D45" i="11"/>
  <c r="F45" i="11" s="1"/>
  <c r="M22" i="6"/>
  <c r="O22" i="6"/>
  <c r="P22" i="6"/>
  <c r="G25" i="7"/>
  <c r="D44" i="11"/>
  <c r="F44" i="11" s="1"/>
  <c r="M21" i="6"/>
  <c r="O21" i="6"/>
  <c r="P21" i="6"/>
  <c r="G24" i="7"/>
  <c r="D43" i="11"/>
  <c r="F43" i="11" s="1"/>
  <c r="M20" i="6"/>
  <c r="O20" i="6"/>
  <c r="P20" i="6"/>
  <c r="G23" i="7"/>
  <c r="D42" i="11"/>
  <c r="F42" i="11" s="1"/>
  <c r="D34" i="12"/>
  <c r="M19" i="6"/>
  <c r="O19" i="6"/>
  <c r="P19" i="6"/>
  <c r="G22" i="7"/>
  <c r="D41" i="11"/>
  <c r="F41" i="11" s="1"/>
  <c r="M18" i="6"/>
  <c r="O18" i="6"/>
  <c r="P18" i="6"/>
  <c r="G21" i="7"/>
  <c r="O17" i="6"/>
  <c r="P17" i="6"/>
  <c r="M17" i="6"/>
  <c r="G20" i="7"/>
  <c r="D40" i="11"/>
  <c r="F40" i="11" s="1"/>
  <c r="D39" i="11"/>
  <c r="F39" i="11" s="1"/>
  <c r="M16" i="6"/>
  <c r="O16" i="6"/>
  <c r="P16" i="6"/>
  <c r="G19" i="7"/>
  <c r="D38" i="11"/>
  <c r="F38" i="11" s="1"/>
  <c r="M15" i="6"/>
  <c r="O15" i="6"/>
  <c r="P15" i="6"/>
  <c r="G18" i="7"/>
  <c r="D37" i="11"/>
  <c r="F37" i="11" s="1"/>
  <c r="O14" i="6"/>
  <c r="P14" i="6"/>
  <c r="M14" i="6"/>
  <c r="G17" i="7"/>
  <c r="D36" i="11"/>
  <c r="F36" i="11" s="1"/>
  <c r="O13" i="6"/>
  <c r="P13" i="6"/>
  <c r="M13" i="6"/>
  <c r="G16" i="7"/>
  <c r="D35" i="11"/>
  <c r="F35" i="11" s="1"/>
  <c r="M12" i="6"/>
  <c r="P12" i="6"/>
  <c r="G15" i="7"/>
  <c r="O12" i="6"/>
  <c r="C6" i="10"/>
  <c r="B7" i="1" s="1"/>
  <c r="C7" i="10"/>
  <c r="D34" i="11"/>
  <c r="F34" i="11" s="1"/>
  <c r="O11" i="6"/>
  <c r="P11" i="6"/>
  <c r="G14" i="7"/>
  <c r="M11" i="6"/>
  <c r="D33" i="11"/>
  <c r="F33" i="11" s="1"/>
  <c r="M10" i="6"/>
  <c r="O10" i="6"/>
  <c r="P10" i="6"/>
  <c r="G13" i="7"/>
  <c r="D32" i="11"/>
  <c r="F32" i="11" s="1"/>
  <c r="M9" i="6"/>
  <c r="O9" i="6"/>
  <c r="P9" i="6"/>
  <c r="G12" i="7"/>
  <c r="M8" i="6"/>
  <c r="O8" i="6"/>
  <c r="P8" i="6"/>
  <c r="G11" i="7"/>
  <c r="D31" i="11"/>
  <c r="F31" i="11" s="1"/>
  <c r="D30" i="11"/>
  <c r="F30" i="11" s="1"/>
  <c r="M7" i="6"/>
  <c r="O7" i="6"/>
  <c r="P7" i="6"/>
  <c r="G10" i="7"/>
  <c r="D29" i="11"/>
  <c r="F29" i="11" s="1"/>
  <c r="M6" i="6"/>
  <c r="O6" i="6"/>
  <c r="P6" i="6"/>
  <c r="G9" i="7"/>
  <c r="D28" i="11"/>
  <c r="F28" i="11" s="1"/>
  <c r="M5" i="6"/>
  <c r="O5" i="6"/>
  <c r="P5" i="6"/>
  <c r="G8" i="7"/>
  <c r="D27" i="11"/>
  <c r="F27" i="11" s="1"/>
  <c r="M4" i="6"/>
  <c r="O4" i="6"/>
  <c r="P4" i="6"/>
  <c r="Q4" i="6" s="1"/>
  <c r="G7" i="7"/>
  <c r="G7" i="1"/>
  <c r="B18" i="1" s="1"/>
  <c r="C40" i="10"/>
  <c r="G29" i="4"/>
  <c r="G54" i="4" s="1"/>
  <c r="E54" i="4"/>
  <c r="F54" i="4" s="1"/>
  <c r="G38" i="11"/>
  <c r="I38" i="11"/>
  <c r="G34" i="11"/>
  <c r="I34" i="11"/>
  <c r="G33" i="11"/>
  <c r="I33" i="11"/>
  <c r="C13" i="1"/>
  <c r="D69" i="4"/>
  <c r="E69" i="4" s="1"/>
  <c r="G47" i="11" l="1"/>
  <c r="I47" i="11"/>
  <c r="G40" i="11"/>
  <c r="I40" i="11"/>
  <c r="G39" i="11"/>
  <c r="I39" i="11"/>
  <c r="G37" i="11"/>
  <c r="I37" i="11"/>
  <c r="G35" i="11"/>
  <c r="I35" i="11"/>
  <c r="G32" i="11"/>
  <c r="I32" i="11"/>
  <c r="G27" i="11"/>
  <c r="I27" i="11"/>
  <c r="E18" i="11"/>
  <c r="E16" i="11"/>
  <c r="E20" i="11"/>
  <c r="E17" i="11"/>
  <c r="E19" i="11"/>
  <c r="E21" i="11"/>
  <c r="C4" i="12"/>
  <c r="F12" i="12"/>
  <c r="N33" i="7"/>
  <c r="W33" i="7" s="1"/>
  <c r="X33" i="7" s="1"/>
  <c r="K33" i="7"/>
  <c r="O33" i="7"/>
  <c r="L33" i="7"/>
  <c r="M33" i="7"/>
  <c r="P33" i="7"/>
  <c r="H33" i="7"/>
  <c r="P32" i="7"/>
  <c r="M32" i="7"/>
  <c r="L32" i="7"/>
  <c r="K32" i="7"/>
  <c r="N32" i="7"/>
  <c r="W32" i="7" s="1"/>
  <c r="X32" i="7" s="1"/>
  <c r="O32" i="7"/>
  <c r="H32" i="7"/>
  <c r="K31" i="7"/>
  <c r="L31" i="7"/>
  <c r="O31" i="7"/>
  <c r="P31" i="7"/>
  <c r="M31" i="7"/>
  <c r="N31" i="7"/>
  <c r="W31" i="7" s="1"/>
  <c r="X31" i="7" s="1"/>
  <c r="H31" i="7"/>
  <c r="H30" i="7"/>
  <c r="N30" i="7"/>
  <c r="W30" i="7" s="1"/>
  <c r="X30" i="7" s="1"/>
  <c r="K30" i="7"/>
  <c r="O30" i="7"/>
  <c r="M30" i="7"/>
  <c r="L30" i="7"/>
  <c r="P30" i="7"/>
  <c r="K29" i="7"/>
  <c r="L29" i="7"/>
  <c r="M29" i="7"/>
  <c r="N29" i="7"/>
  <c r="W29" i="7" s="1"/>
  <c r="X29" i="7" s="1"/>
  <c r="O29" i="7"/>
  <c r="P29" i="7"/>
  <c r="H29" i="7"/>
  <c r="L28" i="7"/>
  <c r="N28" i="7"/>
  <c r="W28" i="7" s="1"/>
  <c r="X28" i="7" s="1"/>
  <c r="P28" i="7"/>
  <c r="K28" i="7"/>
  <c r="M28" i="7"/>
  <c r="O28" i="7"/>
  <c r="H28" i="7"/>
  <c r="K27" i="7"/>
  <c r="M27" i="7"/>
  <c r="O27" i="7"/>
  <c r="L27" i="7"/>
  <c r="N27" i="7"/>
  <c r="W27" i="7" s="1"/>
  <c r="X27" i="7" s="1"/>
  <c r="P27" i="7"/>
  <c r="H27" i="7"/>
  <c r="N26" i="7"/>
  <c r="W26" i="7" s="1"/>
  <c r="X26" i="7" s="1"/>
  <c r="O26" i="7"/>
  <c r="P26" i="7"/>
  <c r="L26" i="7"/>
  <c r="H26" i="7"/>
  <c r="K26" i="7"/>
  <c r="M26" i="7"/>
  <c r="K25" i="7"/>
  <c r="M25" i="7"/>
  <c r="O25" i="7"/>
  <c r="P25" i="7"/>
  <c r="L25" i="7"/>
  <c r="N25" i="7"/>
  <c r="W25" i="7" s="1"/>
  <c r="X25" i="7" s="1"/>
  <c r="H25" i="7"/>
  <c r="K24" i="7"/>
  <c r="L24" i="7"/>
  <c r="M24" i="7"/>
  <c r="N24" i="7"/>
  <c r="W24" i="7" s="1"/>
  <c r="X24" i="7" s="1"/>
  <c r="O24" i="7"/>
  <c r="P24" i="7"/>
  <c r="H24" i="7"/>
  <c r="K23" i="7"/>
  <c r="L23" i="7"/>
  <c r="M23" i="7"/>
  <c r="N23" i="7"/>
  <c r="W23" i="7" s="1"/>
  <c r="X23" i="7" s="1"/>
  <c r="O23" i="7"/>
  <c r="P23" i="7"/>
  <c r="H23" i="7"/>
  <c r="H22" i="7"/>
  <c r="K22" i="7"/>
  <c r="L22" i="7"/>
  <c r="M22" i="7"/>
  <c r="N22" i="7"/>
  <c r="W22" i="7" s="1"/>
  <c r="X22" i="7" s="1"/>
  <c r="O22" i="7"/>
  <c r="P22" i="7"/>
  <c r="K21" i="7"/>
  <c r="L21" i="7"/>
  <c r="N21" i="7"/>
  <c r="W21" i="7" s="1"/>
  <c r="X21" i="7" s="1"/>
  <c r="O21" i="7"/>
  <c r="P21" i="7"/>
  <c r="M21" i="7"/>
  <c r="H21" i="7"/>
  <c r="K20" i="7"/>
  <c r="L20" i="7"/>
  <c r="M20" i="7"/>
  <c r="N20" i="7"/>
  <c r="W20" i="7" s="1"/>
  <c r="X20" i="7" s="1"/>
  <c r="O20" i="7"/>
  <c r="P20" i="7"/>
  <c r="H20" i="7"/>
  <c r="M19" i="7"/>
  <c r="L19" i="7"/>
  <c r="O19" i="7"/>
  <c r="K19" i="7"/>
  <c r="N19" i="7"/>
  <c r="W19" i="7" s="1"/>
  <c r="X19" i="7" s="1"/>
  <c r="P19" i="7"/>
  <c r="H19" i="7"/>
  <c r="H18" i="7"/>
  <c r="K18" i="7"/>
  <c r="L18" i="7"/>
  <c r="M18" i="7"/>
  <c r="N18" i="7"/>
  <c r="W18" i="7" s="1"/>
  <c r="X18" i="7" s="1"/>
  <c r="O18" i="7"/>
  <c r="P18" i="7"/>
  <c r="P17" i="7"/>
  <c r="N17" i="7"/>
  <c r="W17" i="7" s="1"/>
  <c r="X17" i="7" s="1"/>
  <c r="O17" i="7"/>
  <c r="M17" i="7"/>
  <c r="L17" i="7"/>
  <c r="K17" i="7"/>
  <c r="H17" i="7"/>
  <c r="K16" i="7"/>
  <c r="L16" i="7"/>
  <c r="M16" i="7"/>
  <c r="O16" i="7"/>
  <c r="N16" i="7"/>
  <c r="W16" i="7" s="1"/>
  <c r="X16" i="7" s="1"/>
  <c r="P16" i="7"/>
  <c r="H16" i="7"/>
  <c r="K15" i="7"/>
  <c r="L15" i="7"/>
  <c r="M15" i="7"/>
  <c r="N15" i="7"/>
  <c r="W15" i="7" s="1"/>
  <c r="X15" i="7" s="1"/>
  <c r="O15" i="7"/>
  <c r="P15" i="7"/>
  <c r="H15" i="7"/>
  <c r="C12" i="10"/>
  <c r="C16" i="10"/>
  <c r="N14" i="7"/>
  <c r="W14" i="7" s="1"/>
  <c r="X14" i="7" s="1"/>
  <c r="O14" i="7"/>
  <c r="P14" i="7"/>
  <c r="L14" i="7"/>
  <c r="K14" i="7"/>
  <c r="M14" i="7"/>
  <c r="H14" i="7"/>
  <c r="O13" i="7"/>
  <c r="N13" i="7"/>
  <c r="W13" i="7" s="1"/>
  <c r="X13" i="7" s="1"/>
  <c r="M13" i="7"/>
  <c r="L13" i="7"/>
  <c r="K13" i="7"/>
  <c r="P13" i="7"/>
  <c r="H13" i="7"/>
  <c r="N12" i="7"/>
  <c r="W12" i="7" s="1"/>
  <c r="X12" i="7" s="1"/>
  <c r="K12" i="7"/>
  <c r="M12" i="7"/>
  <c r="P12" i="7"/>
  <c r="O12" i="7"/>
  <c r="L12" i="7"/>
  <c r="H12" i="7"/>
  <c r="K11" i="7"/>
  <c r="L11" i="7"/>
  <c r="N11" i="7"/>
  <c r="W11" i="7" s="1"/>
  <c r="X11" i="7" s="1"/>
  <c r="O11" i="7"/>
  <c r="P11" i="7"/>
  <c r="M11" i="7"/>
  <c r="H11" i="7"/>
  <c r="L10" i="7"/>
  <c r="N10" i="7"/>
  <c r="W10" i="7" s="1"/>
  <c r="X10" i="7" s="1"/>
  <c r="K10" i="7"/>
  <c r="P10" i="7"/>
  <c r="O10" i="7"/>
  <c r="M10" i="7"/>
  <c r="H10" i="7"/>
  <c r="M9" i="7"/>
  <c r="P9" i="7"/>
  <c r="L9" i="7"/>
  <c r="O9" i="7"/>
  <c r="K9" i="7"/>
  <c r="N9" i="7"/>
  <c r="W9" i="7" s="1"/>
  <c r="X9" i="7" s="1"/>
  <c r="H9" i="7"/>
  <c r="K8" i="7"/>
  <c r="M8" i="7"/>
  <c r="N8" i="7"/>
  <c r="W8" i="7" s="1"/>
  <c r="X8" i="7" s="1"/>
  <c r="O8" i="7"/>
  <c r="P8" i="7"/>
  <c r="L8" i="7"/>
  <c r="H8" i="7"/>
  <c r="K7" i="7"/>
  <c r="L7" i="7"/>
  <c r="M7" i="7"/>
  <c r="N7" i="7"/>
  <c r="O7" i="7"/>
  <c r="P7" i="7"/>
  <c r="H7" i="7"/>
  <c r="C41" i="10"/>
  <c r="C7" i="1"/>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I52" i="11"/>
  <c r="G52" i="11"/>
  <c r="G51" i="11"/>
  <c r="I51" i="11"/>
  <c r="I50" i="11"/>
  <c r="G50" i="11"/>
  <c r="I49" i="11"/>
  <c r="G49" i="11"/>
  <c r="G48" i="11"/>
  <c r="I48" i="11"/>
  <c r="G46" i="11"/>
  <c r="I46" i="11"/>
  <c r="G45" i="11"/>
  <c r="I45" i="11"/>
  <c r="I44" i="11"/>
  <c r="G44" i="11"/>
  <c r="G43" i="11"/>
  <c r="I43" i="11"/>
  <c r="G42" i="11"/>
  <c r="I42" i="11"/>
  <c r="G41" i="11"/>
  <c r="I41" i="11"/>
  <c r="G36" i="11"/>
  <c r="I36" i="11"/>
  <c r="G31" i="11"/>
  <c r="I31" i="11"/>
  <c r="G30" i="11"/>
  <c r="I30" i="11"/>
  <c r="G29" i="11"/>
  <c r="I29" i="11"/>
  <c r="G28" i="11"/>
  <c r="I28" i="11"/>
  <c r="B11" i="11"/>
  <c r="F11" i="11"/>
  <c r="B12" i="12" l="1"/>
  <c r="C12" i="12"/>
  <c r="E53" i="12" s="1"/>
  <c r="F53" i="12" s="1"/>
  <c r="H53" i="12" s="1"/>
  <c r="C4" i="14"/>
  <c r="A14" i="12"/>
  <c r="T33" i="7"/>
  <c r="Q33" i="7"/>
  <c r="V33" i="7"/>
  <c r="U33" i="7"/>
  <c r="R33" i="7"/>
  <c r="S33" i="7"/>
  <c r="V32" i="7"/>
  <c r="R32" i="7"/>
  <c r="U32" i="7"/>
  <c r="S32" i="7"/>
  <c r="Q32" i="7"/>
  <c r="T32" i="7"/>
  <c r="S31" i="7"/>
  <c r="R31" i="7"/>
  <c r="Q31" i="7"/>
  <c r="T31" i="7"/>
  <c r="U31" i="7"/>
  <c r="V31" i="7"/>
  <c r="T30" i="7"/>
  <c r="U30" i="7"/>
  <c r="Q30" i="7"/>
  <c r="V30" i="7"/>
  <c r="R30" i="7"/>
  <c r="S30" i="7"/>
  <c r="R29" i="7"/>
  <c r="S29" i="7"/>
  <c r="T29" i="7"/>
  <c r="U29" i="7"/>
  <c r="V29" i="7"/>
  <c r="Q29" i="7"/>
  <c r="R28" i="7"/>
  <c r="S28" i="7"/>
  <c r="U28" i="7"/>
  <c r="V28" i="7"/>
  <c r="Q28" i="7"/>
  <c r="T28" i="7"/>
  <c r="Q27" i="7"/>
  <c r="R27" i="7"/>
  <c r="S27" i="7"/>
  <c r="T27" i="7"/>
  <c r="U27" i="7"/>
  <c r="V27" i="7"/>
  <c r="Q26" i="7"/>
  <c r="R26" i="7"/>
  <c r="S26" i="7"/>
  <c r="T26" i="7"/>
  <c r="U26" i="7"/>
  <c r="V26" i="7"/>
  <c r="Q25" i="7"/>
  <c r="R25" i="7"/>
  <c r="S25" i="7"/>
  <c r="T25" i="7"/>
  <c r="U25" i="7"/>
  <c r="V25" i="7"/>
  <c r="Q24" i="7"/>
  <c r="R24" i="7"/>
  <c r="S24" i="7"/>
  <c r="T24" i="7"/>
  <c r="U24" i="7"/>
  <c r="V24" i="7"/>
  <c r="Q23" i="7"/>
  <c r="R23" i="7"/>
  <c r="S23" i="7"/>
  <c r="T23" i="7"/>
  <c r="U23" i="7"/>
  <c r="V23" i="7"/>
  <c r="Q22" i="7"/>
  <c r="R22" i="7"/>
  <c r="S22" i="7"/>
  <c r="T22" i="7"/>
  <c r="U22" i="7"/>
  <c r="V22" i="7"/>
  <c r="Q21" i="7"/>
  <c r="R21" i="7"/>
  <c r="S21" i="7"/>
  <c r="T21" i="7"/>
  <c r="U21" i="7"/>
  <c r="V21" i="7"/>
  <c r="V20" i="7"/>
  <c r="R20" i="7"/>
  <c r="T20" i="7"/>
  <c r="Q20" i="7"/>
  <c r="S20" i="7"/>
  <c r="U20" i="7"/>
  <c r="U19" i="7"/>
  <c r="S19" i="7"/>
  <c r="T19" i="7"/>
  <c r="Q19" i="7"/>
  <c r="V19" i="7"/>
  <c r="R19" i="7"/>
  <c r="Q18" i="7"/>
  <c r="R18" i="7"/>
  <c r="S18" i="7"/>
  <c r="T18" i="7"/>
  <c r="U18" i="7"/>
  <c r="V18" i="7"/>
  <c r="U17" i="7"/>
  <c r="R17" i="7"/>
  <c r="T17" i="7"/>
  <c r="Q17" i="7"/>
  <c r="V17" i="7"/>
  <c r="S17" i="7"/>
  <c r="R16" i="7"/>
  <c r="U16" i="7"/>
  <c r="Q16" i="7"/>
  <c r="S16" i="7"/>
  <c r="V16" i="7"/>
  <c r="T16" i="7"/>
  <c r="Q15" i="7"/>
  <c r="S15" i="7"/>
  <c r="T15" i="7"/>
  <c r="U15" i="7"/>
  <c r="V15" i="7"/>
  <c r="R15" i="7"/>
  <c r="D7" i="1"/>
  <c r="B14" i="13"/>
  <c r="E14" i="13" s="1"/>
  <c r="B13" i="13"/>
  <c r="E13" i="13" s="1"/>
  <c r="B12" i="13"/>
  <c r="E12" i="13" s="1"/>
  <c r="H37" i="10"/>
  <c r="I37" i="10" s="1"/>
  <c r="H34" i="10"/>
  <c r="I34" i="10" s="1"/>
  <c r="H35" i="10"/>
  <c r="I35" i="10" s="1"/>
  <c r="H33" i="10"/>
  <c r="I33" i="10" s="1"/>
  <c r="H30" i="10"/>
  <c r="I30" i="10" s="1"/>
  <c r="H32" i="10"/>
  <c r="I32" i="10" s="1"/>
  <c r="H36" i="10"/>
  <c r="I36" i="10" s="1"/>
  <c r="H31" i="10"/>
  <c r="I31" i="10" s="1"/>
  <c r="G20" i="11"/>
  <c r="G19" i="11"/>
  <c r="G21" i="11"/>
  <c r="G18" i="11"/>
  <c r="G17" i="11"/>
  <c r="C24" i="4"/>
  <c r="G16" i="11"/>
  <c r="T14" i="7"/>
  <c r="V14" i="7"/>
  <c r="U14" i="7"/>
  <c r="S14" i="7"/>
  <c r="R14" i="7"/>
  <c r="Q14" i="7"/>
  <c r="U13" i="7"/>
  <c r="T13" i="7"/>
  <c r="S13" i="7"/>
  <c r="R13" i="7"/>
  <c r="Q13" i="7"/>
  <c r="V13" i="7"/>
  <c r="Q12" i="7"/>
  <c r="V12" i="7"/>
  <c r="R12" i="7"/>
  <c r="S12" i="7"/>
  <c r="T12" i="7"/>
  <c r="U12" i="7"/>
  <c r="R11" i="7"/>
  <c r="S11" i="7"/>
  <c r="T11" i="7"/>
  <c r="V11" i="7"/>
  <c r="U11" i="7"/>
  <c r="Q11" i="7"/>
  <c r="U10" i="7"/>
  <c r="R10" i="7"/>
  <c r="T10" i="7"/>
  <c r="S10" i="7"/>
  <c r="V10" i="7"/>
  <c r="Q10" i="7"/>
  <c r="Q9" i="7"/>
  <c r="V9" i="7"/>
  <c r="U9" i="7"/>
  <c r="S9" i="7"/>
  <c r="R9" i="7"/>
  <c r="T9" i="7"/>
  <c r="Q8" i="7"/>
  <c r="V8" i="7"/>
  <c r="R8" i="7"/>
  <c r="U8" i="7"/>
  <c r="S8" i="7"/>
  <c r="T8" i="7"/>
  <c r="E4" i="7"/>
  <c r="W7" i="7"/>
  <c r="X7" i="7" s="1"/>
  <c r="V7" i="7"/>
  <c r="Q7" i="7"/>
  <c r="R7" i="7"/>
  <c r="S7" i="7"/>
  <c r="U7" i="7"/>
  <c r="T7" i="7"/>
  <c r="D12" i="12"/>
  <c r="C11" i="11"/>
  <c r="I12" i="12"/>
  <c r="A22" i="11"/>
  <c r="D4" i="7"/>
  <c r="F4" i="7"/>
  <c r="B4" i="7"/>
  <c r="C4" i="7"/>
  <c r="G4" i="7"/>
  <c r="E35" i="12" l="1"/>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E20" i="12"/>
  <c r="F20" i="12" s="1"/>
  <c r="H20" i="12" s="1"/>
  <c r="E21" i="12"/>
  <c r="F21" i="12" s="1"/>
  <c r="H21" i="12" s="1"/>
  <c r="E23" i="12"/>
  <c r="F23" i="12" s="1"/>
  <c r="H23" i="12" s="1"/>
  <c r="E24" i="12"/>
  <c r="F24" i="12" s="1"/>
  <c r="H24" i="12" s="1"/>
  <c r="E25" i="12"/>
  <c r="F25" i="12" s="1"/>
  <c r="H25" i="12" s="1"/>
  <c r="E19" i="12"/>
  <c r="F19" i="12" s="1"/>
  <c r="H19" i="12" s="1"/>
  <c r="E22" i="12"/>
  <c r="F22" i="12" s="1"/>
  <c r="H22" i="12" s="1"/>
  <c r="E26" i="12"/>
  <c r="F26" i="12" s="1"/>
  <c r="H26" i="12" s="1"/>
  <c r="E27" i="12"/>
  <c r="F27" i="12" s="1"/>
  <c r="H27" i="12" s="1"/>
  <c r="E28" i="12"/>
  <c r="F28" i="12" s="1"/>
  <c r="H28" i="12" s="1"/>
  <c r="E29" i="12"/>
  <c r="F29" i="12" s="1"/>
  <c r="H29" i="12" s="1"/>
  <c r="E30" i="12"/>
  <c r="F30" i="12" s="1"/>
  <c r="H30" i="12" s="1"/>
  <c r="E31" i="12"/>
  <c r="F31" i="12" s="1"/>
  <c r="H31" i="12" s="1"/>
  <c r="E32" i="12"/>
  <c r="F32" i="12" s="1"/>
  <c r="H32" i="12" s="1"/>
  <c r="E33" i="12"/>
  <c r="F33" i="12" s="1"/>
  <c r="H33" i="12" s="1"/>
  <c r="E34" i="12"/>
  <c r="F34" i="12" s="1"/>
  <c r="H34" i="12" s="1"/>
  <c r="I53" i="12"/>
  <c r="J53" i="12"/>
  <c r="K53" i="12"/>
  <c r="C5" i="14"/>
  <c r="B19" i="14" s="1"/>
  <c r="F14" i="13"/>
  <c r="B14" i="14"/>
  <c r="F13" i="13"/>
  <c r="B18" i="13"/>
  <c r="C18" i="13"/>
  <c r="D18" i="13"/>
  <c r="E18" i="13"/>
  <c r="F18" i="13"/>
  <c r="C23" i="13"/>
  <c r="C25" i="13"/>
  <c r="B13" i="14"/>
  <c r="F18" i="14"/>
  <c r="F19" i="14"/>
  <c r="F20" i="14"/>
  <c r="F12" i="13"/>
  <c r="B12" i="14"/>
  <c r="C14" i="1"/>
  <c r="C25" i="4"/>
  <c r="C15" i="1" s="1"/>
  <c r="D17" i="11"/>
  <c r="D20" i="11"/>
  <c r="D18" i="11"/>
  <c r="D21" i="11"/>
  <c r="D16" i="11"/>
  <c r="D19" i="11"/>
  <c r="E12" i="12"/>
  <c r="G5" i="7"/>
  <c r="B5" i="7"/>
  <c r="C5" i="7"/>
  <c r="D5" i="7"/>
  <c r="F5" i="7"/>
  <c r="E5" i="7"/>
  <c r="I35" i="12" l="1"/>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52" i="12"/>
  <c r="J52" i="12"/>
  <c r="K52" i="12"/>
  <c r="K20" i="12"/>
  <c r="I20" i="12"/>
  <c r="J20" i="12"/>
  <c r="I21" i="12"/>
  <c r="J21" i="12"/>
  <c r="K21" i="12"/>
  <c r="J23" i="12"/>
  <c r="K23" i="12"/>
  <c r="I23" i="12"/>
  <c r="I24" i="12"/>
  <c r="J24" i="12"/>
  <c r="K24" i="12"/>
  <c r="I25" i="12"/>
  <c r="J25" i="12"/>
  <c r="K25" i="12"/>
  <c r="J19" i="12"/>
  <c r="K19" i="12"/>
  <c r="I19" i="12"/>
  <c r="I22" i="12"/>
  <c r="J22" i="12"/>
  <c r="K22" i="12"/>
  <c r="I26" i="12"/>
  <c r="J26" i="12"/>
  <c r="K26" i="12"/>
  <c r="I27" i="12"/>
  <c r="J27" i="12"/>
  <c r="K27" i="12"/>
  <c r="G12" i="12"/>
  <c r="I28" i="12"/>
  <c r="J28" i="12"/>
  <c r="K28" i="12"/>
  <c r="I29" i="12"/>
  <c r="J29" i="12"/>
  <c r="K29" i="12"/>
  <c r="I30" i="12"/>
  <c r="J30" i="12"/>
  <c r="K30" i="12"/>
  <c r="I31" i="12"/>
  <c r="J31" i="12"/>
  <c r="K31" i="12"/>
  <c r="I32" i="12"/>
  <c r="J32" i="12"/>
  <c r="K32" i="12"/>
  <c r="I33" i="12"/>
  <c r="J33" i="12"/>
  <c r="K33" i="12"/>
  <c r="I34" i="12"/>
  <c r="J34" i="12"/>
  <c r="K34" i="12"/>
  <c r="G14" i="13"/>
  <c r="H14" i="13"/>
  <c r="I14" i="13"/>
  <c r="C14" i="14"/>
  <c r="D14" i="14" s="1"/>
  <c r="G13" i="13"/>
  <c r="H13" i="13"/>
  <c r="I13" i="13"/>
  <c r="C22" i="13"/>
  <c r="C24" i="13"/>
  <c r="C13" i="14"/>
  <c r="D13" i="14" s="1"/>
  <c r="G12" i="13"/>
  <c r="H12" i="13"/>
  <c r="I12" i="13"/>
  <c r="C12" i="14"/>
  <c r="D12" i="14" s="1"/>
  <c r="I17" i="11"/>
  <c r="F17" i="11"/>
  <c r="H17" i="11" s="1"/>
  <c r="I20" i="11"/>
  <c r="F20" i="11"/>
  <c r="H20" i="11" s="1"/>
  <c r="I18" i="11"/>
  <c r="F18" i="11"/>
  <c r="H18" i="11" s="1"/>
  <c r="I21" i="11"/>
  <c r="F21" i="11"/>
  <c r="H21" i="11" s="1"/>
  <c r="I16" i="11"/>
  <c r="F16" i="11"/>
  <c r="H16" i="11" s="1"/>
  <c r="I19" i="11"/>
  <c r="F19" i="11"/>
  <c r="H19" i="11" s="1"/>
  <c r="E19" i="14"/>
  <c r="G19" i="14" s="1"/>
  <c r="B20" i="14"/>
  <c r="B18" i="14" s="1"/>
  <c r="E14" i="14" l="1"/>
  <c r="F14" i="14"/>
  <c r="G14" i="14"/>
  <c r="E13" i="14"/>
  <c r="F13" i="14"/>
  <c r="G13" i="14" s="1"/>
  <c r="C18" i="14"/>
  <c r="E18" i="14" s="1"/>
  <c r="G18" i="14" s="1"/>
  <c r="C20" i="14"/>
  <c r="E20" i="14" s="1"/>
  <c r="G20" i="14" s="1"/>
  <c r="E12" i="14"/>
  <c r="F12" i="14"/>
  <c r="G12" i="14"/>
  <c r="H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<sst xmlns="http://schemas.openxmlformats.org/spreadsheetml/2006/main" count="842" uniqueCount="547">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</sst>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6" fillId="3" borderId="3" xfId="0" applyFont="1" applyFill="1" applyBorder="1" applyAlignment="1" applyProtection="1">
      <alignment horizontal="center" vertical="center"/>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41.564353833049331</v>
      </c>
      <c r="D14" s="89"/>
      <c r="E14" s="90" t="s">
        <v>19</v>
      </c>
      <c r="F14" s="89"/>
      <c r="G14" s="8">
        <f>AlcoholUsedG</f>
        <v>0</v>
      </c>
    </row>
    <row r="15" spans="1:7" x14ac:dyDescent="0.35">
      <c r="A15" s="1"/>
      <c r="B15" s="6" t="s">
        <v>20</v>
      </c>
      <c r="C15" s="91">
        <f>CostPerMl</f>
        <v>0.83128707666098667</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11.9</v>
      </c>
      <c r="D23" s="94" t="s">
        <v>164</v>
      </c>
      <c r="E23" s="89"/>
      <c r="F23" s="89"/>
      <c r="G23" s="89"/>
      <c r="H23" s="89"/>
    </row>
    <row r="24" spans="1:8" x14ac:dyDescent="0.35">
      <c r="A24" s="104" t="s">
        <v>165</v>
      </c>
      <c r="B24" s="89"/>
      <c r="C24" s="46">
        <f>ConcG*ConcCostPerGLoaded+SUMPRODUCT(AuxGrams,AuxCostPerG)</f>
        <v>41.564353833049331</v>
      </c>
      <c r="D24" s="94" t="s">
        <v>166</v>
      </c>
      <c r="E24" s="89"/>
      <c r="F24" s="89"/>
      <c r="G24" s="89"/>
      <c r="H24" s="89"/>
    </row>
    <row r="25" spans="1:8" x14ac:dyDescent="0.35">
      <c r="A25" s="104" t="s">
        <v>20</v>
      </c>
      <c r="B25" s="89"/>
      <c r="C25" s="46">
        <f>IF(BatchVolMl=0,"",BatchCostSAR/BatchVolMl)</f>
        <v>0.83128707666098667</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12" t="s">
        <v>88</v>
      </c>
      <c r="C30" s="111"/>
      <c r="D30" s="22">
        <f t="shared" si="0"/>
        <v>2.5000000000000001E-2</v>
      </c>
      <c r="E30" s="10">
        <f t="shared" si="1"/>
        <v>0.29750000000000004</v>
      </c>
      <c r="F30" s="18" t="str">
        <f t="shared" si="2"/>
        <v>neat</v>
      </c>
      <c r="G30" s="47">
        <f t="shared" si="3"/>
        <v>0.29750000000000004</v>
      </c>
      <c r="H30" s="19"/>
    </row>
    <row r="31" spans="1:8" x14ac:dyDescent="0.35">
      <c r="A31" s="18" t="s">
        <v>85</v>
      </c>
      <c r="B31" s="112" t="s">
        <v>90</v>
      </c>
      <c r="C31" s="111"/>
      <c r="D31" s="22">
        <f t="shared" si="0"/>
        <v>0.02</v>
      </c>
      <c r="E31" s="10">
        <f t="shared" si="1"/>
        <v>0.23800000000000002</v>
      </c>
      <c r="F31" s="18" t="str">
        <f t="shared" si="2"/>
        <v>10% in DPG</v>
      </c>
      <c r="G31" s="47">
        <f t="shared" si="3"/>
        <v>2.3800000000000002E-2</v>
      </c>
      <c r="H31" s="19"/>
    </row>
    <row r="32" spans="1:8" x14ac:dyDescent="0.35">
      <c r="A32" s="18" t="s">
        <v>85</v>
      </c>
      <c r="B32" s="112" t="s">
        <v>92</v>
      </c>
      <c r="C32" s="111"/>
      <c r="D32" s="22">
        <f t="shared" si="0"/>
        <v>0.05</v>
      </c>
      <c r="E32" s="10">
        <f t="shared" si="1"/>
        <v>0.59500000000000008</v>
      </c>
      <c r="F32" s="18" t="str">
        <f t="shared" si="2"/>
        <v>neat</v>
      </c>
      <c r="G32" s="47">
        <f t="shared" si="3"/>
        <v>0.59500000000000008</v>
      </c>
      <c r="H32" s="19"/>
    </row>
    <row r="33" spans="1:8" x14ac:dyDescent="0.35">
      <c r="A33" s="18" t="s">
        <v>85</v>
      </c>
      <c r="B33" s="112" t="s">
        <v>94</v>
      </c>
      <c r="C33" s="111"/>
      <c r="D33" s="22">
        <f t="shared" si="0"/>
        <v>2.5000000000000001E-2</v>
      </c>
      <c r="E33" s="10">
        <f t="shared" si="1"/>
        <v>0.29750000000000004</v>
      </c>
      <c r="F33" s="18" t="str">
        <f t="shared" si="2"/>
        <v>neat</v>
      </c>
      <c r="G33" s="47">
        <f t="shared" si="3"/>
        <v>0.29750000000000004</v>
      </c>
      <c r="H33" s="19"/>
    </row>
    <row r="34" spans="1:8" x14ac:dyDescent="0.35">
      <c r="A34" s="18" t="s">
        <v>85</v>
      </c>
      <c r="B34" s="112" t="s">
        <v>96</v>
      </c>
      <c r="C34" s="111"/>
      <c r="D34" s="22">
        <f t="shared" si="0"/>
        <v>1.4999999999999999E-2</v>
      </c>
      <c r="E34" s="10">
        <f t="shared" si="1"/>
        <v>0.17849999999999999</v>
      </c>
      <c r="F34" s="18" t="str">
        <f t="shared" si="2"/>
        <v>10% in DPG</v>
      </c>
      <c r="G34" s="47">
        <f t="shared" si="3"/>
        <v>1.7850000000000001E-2</v>
      </c>
      <c r="H34" s="19"/>
    </row>
    <row r="35" spans="1:8" x14ac:dyDescent="0.35">
      <c r="A35" s="18" t="s">
        <v>85</v>
      </c>
      <c r="B35" s="112" t="s">
        <v>98</v>
      </c>
      <c r="C35" s="111"/>
      <c r="D35" s="22">
        <f t="shared" si="0"/>
        <v>7.4999999999999997E-2</v>
      </c>
      <c r="E35" s="10">
        <f t="shared" si="1"/>
        <v>0.89249999999999996</v>
      </c>
      <c r="F35" s="18" t="str">
        <f t="shared" si="2"/>
        <v>neat</v>
      </c>
      <c r="G35" s="47">
        <f t="shared" si="3"/>
        <v>0.89249999999999996</v>
      </c>
      <c r="H35" s="19"/>
    </row>
    <row r="36" spans="1:8" x14ac:dyDescent="0.35">
      <c r="A36" s="18" t="s">
        <v>85</v>
      </c>
      <c r="B36" s="112" t="s">
        <v>100</v>
      </c>
      <c r="C36" s="111"/>
      <c r="D36" s="22">
        <f t="shared" si="0"/>
        <v>9.5000000000000001E-2</v>
      </c>
      <c r="E36" s="10">
        <f t="shared" si="1"/>
        <v>1.1305000000000001</v>
      </c>
      <c r="F36" s="18" t="str">
        <f t="shared" si="2"/>
        <v>neat</v>
      </c>
      <c r="G36" s="47">
        <f t="shared" si="3"/>
        <v>1.1305000000000001</v>
      </c>
      <c r="H36" s="19"/>
    </row>
    <row r="37" spans="1:8" x14ac:dyDescent="0.35">
      <c r="A37" s="18" t="s">
        <v>85</v>
      </c>
      <c r="B37" s="112" t="s">
        <v>102</v>
      </c>
      <c r="C37" s="111"/>
      <c r="D37" s="22">
        <f t="shared" si="0"/>
        <v>0.03</v>
      </c>
      <c r="E37" s="10">
        <f t="shared" si="1"/>
        <v>0.35699999999999998</v>
      </c>
      <c r="F37" s="18" t="str">
        <f t="shared" si="2"/>
        <v>neat</v>
      </c>
      <c r="G37" s="47">
        <f t="shared" si="3"/>
        <v>0.35699999999999998</v>
      </c>
      <c r="H37" s="19"/>
    </row>
    <row r="38" spans="1:8" x14ac:dyDescent="0.35">
      <c r="A38" s="18" t="s">
        <v>85</v>
      </c>
      <c r="B38" s="112" t="s">
        <v>104</v>
      </c>
      <c r="C38" s="111"/>
      <c r="D38" s="22">
        <f t="shared" si="0"/>
        <v>3.5000000000000003E-2</v>
      </c>
      <c r="E38" s="10">
        <f t="shared" si="1"/>
        <v>0.41650000000000004</v>
      </c>
      <c r="F38" s="18" t="str">
        <f t="shared" si="2"/>
        <v>neat</v>
      </c>
      <c r="G38" s="47">
        <f t="shared" si="3"/>
        <v>0.41650000000000004</v>
      </c>
      <c r="H38" s="19"/>
    </row>
    <row r="39" spans="1:8" x14ac:dyDescent="0.35">
      <c r="A39" s="18" t="s">
        <v>85</v>
      </c>
      <c r="B39" s="112" t="s">
        <v>106</v>
      </c>
      <c r="C39" s="111"/>
      <c r="D39" s="22">
        <f t="shared" si="0"/>
        <v>7.4999999999999997E-2</v>
      </c>
      <c r="E39" s="10">
        <f t="shared" si="1"/>
        <v>0.89249999999999996</v>
      </c>
      <c r="F39" s="18" t="str">
        <f t="shared" si="2"/>
        <v>neat</v>
      </c>
      <c r="G39" s="47">
        <f t="shared" si="3"/>
        <v>0.89249999999999996</v>
      </c>
      <c r="H39" s="19"/>
    </row>
    <row r="40" spans="1:8" x14ac:dyDescent="0.35">
      <c r="A40" s="18" t="s">
        <v>85</v>
      </c>
      <c r="B40" s="112" t="s">
        <v>108</v>
      </c>
      <c r="C40" s="111"/>
      <c r="D40" s="22">
        <f t="shared" si="0"/>
        <v>5.5E-2</v>
      </c>
      <c r="E40" s="10">
        <f t="shared" si="1"/>
        <v>0.65449999999999997</v>
      </c>
      <c r="F40" s="18" t="str">
        <f t="shared" si="2"/>
        <v>neat</v>
      </c>
      <c r="G40" s="47">
        <f t="shared" si="3"/>
        <v>0.65449999999999997</v>
      </c>
      <c r="H40" s="19"/>
    </row>
    <row r="41" spans="1:8" x14ac:dyDescent="0.35">
      <c r="A41" s="18" t="s">
        <v>85</v>
      </c>
      <c r="B41" s="112" t="s">
        <v>110</v>
      </c>
      <c r="C41" s="111"/>
      <c r="D41" s="22">
        <f t="shared" si="0"/>
        <v>2.5000000000000001E-2</v>
      </c>
      <c r="E41" s="10">
        <f t="shared" si="1"/>
        <v>0.29750000000000004</v>
      </c>
      <c r="F41" s="18" t="str">
        <f t="shared" si="2"/>
        <v>neat</v>
      </c>
      <c r="G41" s="47">
        <f t="shared" si="3"/>
        <v>0.29750000000000004</v>
      </c>
      <c r="H41" s="19"/>
    </row>
    <row r="42" spans="1:8" x14ac:dyDescent="0.35">
      <c r="A42" s="18" t="s">
        <v>85</v>
      </c>
      <c r="B42" s="112" t="s">
        <v>112</v>
      </c>
      <c r="C42" s="111"/>
      <c r="D42" s="22">
        <f t="shared" si="0"/>
        <v>5.0000000000000001E-3</v>
      </c>
      <c r="E42" s="10">
        <f t="shared" si="1"/>
        <v>5.9500000000000004E-2</v>
      </c>
      <c r="F42" s="18" t="str">
        <f t="shared" si="2"/>
        <v>neat</v>
      </c>
      <c r="G42" s="47">
        <f t="shared" si="3"/>
        <v>5.9500000000000004E-2</v>
      </c>
      <c r="H42" s="19"/>
    </row>
    <row r="43" spans="1:8" x14ac:dyDescent="0.35">
      <c r="A43" s="25" t="s">
        <v>69</v>
      </c>
      <c r="B43" s="118" t="s">
        <v>70</v>
      </c>
      <c r="C43" s="111"/>
      <c r="D43" s="28">
        <f t="shared" si="0"/>
        <v>0.14699999999999999</v>
      </c>
      <c r="E43" s="48">
        <f t="shared" si="1"/>
        <v>1.7492999999999999</v>
      </c>
      <c r="F43" s="25" t="str">
        <f t="shared" si="2"/>
        <v>neat</v>
      </c>
      <c r="G43" s="49">
        <f t="shared" si="3"/>
        <v>1.7492999999999999</v>
      </c>
      <c r="H43" s="26"/>
    </row>
    <row r="44" spans="1:8" x14ac:dyDescent="0.35">
      <c r="A44" s="25" t="s">
        <v>69</v>
      </c>
      <c r="B44" s="118" t="s">
        <v>72</v>
      </c>
      <c r="C44" s="111"/>
      <c r="D44" s="28">
        <f t="shared" si="0"/>
        <v>0.03</v>
      </c>
      <c r="E44" s="48">
        <f t="shared" si="1"/>
        <v>0.35699999999999998</v>
      </c>
      <c r="F44" s="25" t="str">
        <f t="shared" si="2"/>
        <v>neat</v>
      </c>
      <c r="G44" s="49">
        <f t="shared" si="3"/>
        <v>0.35699999999999998</v>
      </c>
      <c r="H44" s="26"/>
    </row>
    <row r="45" spans="1:8" x14ac:dyDescent="0.35">
      <c r="A45" s="25" t="s">
        <v>69</v>
      </c>
      <c r="B45" s="118" t="s">
        <v>74</v>
      </c>
      <c r="C45" s="111"/>
      <c r="D45" s="28">
        <f t="shared" si="0"/>
        <v>1.4999999999999999E-2</v>
      </c>
      <c r="E45" s="48">
        <f t="shared" si="1"/>
        <v>0.17849999999999999</v>
      </c>
      <c r="F45" s="25" t="str">
        <f t="shared" si="2"/>
        <v>neat</v>
      </c>
      <c r="G45" s="49">
        <f t="shared" si="3"/>
        <v>0.17849999999999999</v>
      </c>
      <c r="H45" s="26"/>
    </row>
    <row r="46" spans="1:8" x14ac:dyDescent="0.35">
      <c r="A46" s="25" t="s">
        <v>69</v>
      </c>
      <c r="B46" s="118" t="s">
        <v>76</v>
      </c>
      <c r="C46" s="111"/>
      <c r="D46" s="28">
        <f t="shared" si="0"/>
        <v>0.04</v>
      </c>
      <c r="E46" s="48">
        <f t="shared" si="1"/>
        <v>0.47600000000000003</v>
      </c>
      <c r="F46" s="25" t="str">
        <f t="shared" si="2"/>
        <v>neat</v>
      </c>
      <c r="G46" s="49">
        <f t="shared" si="3"/>
        <v>0.47600000000000003</v>
      </c>
      <c r="H46" s="26"/>
    </row>
    <row r="47" spans="1:8" x14ac:dyDescent="0.35">
      <c r="A47" s="25" t="s">
        <v>69</v>
      </c>
      <c r="B47" s="118" t="s">
        <v>78</v>
      </c>
      <c r="C47" s="111"/>
      <c r="D47" s="28">
        <f t="shared" si="0"/>
        <v>7.0000000000000007E-2</v>
      </c>
      <c r="E47" s="48">
        <f t="shared" si="1"/>
        <v>0.83300000000000007</v>
      </c>
      <c r="F47" s="25" t="str">
        <f t="shared" si="2"/>
        <v>neat</v>
      </c>
      <c r="G47" s="49">
        <f t="shared" si="3"/>
        <v>0.83300000000000007</v>
      </c>
      <c r="H47" s="26"/>
    </row>
    <row r="48" spans="1:8" x14ac:dyDescent="0.35">
      <c r="A48" s="25" t="s">
        <v>69</v>
      </c>
      <c r="B48" s="118" t="s">
        <v>80</v>
      </c>
      <c r="C48" s="111"/>
      <c r="D48" s="28">
        <f t="shared" si="0"/>
        <v>1.4999999999999999E-2</v>
      </c>
      <c r="E48" s="48">
        <f t="shared" si="1"/>
        <v>0.17849999999999999</v>
      </c>
      <c r="F48" s="25" t="str">
        <f t="shared" si="2"/>
        <v>neat</v>
      </c>
      <c r="G48" s="49">
        <f t="shared" si="3"/>
        <v>0.17849999999999999</v>
      </c>
      <c r="H48" s="26"/>
    </row>
    <row r="49" spans="1:8" x14ac:dyDescent="0.35">
      <c r="A49" s="25" t="s">
        <v>69</v>
      </c>
      <c r="B49" s="118" t="s">
        <v>82</v>
      </c>
      <c r="C49" s="111"/>
      <c r="D49" s="28">
        <f t="shared" si="0"/>
        <v>3.0000000000000001E-3</v>
      </c>
      <c r="E49" s="48">
        <f t="shared" si="1"/>
        <v>3.5700000000000003E-2</v>
      </c>
      <c r="F49" s="25" t="str">
        <f t="shared" si="2"/>
        <v>10% in DPG</v>
      </c>
      <c r="G49" s="49">
        <f t="shared" si="3"/>
        <v>3.5700000000000003E-3</v>
      </c>
      <c r="H49" s="26"/>
    </row>
    <row r="50" spans="1:8" x14ac:dyDescent="0.35">
      <c r="A50" s="18" t="s">
        <v>60</v>
      </c>
      <c r="B50" s="112" t="s">
        <v>61</v>
      </c>
      <c r="C50" s="111"/>
      <c r="D50" s="22">
        <f t="shared" si="0"/>
        <v>4.4999999999999998E-2</v>
      </c>
      <c r="E50" s="10">
        <f t="shared" si="1"/>
        <v>0.53549999999999998</v>
      </c>
      <c r="F50" s="18" t="str">
        <f t="shared" si="2"/>
        <v>neat</v>
      </c>
      <c r="G50" s="47">
        <f t="shared" si="3"/>
        <v>0.53549999999999998</v>
      </c>
      <c r="H50" s="19"/>
    </row>
    <row r="51" spans="1:8" x14ac:dyDescent="0.35">
      <c r="A51" s="18" t="s">
        <v>60</v>
      </c>
      <c r="B51" s="112" t="s">
        <v>63</v>
      </c>
      <c r="C51" s="111"/>
      <c r="D51" s="22">
        <f t="shared" si="0"/>
        <v>0.01</v>
      </c>
      <c r="E51" s="10">
        <f t="shared" si="1"/>
        <v>0.11900000000000001</v>
      </c>
      <c r="F51" s="18" t="str">
        <f t="shared" si="2"/>
        <v>10% in DPG</v>
      </c>
      <c r="G51" s="47">
        <f t="shared" si="3"/>
        <v>1.1900000000000001E-2</v>
      </c>
      <c r="H51" s="19"/>
    </row>
    <row r="52" spans="1:8" x14ac:dyDescent="0.35">
      <c r="A52" s="18" t="s">
        <v>60</v>
      </c>
      <c r="B52" s="112" t="s">
        <v>65</v>
      </c>
      <c r="C52" s="111"/>
      <c r="D52" s="22">
        <f t="shared" si="0"/>
        <v>0.02</v>
      </c>
      <c r="E52" s="10">
        <f t="shared" si="1"/>
        <v>0.23800000000000002</v>
      </c>
      <c r="F52" s="18" t="str">
        <f t="shared" si="2"/>
        <v>neat</v>
      </c>
      <c r="G52" s="47">
        <f t="shared" si="3"/>
        <v>0.23800000000000002</v>
      </c>
      <c r="H52" s="19"/>
    </row>
    <row r="53" spans="1:8" x14ac:dyDescent="0.35">
      <c r="A53" s="18" t="s">
        <v>60</v>
      </c>
      <c r="B53" s="112" t="s">
        <v>67</v>
      </c>
      <c r="C53" s="111"/>
      <c r="D53" s="22">
        <f t="shared" si="0"/>
        <v>0.01</v>
      </c>
      <c r="E53" s="10">
        <f t="shared" si="1"/>
        <v>0.11900000000000001</v>
      </c>
      <c r="F53" s="18" t="str">
        <f t="shared" si="2"/>
        <v>neat</v>
      </c>
      <c r="G53" s="47">
        <f t="shared" si="3"/>
        <v>0.11900000000000001</v>
      </c>
      <c r="H53" s="19"/>
    </row>
    <row r="54" spans="1:8" x14ac:dyDescent="0.35">
      <c r="A54" s="117" t="s">
        <v>173</v>
      </c>
      <c r="B54" s="89"/>
      <c r="C54" s="89"/>
      <c r="D54" s="89"/>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30.6</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50*0.85*0.28</f>
        <v>11.9</v>
      </c>
      <c r="E75" s="94" t="s">
        <v>203</v>
      </c>
      <c r="F75" s="89"/>
      <c r="G75" s="89"/>
      <c r="H75" s="89"/>
    </row>
    <row r="76" spans="1:8" x14ac:dyDescent="0.35">
      <c r="A76" s="90" t="s">
        <v>204</v>
      </c>
      <c r="B76" s="89"/>
      <c r="C76" s="89"/>
      <c r="D76" s="57">
        <f>50*0.85-50*0.85*0.28</f>
        <v>30.6</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50*0.85*0.28</f>
        <v>11.9</v>
      </c>
      <c r="I2" s="122" t="s">
        <v>221</v>
      </c>
      <c r="J2" s="123"/>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0</v>
      </c>
      <c r="C4" s="67">
        <f t="shared" si="0"/>
        <v>0</v>
      </c>
      <c r="D4" s="67">
        <f t="shared" si="0"/>
        <v>0</v>
      </c>
      <c r="E4" s="67">
        <f t="shared" si="0"/>
        <v>0</v>
      </c>
      <c r="F4" s="67">
        <f t="shared" si="0"/>
        <v>0</v>
      </c>
      <c r="G4" s="67">
        <f t="shared" si="0"/>
        <v>0</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0</v>
      </c>
      <c r="C5" s="68">
        <f t="shared" si="1"/>
        <v>0</v>
      </c>
      <c r="D5" s="68">
        <f t="shared" si="1"/>
        <v>0</v>
      </c>
      <c r="E5" s="68">
        <f t="shared" si="1"/>
        <v>0</v>
      </c>
      <c r="F5" s="68">
        <f t="shared" si="1"/>
        <v>0</v>
      </c>
      <c r="G5" s="68">
        <f t="shared" si="1"/>
        <v>0</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t="str">
        <f t="shared" ref="K7:P16" si="5">IF($A7="","",IF($A7="DPG (Dipropylene Glycol)",IFERROR(FLOOR((MAX($G7,0)/(D10ActivePct*0.9))/(K$3*YC_Density*YC_ConcPct),1),""),IF($A7="Alcohol 190 proof SDA 40B",IFERROR(FLOOR(MAX($G7,0)/(K$3*YC_Density*(1-YC_ConcPct)),1),""),IFERROR(FLOOR((MAX($G7,0)/(INDEX(FM_Active,MATCH($A7,FM_Mat,0))*IF(INDEX(FM_D10,MATCH($A7,FM_Mat,0))="D10",0.1,1)))/(K$3*YC_Density*YC_ConcPct),1),""))))</f>
        <v/>
      </c>
      <c r="L7" s="69" t="str">
        <f t="shared" si="5"/>
        <v/>
      </c>
      <c r="M7" s="69" t="str">
        <f t="shared" si="5"/>
        <v/>
      </c>
      <c r="N7" s="69" t="str">
        <f t="shared" si="5"/>
        <v/>
      </c>
      <c r="O7" s="69" t="str">
        <f t="shared" si="5"/>
        <v/>
      </c>
      <c r="P7" s="69" t="str">
        <f t="shared" si="5"/>
        <v/>
      </c>
      <c r="Q7" s="63" t="str">
        <f t="shared" ref="Q7:V16" si="6">IF($A7="","",IF($A7="DPG (Dipropylene Glycol)",IFERROR(FLOOR((MAX($H7,0)/(D10ActivePct*0.9))/(Q$3*YC_Density*YC_ConcPct),1),""),IF($A7="Alcohol 190 proof SDA 40B",IFERROR(FLOOR(MAX($H7,0)/(Q$3*YC_Density*(1-YC_ConcPct)),1),""),IFERROR(FLOOR((MAX($H7,0)/(INDEX(FM_Active,MATCH($A7,FM_Mat,0))*IF(INDEX(FM_D10,MATCH($A7,FM_Mat,0))="D10",0.1,1)))/(Q$3*YC_Density*YC_ConcPct),1),""))))</f>
        <v/>
      </c>
      <c r="R7" s="63" t="str">
        <f t="shared" si="6"/>
        <v/>
      </c>
      <c r="S7" s="63" t="str">
        <f t="shared" si="6"/>
        <v/>
      </c>
      <c r="T7" s="63" t="str">
        <f t="shared" si="6"/>
        <v/>
      </c>
      <c r="U7" s="63" t="str">
        <f t="shared" si="6"/>
        <v/>
      </c>
      <c r="V7" s="63" t="str">
        <f t="shared" si="6"/>
        <v/>
      </c>
      <c r="W7" s="63" t="str">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
      </c>
      <c r="X7" s="61" t="str">
        <f t="shared" ref="X7:X33" si="7">IF(W7&gt;0,"BUY MORE - raises output",IF(N7=$E$4,"CURRENT BOTTLENECK",IF(N7&lt;=$E$4+2,"NEXT LIMIT","")))</f>
        <v>BUY MORE - raises output</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t="str">
        <f t="shared" si="5"/>
        <v/>
      </c>
      <c r="L8" s="69" t="str">
        <f t="shared" si="5"/>
        <v/>
      </c>
      <c r="M8" s="69" t="str">
        <f t="shared" si="5"/>
        <v/>
      </c>
      <c r="N8" s="69" t="str">
        <f t="shared" si="5"/>
        <v/>
      </c>
      <c r="O8" s="69" t="str">
        <f t="shared" si="5"/>
        <v/>
      </c>
      <c r="P8" s="69" t="str">
        <f t="shared" si="5"/>
        <v/>
      </c>
      <c r="Q8" s="63" t="str">
        <f t="shared" si="6"/>
        <v/>
      </c>
      <c r="R8" s="63" t="str">
        <f t="shared" si="6"/>
        <v/>
      </c>
      <c r="S8" s="63" t="str">
        <f t="shared" si="6"/>
        <v/>
      </c>
      <c r="T8" s="63" t="str">
        <f t="shared" si="6"/>
        <v/>
      </c>
      <c r="U8" s="63" t="str">
        <f t="shared" si="6"/>
        <v/>
      </c>
      <c r="V8" s="63" t="str">
        <f t="shared" si="6"/>
        <v/>
      </c>
      <c r="W8" s="63" t="str">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
      </c>
      <c r="X8" s="61" t="str">
        <f t="shared" si="7"/>
        <v>BUY MORE - raises output</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t="str">
        <f t="shared" si="5"/>
        <v/>
      </c>
      <c r="L9" s="69" t="str">
        <f t="shared" si="5"/>
        <v/>
      </c>
      <c r="M9" s="69" t="str">
        <f t="shared" si="5"/>
        <v/>
      </c>
      <c r="N9" s="69" t="str">
        <f t="shared" si="5"/>
        <v/>
      </c>
      <c r="O9" s="69" t="str">
        <f t="shared" si="5"/>
        <v/>
      </c>
      <c r="P9" s="69" t="str">
        <f t="shared" si="5"/>
        <v/>
      </c>
      <c r="Q9" s="63" t="str">
        <f t="shared" si="6"/>
        <v/>
      </c>
      <c r="R9" s="63" t="str">
        <f t="shared" si="6"/>
        <v/>
      </c>
      <c r="S9" s="63" t="str">
        <f t="shared" si="6"/>
        <v/>
      </c>
      <c r="T9" s="63" t="str">
        <f t="shared" si="6"/>
        <v/>
      </c>
      <c r="U9" s="63" t="str">
        <f t="shared" si="6"/>
        <v/>
      </c>
      <c r="V9" s="63" t="str">
        <f t="shared" si="6"/>
        <v/>
      </c>
      <c r="W9" s="63" t="str">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
      </c>
      <c r="X9" s="61" t="str">
        <f t="shared" si="7"/>
        <v>BUY MORE - raises output</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t="str">
        <f t="shared" si="5"/>
        <v/>
      </c>
      <c r="L10" s="69" t="str">
        <f t="shared" si="5"/>
        <v/>
      </c>
      <c r="M10" s="69" t="str">
        <f t="shared" si="5"/>
        <v/>
      </c>
      <c r="N10" s="69" t="str">
        <f t="shared" si="5"/>
        <v/>
      </c>
      <c r="O10" s="69" t="str">
        <f t="shared" si="5"/>
        <v/>
      </c>
      <c r="P10" s="69" t="str">
        <f t="shared" si="5"/>
        <v/>
      </c>
      <c r="Q10" s="63" t="str">
        <f t="shared" si="6"/>
        <v/>
      </c>
      <c r="R10" s="63" t="str">
        <f t="shared" si="6"/>
        <v/>
      </c>
      <c r="S10" s="63" t="str">
        <f t="shared" si="6"/>
        <v/>
      </c>
      <c r="T10" s="63" t="str">
        <f t="shared" si="6"/>
        <v/>
      </c>
      <c r="U10" s="63" t="str">
        <f t="shared" si="6"/>
        <v/>
      </c>
      <c r="V10" s="63" t="str">
        <f t="shared" si="6"/>
        <v/>
      </c>
      <c r="W10" s="63" t="str">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
      </c>
      <c r="X10" s="61" t="str">
        <f t="shared" si="7"/>
        <v>BUY MORE - raises output</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t="str">
        <f t="shared" si="5"/>
        <v/>
      </c>
      <c r="L11" s="69" t="str">
        <f t="shared" si="5"/>
        <v/>
      </c>
      <c r="M11" s="69" t="str">
        <f t="shared" si="5"/>
        <v/>
      </c>
      <c r="N11" s="69" t="str">
        <f t="shared" si="5"/>
        <v/>
      </c>
      <c r="O11" s="69" t="str">
        <f t="shared" si="5"/>
        <v/>
      </c>
      <c r="P11" s="69" t="str">
        <f t="shared" si="5"/>
        <v/>
      </c>
      <c r="Q11" s="63" t="str">
        <f t="shared" si="6"/>
        <v/>
      </c>
      <c r="R11" s="63" t="str">
        <f t="shared" si="6"/>
        <v/>
      </c>
      <c r="S11" s="63" t="str">
        <f t="shared" si="6"/>
        <v/>
      </c>
      <c r="T11" s="63" t="str">
        <f t="shared" si="6"/>
        <v/>
      </c>
      <c r="U11" s="63" t="str">
        <f t="shared" si="6"/>
        <v/>
      </c>
      <c r="V11" s="63" t="str">
        <f t="shared" si="6"/>
        <v/>
      </c>
      <c r="W11" s="63" t="str">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
      </c>
      <c r="X11" s="61" t="str">
        <f t="shared" si="7"/>
        <v>BUY MORE - raises output</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t="str">
        <f t="shared" si="5"/>
        <v/>
      </c>
      <c r="L12" s="69" t="str">
        <f t="shared" si="5"/>
        <v/>
      </c>
      <c r="M12" s="69" t="str">
        <f t="shared" si="5"/>
        <v/>
      </c>
      <c r="N12" s="69" t="str">
        <f t="shared" si="5"/>
        <v/>
      </c>
      <c r="O12" s="69" t="str">
        <f t="shared" si="5"/>
        <v/>
      </c>
      <c r="P12" s="69" t="str">
        <f t="shared" si="5"/>
        <v/>
      </c>
      <c r="Q12" s="63" t="str">
        <f t="shared" si="6"/>
        <v/>
      </c>
      <c r="R12" s="63" t="str">
        <f t="shared" si="6"/>
        <v/>
      </c>
      <c r="S12" s="63" t="str">
        <f t="shared" si="6"/>
        <v/>
      </c>
      <c r="T12" s="63" t="str">
        <f t="shared" si="6"/>
        <v/>
      </c>
      <c r="U12" s="63" t="str">
        <f t="shared" si="6"/>
        <v/>
      </c>
      <c r="V12" s="63" t="str">
        <f t="shared" si="6"/>
        <v/>
      </c>
      <c r="W12" s="63" t="str">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
      </c>
      <c r="X12" s="61" t="str">
        <f t="shared" si="7"/>
        <v>BUY MORE - raises output</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t="str">
        <f t="shared" si="5"/>
        <v/>
      </c>
      <c r="L13" s="69" t="str">
        <f t="shared" si="5"/>
        <v/>
      </c>
      <c r="M13" s="69" t="str">
        <f t="shared" si="5"/>
        <v/>
      </c>
      <c r="N13" s="69" t="str">
        <f t="shared" si="5"/>
        <v/>
      </c>
      <c r="O13" s="69" t="str">
        <f t="shared" si="5"/>
        <v/>
      </c>
      <c r="P13" s="69" t="str">
        <f t="shared" si="5"/>
        <v/>
      </c>
      <c r="Q13" s="63" t="str">
        <f t="shared" si="6"/>
        <v/>
      </c>
      <c r="R13" s="63" t="str">
        <f t="shared" si="6"/>
        <v/>
      </c>
      <c r="S13" s="63" t="str">
        <f t="shared" si="6"/>
        <v/>
      </c>
      <c r="T13" s="63" t="str">
        <f t="shared" si="6"/>
        <v/>
      </c>
      <c r="U13" s="63" t="str">
        <f t="shared" si="6"/>
        <v/>
      </c>
      <c r="V13" s="63" t="str">
        <f t="shared" si="6"/>
        <v/>
      </c>
      <c r="W13" s="63" t="str">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
      </c>
      <c r="X13" s="61" t="str">
        <f t="shared" si="7"/>
        <v>BUY MORE - raises output</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t="str">
        <f t="shared" si="5"/>
        <v/>
      </c>
      <c r="L14" s="69" t="str">
        <f t="shared" si="5"/>
        <v/>
      </c>
      <c r="M14" s="69" t="str">
        <f t="shared" si="5"/>
        <v/>
      </c>
      <c r="N14" s="69" t="str">
        <f t="shared" si="5"/>
        <v/>
      </c>
      <c r="O14" s="69" t="str">
        <f t="shared" si="5"/>
        <v/>
      </c>
      <c r="P14" s="69" t="str">
        <f t="shared" si="5"/>
        <v/>
      </c>
      <c r="Q14" s="63" t="str">
        <f t="shared" si="6"/>
        <v/>
      </c>
      <c r="R14" s="63" t="str">
        <f t="shared" si="6"/>
        <v/>
      </c>
      <c r="S14" s="63" t="str">
        <f t="shared" si="6"/>
        <v/>
      </c>
      <c r="T14" s="63" t="str">
        <f t="shared" si="6"/>
        <v/>
      </c>
      <c r="U14" s="63" t="str">
        <f t="shared" si="6"/>
        <v/>
      </c>
      <c r="V14" s="63" t="str">
        <f t="shared" si="6"/>
        <v/>
      </c>
      <c r="W14" s="63" t="str">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
      </c>
      <c r="X14" s="61" t="str">
        <f t="shared" si="7"/>
        <v>BUY MORE - raises output</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t="str">
        <f t="shared" si="5"/>
        <v/>
      </c>
      <c r="L15" s="69" t="str">
        <f t="shared" si="5"/>
        <v/>
      </c>
      <c r="M15" s="69" t="str">
        <f t="shared" si="5"/>
        <v/>
      </c>
      <c r="N15" s="69" t="str">
        <f t="shared" si="5"/>
        <v/>
      </c>
      <c r="O15" s="69" t="str">
        <f t="shared" si="5"/>
        <v/>
      </c>
      <c r="P15" s="69" t="str">
        <f t="shared" si="5"/>
        <v/>
      </c>
      <c r="Q15" s="63" t="str">
        <f t="shared" si="6"/>
        <v/>
      </c>
      <c r="R15" s="63" t="str">
        <f t="shared" si="6"/>
        <v/>
      </c>
      <c r="S15" s="63" t="str">
        <f t="shared" si="6"/>
        <v/>
      </c>
      <c r="T15" s="63" t="str">
        <f t="shared" si="6"/>
        <v/>
      </c>
      <c r="U15" s="63" t="str">
        <f t="shared" si="6"/>
        <v/>
      </c>
      <c r="V15" s="63" t="str">
        <f t="shared" si="6"/>
        <v/>
      </c>
      <c r="W15" s="63" t="str">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
      </c>
      <c r="X15" s="61" t="str">
        <f t="shared" si="7"/>
        <v>BUY MORE - raises output</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t="str">
        <f t="shared" si="5"/>
        <v/>
      </c>
      <c r="L16" s="69" t="str">
        <f t="shared" si="5"/>
        <v/>
      </c>
      <c r="M16" s="69" t="str">
        <f t="shared" si="5"/>
        <v/>
      </c>
      <c r="N16" s="69" t="str">
        <f t="shared" si="5"/>
        <v/>
      </c>
      <c r="O16" s="69" t="str">
        <f t="shared" si="5"/>
        <v/>
      </c>
      <c r="P16" s="69" t="str">
        <f t="shared" si="5"/>
        <v/>
      </c>
      <c r="Q16" s="63" t="str">
        <f t="shared" si="6"/>
        <v/>
      </c>
      <c r="R16" s="63" t="str">
        <f t="shared" si="6"/>
        <v/>
      </c>
      <c r="S16" s="63" t="str">
        <f t="shared" si="6"/>
        <v/>
      </c>
      <c r="T16" s="63" t="str">
        <f t="shared" si="6"/>
        <v/>
      </c>
      <c r="U16" s="63" t="str">
        <f t="shared" si="6"/>
        <v/>
      </c>
      <c r="V16" s="63" t="str">
        <f t="shared" si="6"/>
        <v/>
      </c>
      <c r="W16" s="63" t="str">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
      </c>
      <c r="X16" s="61" t="str">
        <f t="shared" si="7"/>
        <v>BUY MORE - raises output</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t="str">
        <f t="shared" ref="K17:P26" si="8">IF($A17="","",IF($A17="DPG (Dipropylene Glycol)",IFERROR(FLOOR((MAX($G17,0)/(D10ActivePct*0.9))/(K$3*YC_Density*YC_ConcPct),1),""),IF($A17="Alcohol 190 proof SDA 40B",IFERROR(FLOOR(MAX($G17,0)/(K$3*YC_Density*(1-YC_ConcPct)),1),""),IFERROR(FLOOR((MAX($G17,0)/(INDEX(FM_Active,MATCH($A17,FM_Mat,0))*IF(INDEX(FM_D10,MATCH($A17,FM_Mat,0))="D10",0.1,1)))/(K$3*YC_Density*YC_ConcPct),1),""))))</f>
        <v/>
      </c>
      <c r="L17" s="69" t="str">
        <f t="shared" si="8"/>
        <v/>
      </c>
      <c r="M17" s="69" t="str">
        <f t="shared" si="8"/>
        <v/>
      </c>
      <c r="N17" s="69" t="str">
        <f t="shared" si="8"/>
        <v/>
      </c>
      <c r="O17" s="69" t="str">
        <f t="shared" si="8"/>
        <v/>
      </c>
      <c r="P17" s="69" t="str">
        <f t="shared" si="8"/>
        <v/>
      </c>
      <c r="Q17" s="63" t="str">
        <f t="shared" ref="Q17:V26" si="9">IF($A17="","",IF($A17="DPG (Dipropylene Glycol)",IFERROR(FLOOR((MAX($H17,0)/(D10ActivePct*0.9))/(Q$3*YC_Density*YC_ConcPct),1),""),IF($A17="Alcohol 190 proof SDA 40B",IFERROR(FLOOR(MAX($H17,0)/(Q$3*YC_Density*(1-YC_ConcPct)),1),""),IFERROR(FLOOR((MAX($H17,0)/(INDEX(FM_Active,MATCH($A17,FM_Mat,0))*IF(INDEX(FM_D10,MATCH($A17,FM_Mat,0))="D10",0.1,1)))/(Q$3*YC_Density*YC_ConcPct),1),""))))</f>
        <v/>
      </c>
      <c r="R17" s="63" t="str">
        <f t="shared" si="9"/>
        <v/>
      </c>
      <c r="S17" s="63" t="str">
        <f t="shared" si="9"/>
        <v/>
      </c>
      <c r="T17" s="63" t="str">
        <f t="shared" si="9"/>
        <v/>
      </c>
      <c r="U17" s="63" t="str">
        <f t="shared" si="9"/>
        <v/>
      </c>
      <c r="V17" s="63" t="str">
        <f t="shared" si="9"/>
        <v/>
      </c>
      <c r="W17" s="63" t="str">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
      </c>
      <c r="X17" s="61" t="str">
        <f t="shared" si="7"/>
        <v>BUY MORE - raises output</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6.5000000000000002E-2</v>
      </c>
      <c r="J18" s="72">
        <f t="shared" si="4"/>
        <v>6.5000000000000002E-2</v>
      </c>
      <c r="K18" s="69" t="str">
        <f t="shared" si="8"/>
        <v/>
      </c>
      <c r="L18" s="69" t="str">
        <f t="shared" si="8"/>
        <v/>
      </c>
      <c r="M18" s="69" t="str">
        <f t="shared" si="8"/>
        <v/>
      </c>
      <c r="N18" s="69" t="str">
        <f t="shared" si="8"/>
        <v/>
      </c>
      <c r="O18" s="69" t="str">
        <f t="shared" si="8"/>
        <v/>
      </c>
      <c r="P18" s="69" t="str">
        <f t="shared" si="8"/>
        <v/>
      </c>
      <c r="Q18" s="63" t="str">
        <f t="shared" si="9"/>
        <v/>
      </c>
      <c r="R18" s="63" t="str">
        <f t="shared" si="9"/>
        <v/>
      </c>
      <c r="S18" s="63" t="str">
        <f t="shared" si="9"/>
        <v/>
      </c>
      <c r="T18" s="63" t="str">
        <f t="shared" si="9"/>
        <v/>
      </c>
      <c r="U18" s="63" t="str">
        <f t="shared" si="9"/>
        <v/>
      </c>
      <c r="V18" s="63" t="str">
        <f t="shared" si="9"/>
        <v/>
      </c>
      <c r="W18" s="63" t="str">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
      </c>
      <c r="X18" s="61" t="str">
        <f t="shared" si="7"/>
        <v>BUY MORE - raises output</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t="str">
        <f t="shared" si="8"/>
        <v/>
      </c>
      <c r="L19" s="69" t="str">
        <f t="shared" si="8"/>
        <v/>
      </c>
      <c r="M19" s="69" t="str">
        <f t="shared" si="8"/>
        <v/>
      </c>
      <c r="N19" s="69" t="str">
        <f t="shared" si="8"/>
        <v/>
      </c>
      <c r="O19" s="69" t="str">
        <f t="shared" si="8"/>
        <v/>
      </c>
      <c r="P19" s="69" t="str">
        <f t="shared" si="8"/>
        <v/>
      </c>
      <c r="Q19" s="63" t="str">
        <f t="shared" si="9"/>
        <v/>
      </c>
      <c r="R19" s="63" t="str">
        <f t="shared" si="9"/>
        <v/>
      </c>
      <c r="S19" s="63" t="str">
        <f t="shared" si="9"/>
        <v/>
      </c>
      <c r="T19" s="63" t="str">
        <f t="shared" si="9"/>
        <v/>
      </c>
      <c r="U19" s="63" t="str">
        <f t="shared" si="9"/>
        <v/>
      </c>
      <c r="V19" s="63" t="str">
        <f t="shared" si="9"/>
        <v/>
      </c>
      <c r="W19" s="63" t="str">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
      </c>
      <c r="X19" s="61" t="str">
        <f t="shared" si="7"/>
        <v>BUY MORE - raises output</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t="str">
        <f t="shared" si="8"/>
        <v/>
      </c>
      <c r="L20" s="69" t="str">
        <f t="shared" si="8"/>
        <v/>
      </c>
      <c r="M20" s="69" t="str">
        <f t="shared" si="8"/>
        <v/>
      </c>
      <c r="N20" s="69" t="str">
        <f t="shared" si="8"/>
        <v/>
      </c>
      <c r="O20" s="69" t="str">
        <f t="shared" si="8"/>
        <v/>
      </c>
      <c r="P20" s="69" t="str">
        <f t="shared" si="8"/>
        <v/>
      </c>
      <c r="Q20" s="63" t="str">
        <f t="shared" si="9"/>
        <v/>
      </c>
      <c r="R20" s="63" t="str">
        <f t="shared" si="9"/>
        <v/>
      </c>
      <c r="S20" s="63" t="str">
        <f t="shared" si="9"/>
        <v/>
      </c>
      <c r="T20" s="63" t="str">
        <f t="shared" si="9"/>
        <v/>
      </c>
      <c r="U20" s="63" t="str">
        <f t="shared" si="9"/>
        <v/>
      </c>
      <c r="V20" s="63" t="str">
        <f t="shared" si="9"/>
        <v/>
      </c>
      <c r="W20" s="63" t="str">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
      </c>
      <c r="X20" s="61" t="str">
        <f t="shared" si="7"/>
        <v>BUY MORE - raises output</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0.05</v>
      </c>
      <c r="J21" s="72">
        <f t="shared" si="4"/>
        <v>0.05</v>
      </c>
      <c r="K21" s="69" t="str">
        <f t="shared" si="8"/>
        <v/>
      </c>
      <c r="L21" s="69" t="str">
        <f t="shared" si="8"/>
        <v/>
      </c>
      <c r="M21" s="69" t="str">
        <f t="shared" si="8"/>
        <v/>
      </c>
      <c r="N21" s="69" t="str">
        <f t="shared" si="8"/>
        <v/>
      </c>
      <c r="O21" s="69" t="str">
        <f t="shared" si="8"/>
        <v/>
      </c>
      <c r="P21" s="69" t="str">
        <f t="shared" si="8"/>
        <v/>
      </c>
      <c r="Q21" s="63" t="str">
        <f t="shared" si="9"/>
        <v/>
      </c>
      <c r="R21" s="63" t="str">
        <f t="shared" si="9"/>
        <v/>
      </c>
      <c r="S21" s="63" t="str">
        <f t="shared" si="9"/>
        <v/>
      </c>
      <c r="T21" s="63" t="str">
        <f t="shared" si="9"/>
        <v/>
      </c>
      <c r="U21" s="63" t="str">
        <f t="shared" si="9"/>
        <v/>
      </c>
      <c r="V21" s="63" t="str">
        <f t="shared" si="9"/>
        <v/>
      </c>
      <c r="W21" s="63" t="str">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
      </c>
      <c r="X21" s="61" t="str">
        <f t="shared" si="7"/>
        <v>BUY MORE - raises output</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t="str">
        <f t="shared" si="8"/>
        <v/>
      </c>
      <c r="L22" s="69" t="str">
        <f t="shared" si="8"/>
        <v/>
      </c>
      <c r="M22" s="69" t="str">
        <f t="shared" si="8"/>
        <v/>
      </c>
      <c r="N22" s="69" t="str">
        <f t="shared" si="8"/>
        <v/>
      </c>
      <c r="O22" s="69" t="str">
        <f t="shared" si="8"/>
        <v/>
      </c>
      <c r="P22" s="69" t="str">
        <f t="shared" si="8"/>
        <v/>
      </c>
      <c r="Q22" s="63" t="str">
        <f t="shared" si="9"/>
        <v/>
      </c>
      <c r="R22" s="63" t="str">
        <f t="shared" si="9"/>
        <v/>
      </c>
      <c r="S22" s="63" t="str">
        <f t="shared" si="9"/>
        <v/>
      </c>
      <c r="T22" s="63" t="str">
        <f t="shared" si="9"/>
        <v/>
      </c>
      <c r="U22" s="63" t="str">
        <f t="shared" si="9"/>
        <v/>
      </c>
      <c r="V22" s="63" t="str">
        <f t="shared" si="9"/>
        <v/>
      </c>
      <c r="W22" s="63" t="str">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
      </c>
      <c r="X22" s="61" t="str">
        <f t="shared" si="7"/>
        <v>BUY MORE - raises output</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t="str">
        <f t="shared" si="8"/>
        <v/>
      </c>
      <c r="L23" s="69" t="str">
        <f t="shared" si="8"/>
        <v/>
      </c>
      <c r="M23" s="69" t="str">
        <f t="shared" si="8"/>
        <v/>
      </c>
      <c r="N23" s="69" t="str">
        <f t="shared" si="8"/>
        <v/>
      </c>
      <c r="O23" s="69" t="str">
        <f t="shared" si="8"/>
        <v/>
      </c>
      <c r="P23" s="69" t="str">
        <f t="shared" si="8"/>
        <v/>
      </c>
      <c r="Q23" s="63" t="str">
        <f t="shared" si="9"/>
        <v/>
      </c>
      <c r="R23" s="63" t="str">
        <f t="shared" si="9"/>
        <v/>
      </c>
      <c r="S23" s="63" t="str">
        <f t="shared" si="9"/>
        <v/>
      </c>
      <c r="T23" s="63" t="str">
        <f t="shared" si="9"/>
        <v/>
      </c>
      <c r="U23" s="63" t="str">
        <f t="shared" si="9"/>
        <v/>
      </c>
      <c r="V23" s="63" t="str">
        <f t="shared" si="9"/>
        <v/>
      </c>
      <c r="W23" s="63" t="str">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
      </c>
      <c r="X23" s="61" t="str">
        <f t="shared" si="7"/>
        <v>BUY MORE - raises output</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t="str">
        <f t="shared" si="8"/>
        <v/>
      </c>
      <c r="L24" s="69" t="str">
        <f t="shared" si="8"/>
        <v/>
      </c>
      <c r="M24" s="69" t="str">
        <f t="shared" si="8"/>
        <v/>
      </c>
      <c r="N24" s="69" t="str">
        <f t="shared" si="8"/>
        <v/>
      </c>
      <c r="O24" s="69" t="str">
        <f t="shared" si="8"/>
        <v/>
      </c>
      <c r="P24" s="69" t="str">
        <f t="shared" si="8"/>
        <v/>
      </c>
      <c r="Q24" s="63" t="str">
        <f t="shared" si="9"/>
        <v/>
      </c>
      <c r="R24" s="63" t="str">
        <f t="shared" si="9"/>
        <v/>
      </c>
      <c r="S24" s="63" t="str">
        <f t="shared" si="9"/>
        <v/>
      </c>
      <c r="T24" s="63" t="str">
        <f t="shared" si="9"/>
        <v/>
      </c>
      <c r="U24" s="63" t="str">
        <f t="shared" si="9"/>
        <v/>
      </c>
      <c r="V24" s="63" t="str">
        <f t="shared" si="9"/>
        <v/>
      </c>
      <c r="W24" s="63" t="str">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
      </c>
      <c r="X24" s="61" t="str">
        <f t="shared" si="7"/>
        <v>BUY MORE - raises output</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t="str">
        <f t="shared" si="8"/>
        <v/>
      </c>
      <c r="L25" s="69" t="str">
        <f t="shared" si="8"/>
        <v/>
      </c>
      <c r="M25" s="69" t="str">
        <f t="shared" si="8"/>
        <v/>
      </c>
      <c r="N25" s="69" t="str">
        <f t="shared" si="8"/>
        <v/>
      </c>
      <c r="O25" s="69" t="str">
        <f t="shared" si="8"/>
        <v/>
      </c>
      <c r="P25" s="69" t="str">
        <f t="shared" si="8"/>
        <v/>
      </c>
      <c r="Q25" s="63" t="str">
        <f t="shared" si="9"/>
        <v/>
      </c>
      <c r="R25" s="63" t="str">
        <f t="shared" si="9"/>
        <v/>
      </c>
      <c r="S25" s="63" t="str">
        <f t="shared" si="9"/>
        <v/>
      </c>
      <c r="T25" s="63" t="str">
        <f t="shared" si="9"/>
        <v/>
      </c>
      <c r="U25" s="63" t="str">
        <f t="shared" si="9"/>
        <v/>
      </c>
      <c r="V25" s="63" t="str">
        <f t="shared" si="9"/>
        <v/>
      </c>
      <c r="W25" s="63" t="str">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
      </c>
      <c r="X25" s="61" t="str">
        <f t="shared" si="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t="str">
        <f t="shared" si="8"/>
        <v/>
      </c>
      <c r="L26" s="69" t="str">
        <f t="shared" si="8"/>
        <v/>
      </c>
      <c r="M26" s="69" t="str">
        <f t="shared" si="8"/>
        <v/>
      </c>
      <c r="N26" s="69" t="str">
        <f t="shared" si="8"/>
        <v/>
      </c>
      <c r="O26" s="69" t="str">
        <f t="shared" si="8"/>
        <v/>
      </c>
      <c r="P26" s="69" t="str">
        <f t="shared" si="8"/>
        <v/>
      </c>
      <c r="Q26" s="63" t="str">
        <f t="shared" si="9"/>
        <v/>
      </c>
      <c r="R26" s="63" t="str">
        <f t="shared" si="9"/>
        <v/>
      </c>
      <c r="S26" s="63" t="str">
        <f t="shared" si="9"/>
        <v/>
      </c>
      <c r="T26" s="63" t="str">
        <f t="shared" si="9"/>
        <v/>
      </c>
      <c r="U26" s="63" t="str">
        <f t="shared" si="9"/>
        <v/>
      </c>
      <c r="V26" s="63" t="str">
        <f t="shared" si="9"/>
        <v/>
      </c>
      <c r="W26" s="63" t="str">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
      </c>
      <c r="X26" s="61" t="str">
        <f t="shared" si="7"/>
        <v>BUY MORE - raises output</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t="str">
        <f t="shared" ref="K27:P33" si="10">IF($A27="","",IF($A27="DPG (Dipropylene Glycol)",IFERROR(FLOOR((MAX($G27,0)/(D10ActivePct*0.9))/(K$3*YC_Density*YC_ConcPct),1),""),IF($A27="Alcohol 190 proof SDA 40B",IFERROR(FLOOR(MAX($G27,0)/(K$3*YC_Density*(1-YC_ConcPct)),1),""),IFERROR(FLOOR((MAX($G27,0)/(INDEX(FM_Active,MATCH($A27,FM_Mat,0))*IF(INDEX(FM_D10,MATCH($A27,FM_Mat,0))="D10",0.1,1)))/(K$3*YC_Density*YC_ConcPct),1),""))))</f>
        <v/>
      </c>
      <c r="L27" s="69" t="str">
        <f t="shared" si="10"/>
        <v/>
      </c>
      <c r="M27" s="69" t="str">
        <f t="shared" si="10"/>
        <v/>
      </c>
      <c r="N27" s="69" t="str">
        <f t="shared" si="10"/>
        <v/>
      </c>
      <c r="O27" s="69" t="str">
        <f t="shared" si="10"/>
        <v/>
      </c>
      <c r="P27" s="69" t="str">
        <f t="shared" si="10"/>
        <v/>
      </c>
      <c r="Q27" s="63" t="str">
        <f t="shared" ref="Q27:V33" si="11">IF($A27="","",IF($A27="DPG (Dipropylene Glycol)",IFERROR(FLOOR((MAX($H27,0)/(D10ActivePct*0.9))/(Q$3*YC_Density*YC_ConcPct),1),""),IF($A27="Alcohol 190 proof SDA 40B",IFERROR(FLOOR(MAX($H27,0)/(Q$3*YC_Density*(1-YC_ConcPct)),1),""),IFERROR(FLOOR((MAX($H27,0)/(INDEX(FM_Active,MATCH($A27,FM_Mat,0))*IF(INDEX(FM_D10,MATCH($A27,FM_Mat,0))="D10",0.1,1)))/(Q$3*YC_Density*YC_ConcPct),1),""))))</f>
        <v/>
      </c>
      <c r="R27" s="63" t="str">
        <f t="shared" si="11"/>
        <v/>
      </c>
      <c r="S27" s="63" t="str">
        <f t="shared" si="11"/>
        <v/>
      </c>
      <c r="T27" s="63" t="str">
        <f t="shared" si="11"/>
        <v/>
      </c>
      <c r="U27" s="63" t="str">
        <f t="shared" si="11"/>
        <v/>
      </c>
      <c r="V27" s="63" t="str">
        <f t="shared" si="11"/>
        <v/>
      </c>
      <c r="W27" s="63" t="str">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
      </c>
      <c r="X27" s="61" t="str">
        <f t="shared" si="7"/>
        <v>BUY MORE - raises output</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t="str">
        <f t="shared" si="10"/>
        <v/>
      </c>
      <c r="L28" s="69" t="str">
        <f t="shared" si="10"/>
        <v/>
      </c>
      <c r="M28" s="69" t="str">
        <f t="shared" si="10"/>
        <v/>
      </c>
      <c r="N28" s="69" t="str">
        <f t="shared" si="10"/>
        <v/>
      </c>
      <c r="O28" s="69" t="str">
        <f t="shared" si="10"/>
        <v/>
      </c>
      <c r="P28" s="69" t="str">
        <f t="shared" si="10"/>
        <v/>
      </c>
      <c r="Q28" s="63" t="str">
        <f t="shared" si="11"/>
        <v/>
      </c>
      <c r="R28" s="63" t="str">
        <f t="shared" si="11"/>
        <v/>
      </c>
      <c r="S28" s="63" t="str">
        <f t="shared" si="11"/>
        <v/>
      </c>
      <c r="T28" s="63" t="str">
        <f t="shared" si="11"/>
        <v/>
      </c>
      <c r="U28" s="63" t="str">
        <f t="shared" si="11"/>
        <v/>
      </c>
      <c r="V28" s="63" t="str">
        <f t="shared" si="11"/>
        <v/>
      </c>
      <c r="W28" s="63" t="str">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
      </c>
      <c r="X28" s="61" t="str">
        <f t="shared" si="7"/>
        <v>BUY MORE - raises output</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t="str">
        <f t="shared" si="10"/>
        <v/>
      </c>
      <c r="L29" s="69" t="str">
        <f t="shared" si="10"/>
        <v/>
      </c>
      <c r="M29" s="69" t="str">
        <f t="shared" si="10"/>
        <v/>
      </c>
      <c r="N29" s="69" t="str">
        <f t="shared" si="10"/>
        <v/>
      </c>
      <c r="O29" s="69" t="str">
        <f t="shared" si="10"/>
        <v/>
      </c>
      <c r="P29" s="69" t="str">
        <f t="shared" si="10"/>
        <v/>
      </c>
      <c r="Q29" s="63" t="str">
        <f t="shared" si="11"/>
        <v/>
      </c>
      <c r="R29" s="63" t="str">
        <f t="shared" si="11"/>
        <v/>
      </c>
      <c r="S29" s="63" t="str">
        <f t="shared" si="11"/>
        <v/>
      </c>
      <c r="T29" s="63" t="str">
        <f t="shared" si="11"/>
        <v/>
      </c>
      <c r="U29" s="63" t="str">
        <f t="shared" si="11"/>
        <v/>
      </c>
      <c r="V29" s="63" t="str">
        <f t="shared" si="11"/>
        <v/>
      </c>
      <c r="W29" s="63" t="str">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
      </c>
      <c r="X29" s="61" t="str">
        <f t="shared" si="7"/>
        <v>BUY MORE - raises output</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t="str">
        <f t="shared" si="10"/>
        <v/>
      </c>
      <c r="L30" s="69" t="str">
        <f t="shared" si="10"/>
        <v/>
      </c>
      <c r="M30" s="69" t="str">
        <f t="shared" si="10"/>
        <v/>
      </c>
      <c r="N30" s="69" t="str">
        <f t="shared" si="10"/>
        <v/>
      </c>
      <c r="O30" s="69" t="str">
        <f t="shared" si="10"/>
        <v/>
      </c>
      <c r="P30" s="69" t="str">
        <f t="shared" si="10"/>
        <v/>
      </c>
      <c r="Q30" s="63" t="str">
        <f t="shared" si="11"/>
        <v/>
      </c>
      <c r="R30" s="63" t="str">
        <f t="shared" si="11"/>
        <v/>
      </c>
      <c r="S30" s="63" t="str">
        <f t="shared" si="11"/>
        <v/>
      </c>
      <c r="T30" s="63" t="str">
        <f t="shared" si="11"/>
        <v/>
      </c>
      <c r="U30" s="63" t="str">
        <f t="shared" si="11"/>
        <v/>
      </c>
      <c r="V30" s="63" t="str">
        <f t="shared" si="11"/>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
      </c>
      <c r="X30" s="61" t="str">
        <f t="shared" si="7"/>
        <v>BUY MORE - raises output</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t="str">
        <f t="shared" si="10"/>
        <v/>
      </c>
      <c r="L31" s="69" t="str">
        <f t="shared" si="10"/>
        <v/>
      </c>
      <c r="M31" s="69" t="str">
        <f t="shared" si="10"/>
        <v/>
      </c>
      <c r="N31" s="69" t="str">
        <f t="shared" si="10"/>
        <v/>
      </c>
      <c r="O31" s="69" t="str">
        <f t="shared" si="10"/>
        <v/>
      </c>
      <c r="P31" s="69" t="str">
        <f t="shared" si="10"/>
        <v/>
      </c>
      <c r="Q31" s="63" t="str">
        <f t="shared" si="11"/>
        <v/>
      </c>
      <c r="R31" s="63" t="str">
        <f t="shared" si="11"/>
        <v/>
      </c>
      <c r="S31" s="63" t="str">
        <f t="shared" si="11"/>
        <v/>
      </c>
      <c r="T31" s="63" t="str">
        <f t="shared" si="11"/>
        <v/>
      </c>
      <c r="U31" s="63" t="str">
        <f t="shared" si="11"/>
        <v/>
      </c>
      <c r="V31" s="63" t="str">
        <f t="shared" si="11"/>
        <v/>
      </c>
      <c r="W31" s="63" t="str">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
      </c>
      <c r="X31" s="61" t="str">
        <f t="shared" si="7"/>
        <v>BUY MORE - raises output</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t="str">
        <f t="shared" si="10"/>
        <v/>
      </c>
      <c r="L32" s="69" t="str">
        <f t="shared" si="10"/>
        <v/>
      </c>
      <c r="M32" s="69" t="str">
        <f t="shared" si="10"/>
        <v/>
      </c>
      <c r="N32" s="69" t="str">
        <f t="shared" si="10"/>
        <v/>
      </c>
      <c r="O32" s="69" t="str">
        <f t="shared" si="10"/>
        <v/>
      </c>
      <c r="P32" s="69" t="str">
        <f t="shared" si="10"/>
        <v/>
      </c>
      <c r="Q32" s="63" t="str">
        <f t="shared" si="11"/>
        <v/>
      </c>
      <c r="R32" s="63" t="str">
        <f t="shared" si="11"/>
        <v/>
      </c>
      <c r="S32" s="63" t="str">
        <f t="shared" si="11"/>
        <v/>
      </c>
      <c r="T32" s="63" t="str">
        <f t="shared" si="11"/>
        <v/>
      </c>
      <c r="U32" s="63" t="str">
        <f t="shared" si="11"/>
        <v/>
      </c>
      <c r="V32" s="63" t="str">
        <f t="shared" si="11"/>
        <v/>
      </c>
      <c r="W32" s="63" t="str">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
      </c>
      <c r="X32" s="61" t="str">
        <f t="shared" si="7"/>
        <v>BUY MORE - raises output</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t="str">
        <f t="shared" si="10"/>
        <v/>
      </c>
      <c r="L33" s="69" t="str">
        <f t="shared" si="10"/>
        <v/>
      </c>
      <c r="M33" s="69" t="str">
        <f t="shared" si="10"/>
        <v/>
      </c>
      <c r="N33" s="69" t="str">
        <f t="shared" si="10"/>
        <v/>
      </c>
      <c r="O33" s="69" t="str">
        <f t="shared" si="10"/>
        <v/>
      </c>
      <c r="P33" s="69" t="str">
        <f t="shared" si="10"/>
        <v/>
      </c>
      <c r="Q33" s="63" t="str">
        <f t="shared" si="11"/>
        <v/>
      </c>
      <c r="R33" s="63" t="str">
        <f t="shared" si="11"/>
        <v/>
      </c>
      <c r="S33" s="63" t="str">
        <f t="shared" si="11"/>
        <v/>
      </c>
      <c r="T33" s="63" t="str">
        <f t="shared" si="11"/>
        <v/>
      </c>
      <c r="U33" s="63" t="str">
        <f t="shared" si="11"/>
        <v/>
      </c>
      <c r="V33" s="63" t="str">
        <f t="shared" si="11"/>
        <v/>
      </c>
      <c r="W33" s="63" t="str">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
      </c>
      <c r="X33" s="61" t="str">
        <f t="shared" si="7"/>
        <v>BUY MORE - raises output</v>
      </c>
      <c r="Y33" s="62" t="s">
        <v>266</v>
      </c>
    </row>
  </sheetData>
  <mergeCells count="4">
    <mergeCell ref="I3:Y5"/>
    <mergeCell ref="A3:A5"/>
    <mergeCell ref="A2:Y2"/>
    <mergeCell ref="A1:Y1"/>
  </mergeCells>
  <conditionalFormatting sqref="A7:Y33">
    <cfRule type="expression" dxfId="7" priority="1">
      <formula>$N7=$E$4</formula>
    </cfRule>
    <cfRule type="expression" dxfId="6" priority="2">
      <formula>$W7&gt;0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2.6205845163398696</v>
      </c>
      <c r="D11" s="94" t="s">
        <v>301</v>
      </c>
      <c r="E11" s="89"/>
      <c r="F11" s="89"/>
      <c r="G11" s="89"/>
      <c r="H11" s="89"/>
      <c r="I11" s="89"/>
    </row>
    <row r="12" spans="1:9" x14ac:dyDescent="0.35">
      <c r="A12" s="90" t="s">
        <v>302</v>
      </c>
      <c r="B12" s="89"/>
      <c r="C12" s="46">
        <f>ConcCostPerG*ShipLoad</f>
        <v>3.3703177115726932</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314</v>
      </c>
      <c r="B30" s="69">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314</v>
      </c>
      <c r="B31" s="69">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314</v>
      </c>
      <c r="B32" s="69">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9">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316</v>
      </c>
      <c r="B36" s="69">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0.28000000000000003</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2.3800000000000003</v>
      </c>
      <c r="C16" s="24">
        <f t="shared" ref="C16:C21" si="1">$A16*YC_Density*(1-YC_ConcPct)</f>
        <v>6.12</v>
      </c>
      <c r="D16" s="76">
        <f t="shared" ref="D16:D21" si="2">IF(B16=0,"",YC_UsableConc/B16)</f>
        <v>39.80539584254754</v>
      </c>
      <c r="E16" s="76">
        <f t="shared" ref="E16:E21" si="3">IF(C16=0,"",YC_AlcOnHand/C16)</f>
        <v>661.76470588235304</v>
      </c>
      <c r="F16" s="67">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66">
        <v>20</v>
      </c>
      <c r="B17" s="24">
        <f t="shared" si="0"/>
        <v>4.7600000000000007</v>
      </c>
      <c r="C17" s="24">
        <f t="shared" si="1"/>
        <v>12.24</v>
      </c>
      <c r="D17" s="76">
        <f t="shared" si="2"/>
        <v>19.90269792127377</v>
      </c>
      <c r="E17" s="76">
        <f t="shared" si="3"/>
        <v>330.88235294117652</v>
      </c>
      <c r="F17" s="67">
        <f t="shared" si="4"/>
        <v>19</v>
      </c>
      <c r="G17" s="24">
        <f t="shared" si="5"/>
        <v>16.625741533219731</v>
      </c>
      <c r="H17" s="24">
        <f t="shared" si="6"/>
        <v>315.8890891311749</v>
      </c>
      <c r="I17" s="61" t="str">
        <f t="shared" si="7"/>
        <v>concentrate (Iso E Super)</v>
      </c>
    </row>
    <row r="18" spans="1:9" ht="18" x14ac:dyDescent="0.35">
      <c r="A18" s="66">
        <v>30</v>
      </c>
      <c r="B18" s="24">
        <f t="shared" si="0"/>
        <v>7.1400000000000006</v>
      </c>
      <c r="C18" s="24">
        <f t="shared" si="1"/>
        <v>18.36</v>
      </c>
      <c r="D18" s="76">
        <f t="shared" si="2"/>
        <v>13.268465280849179</v>
      </c>
      <c r="E18" s="76">
        <f t="shared" si="3"/>
        <v>220.58823529411768</v>
      </c>
      <c r="F18" s="67">
        <f t="shared" si="4"/>
        <v>13</v>
      </c>
      <c r="G18" s="24">
        <f t="shared" si="5"/>
        <v>24.938612299829597</v>
      </c>
      <c r="H18" s="24">
        <f t="shared" si="6"/>
        <v>324.20195989778477</v>
      </c>
      <c r="I18" s="61" t="str">
        <f t="shared" si="7"/>
        <v>concentrate (Iso E Super)</v>
      </c>
    </row>
    <row r="19" spans="1:9" ht="18" x14ac:dyDescent="0.35">
      <c r="A19" s="66">
        <v>50</v>
      </c>
      <c r="B19" s="24">
        <f t="shared" si="0"/>
        <v>11.9</v>
      </c>
      <c r="C19" s="24">
        <f t="shared" si="1"/>
        <v>30.599999999999998</v>
      </c>
      <c r="D19" s="76">
        <f t="shared" si="2"/>
        <v>7.9610791685095084</v>
      </c>
      <c r="E19" s="76">
        <f t="shared" si="3"/>
        <v>132.35294117647061</v>
      </c>
      <c r="F19" s="67">
        <f t="shared" si="4"/>
        <v>7</v>
      </c>
      <c r="G19" s="24">
        <f t="shared" si="5"/>
        <v>41.564353833049331</v>
      </c>
      <c r="H19" s="24">
        <f t="shared" si="6"/>
        <v>290.95047683134533</v>
      </c>
      <c r="I19" s="61" t="str">
        <f t="shared" si="7"/>
        <v>concentrate (Iso E Super)</v>
      </c>
    </row>
    <row r="20" spans="1:9" ht="18" x14ac:dyDescent="0.35">
      <c r="A20" s="66">
        <v>70</v>
      </c>
      <c r="B20" s="24">
        <f t="shared" si="0"/>
        <v>16.66</v>
      </c>
      <c r="C20" s="24">
        <f t="shared" si="1"/>
        <v>42.839999999999996</v>
      </c>
      <c r="D20" s="76">
        <f t="shared" si="2"/>
        <v>5.6864851203639342</v>
      </c>
      <c r="E20" s="76">
        <f t="shared" si="3"/>
        <v>94.537815126050432</v>
      </c>
      <c r="F20" s="67">
        <f t="shared" si="4"/>
        <v>5</v>
      </c>
      <c r="G20" s="24">
        <f t="shared" si="5"/>
        <v>58.190095366269063</v>
      </c>
      <c r="H20" s="24">
        <f t="shared" si="6"/>
        <v>290.95047683134533</v>
      </c>
      <c r="I20" s="61" t="str">
        <f t="shared" si="7"/>
        <v>concentrate (Iso E Super)</v>
      </c>
    </row>
    <row r="21" spans="1:9" ht="18" x14ac:dyDescent="0.35">
      <c r="A21" s="66">
        <v>100</v>
      </c>
      <c r="B21" s="24">
        <f t="shared" si="0"/>
        <v>23.8</v>
      </c>
      <c r="C21" s="24">
        <f t="shared" si="1"/>
        <v>61.199999999999996</v>
      </c>
      <c r="D21" s="76">
        <f t="shared" si="2"/>
        <v>3.9805395842547542</v>
      </c>
      <c r="E21" s="76">
        <f t="shared" si="3"/>
        <v>66.176470588235304</v>
      </c>
      <c r="F21" s="67">
        <f t="shared" si="4"/>
        <v>3</v>
      </c>
      <c r="G21" s="24">
        <f t="shared" si="5"/>
        <v>83.128707666098663</v>
      </c>
      <c r="H21" s="24">
        <f t="shared" si="6"/>
        <v>249.386122998296</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16</v>
      </c>
      <c r="H27" s="69">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756</v>
      </c>
      <c r="H28" s="69">
        <f t="shared" si="11"/>
        <v>50</v>
      </c>
      <c r="I28" s="63">
        <f t="shared" si="12"/>
        <v>756</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37</v>
      </c>
      <c r="H29" s="69">
        <f t="shared" si="11"/>
        <v>50</v>
      </c>
      <c r="I29" s="63">
        <f t="shared" si="12"/>
        <v>37</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75</v>
      </c>
      <c r="H30" s="69">
        <f t="shared" si="11"/>
        <v>50</v>
      </c>
      <c r="I30" s="63">
        <f t="shared" si="12"/>
        <v>75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15</v>
      </c>
      <c r="H31" s="69">
        <f t="shared" si="11"/>
        <v>50</v>
      </c>
      <c r="I31" s="63">
        <f t="shared" si="12"/>
        <v>15</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25</v>
      </c>
      <c r="H32" s="69">
        <f t="shared" si="11"/>
        <v>50</v>
      </c>
      <c r="I32" s="63">
        <f t="shared" si="12"/>
        <v>25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50</v>
      </c>
      <c r="H33" s="69">
        <f t="shared" si="11"/>
        <v>50</v>
      </c>
      <c r="I33" s="63">
        <f t="shared" si="12"/>
        <v>50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18</v>
      </c>
      <c r="H34" s="69">
        <f t="shared" si="11"/>
        <v>50</v>
      </c>
      <c r="I34" s="63">
        <f t="shared" si="12"/>
        <v>18</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10</v>
      </c>
      <c r="H35" s="69">
        <f t="shared" si="11"/>
        <v>50</v>
      </c>
      <c r="I35" s="63">
        <f t="shared" si="12"/>
        <v>10</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50</v>
      </c>
      <c r="H36" s="69">
        <f t="shared" si="11"/>
        <v>50</v>
      </c>
      <c r="I36" s="63">
        <f t="shared" si="12"/>
        <v>50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2521</v>
      </c>
      <c r="H37" s="69">
        <f t="shared" si="11"/>
        <v>50</v>
      </c>
      <c r="I37" s="63">
        <f t="shared" si="12"/>
        <v>2521</v>
      </c>
    </row>
    <row r="38" spans="1:9" x14ac:dyDescent="0.35">
      <c r="A38" s="53" t="str">
        <f>'Formula Master'!$B$18</f>
        <v>Vanillin Crystals</v>
      </c>
      <c r="B38" s="61" t="str">
        <f>'Formula Master'!$A$18</f>
        <v>BASE</v>
      </c>
      <c r="C38" s="71">
        <f>'Formula Master'!$F$18</f>
        <v>6.5000000000000002E-2</v>
      </c>
      <c r="D38" s="24">
        <f t="shared" si="8"/>
        <v>10</v>
      </c>
      <c r="E38" s="72">
        <f>C38*IF('Formula Master'!$D$18="D10",0.1,1)</f>
        <v>6.5000000000000002E-2</v>
      </c>
      <c r="F38" s="57">
        <f t="shared" si="9"/>
        <v>153.84615384615384</v>
      </c>
      <c r="G38" s="79">
        <f t="shared" si="10"/>
        <v>12</v>
      </c>
      <c r="H38" s="69">
        <f t="shared" si="11"/>
        <v>50</v>
      </c>
      <c r="I38" s="63">
        <f t="shared" si="12"/>
        <v>12</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33</v>
      </c>
      <c r="H39" s="69">
        <f t="shared" si="11"/>
        <v>50</v>
      </c>
      <c r="I39" s="63">
        <f t="shared" si="12"/>
        <v>33</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420</v>
      </c>
      <c r="H40" s="69">
        <f t="shared" si="11"/>
        <v>50</v>
      </c>
      <c r="I40" s="63">
        <f t="shared" si="12"/>
        <v>420</v>
      </c>
    </row>
    <row r="41" spans="1:9" x14ac:dyDescent="0.35">
      <c r="A41" s="53" t="str">
        <f>'Formula Master'!$B$21</f>
        <v>Coumarin</v>
      </c>
      <c r="B41" s="61" t="str">
        <f>'Formula Master'!$A$21</f>
        <v>BASE</v>
      </c>
      <c r="C41" s="71">
        <f>'Formula Master'!$F$21</f>
        <v>0.05</v>
      </c>
      <c r="D41" s="24">
        <f t="shared" si="8"/>
        <v>500</v>
      </c>
      <c r="E41" s="72">
        <f>C41*IF('Formula Master'!$D$21="D10",0.1,1)</f>
        <v>0.05</v>
      </c>
      <c r="F41" s="57">
        <f t="shared" si="9"/>
        <v>10000</v>
      </c>
      <c r="G41" s="79">
        <f t="shared" si="10"/>
        <v>840</v>
      </c>
      <c r="H41" s="69">
        <f t="shared" si="11"/>
        <v>50</v>
      </c>
      <c r="I41" s="63">
        <f t="shared" si="12"/>
        <v>840</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30</v>
      </c>
      <c r="H42" s="69">
        <f t="shared" si="11"/>
        <v>50</v>
      </c>
      <c r="I42" s="63">
        <f t="shared" si="12"/>
        <v>30</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504</v>
      </c>
      <c r="H43" s="69">
        <f t="shared" si="11"/>
        <v>50</v>
      </c>
      <c r="I43" s="63">
        <f t="shared" si="12"/>
        <v>504</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11</v>
      </c>
      <c r="H44" s="69">
        <f t="shared" si="11"/>
        <v>50</v>
      </c>
      <c r="I44" s="63">
        <f t="shared" si="12"/>
        <v>11</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7</v>
      </c>
      <c r="H45" s="69">
        <f t="shared" si="11"/>
        <v>50</v>
      </c>
      <c r="I45" s="63">
        <f t="shared" si="12"/>
        <v>7</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25</v>
      </c>
      <c r="H46" s="69">
        <f t="shared" si="11"/>
        <v>50</v>
      </c>
      <c r="I46" s="63">
        <f t="shared" si="12"/>
        <v>25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21</v>
      </c>
      <c r="H47" s="69">
        <f t="shared" si="11"/>
        <v>50</v>
      </c>
      <c r="I47" s="63">
        <f t="shared" si="12"/>
        <v>21</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10</v>
      </c>
      <c r="H48" s="69">
        <f t="shared" si="11"/>
        <v>50</v>
      </c>
      <c r="I48" s="63">
        <f t="shared" si="12"/>
        <v>10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41</v>
      </c>
      <c r="H49" s="69">
        <f t="shared" si="11"/>
        <v>50</v>
      </c>
      <c r="I49" s="63">
        <f t="shared" si="12"/>
        <v>41</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30</v>
      </c>
      <c r="H50" s="69">
        <f t="shared" si="11"/>
        <v>50</v>
      </c>
      <c r="I50" s="63">
        <f t="shared" si="12"/>
        <v>30</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151</v>
      </c>
      <c r="H51" s="69">
        <f t="shared" si="11"/>
        <v>50</v>
      </c>
      <c r="I51" s="63">
        <f t="shared" si="12"/>
        <v>151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992</v>
      </c>
      <c r="H52" s="69">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132</v>
      </c>
      <c r="D4" s="94" t="s">
        <v>360</v>
      </c>
      <c r="E4" s="89"/>
      <c r="F4" s="89"/>
      <c r="G4" s="89"/>
      <c r="H4" s="89"/>
      <c r="I4" s="89"/>
      <c r="J4" s="89"/>
      <c r="K4" s="89"/>
    </row>
    <row r="5" spans="1:11" x14ac:dyDescent="0.35">
      <c r="A5" s="104" t="s">
        <v>132</v>
      </c>
      <c r="B5" s="89"/>
      <c r="C5" s="20">
        <v>0.28000000000000003</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80">
        <f>SUM($I$27:$I$53)</f>
        <v>3090.9499999999994</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8" t="s">
        <v>381</v>
      </c>
      <c r="B1" s="89"/>
      <c r="C1" s="89"/>
      <c r="D1" s="89"/>
      <c r="E1" s="89"/>
      <c r="F1" s="89"/>
      <c r="G1" s="89"/>
      <c r="H1" s="89"/>
      <c r="I1" s="89"/>
    </row>
    <row r="2" spans="1:9" x14ac:dyDescent="0.35">
      <c r="A2" s="105" t="s">
        <v>382</v>
      </c>
      <c r="B2" s="106"/>
      <c r="C2" s="106"/>
      <c r="D2" s="106"/>
      <c r="E2" s="106"/>
      <c r="F2" s="106"/>
      <c r="G2" s="106"/>
      <c r="H2" s="106"/>
      <c r="I2" s="106"/>
    </row>
    <row r="3" spans="1:9" ht="18" customHeight="1" x14ac:dyDescent="0.35">
      <c r="A3" s="92" t="s">
        <v>383</v>
      </c>
      <c r="B3" s="93"/>
      <c r="C3" s="93"/>
      <c r="D3" s="93"/>
      <c r="E3" s="93"/>
      <c r="F3" s="93"/>
      <c r="G3" s="93"/>
      <c r="H3" s="93"/>
      <c r="I3" s="93"/>
    </row>
    <row r="4" spans="1:9" x14ac:dyDescent="0.35">
      <c r="A4" s="104" t="s">
        <v>132</v>
      </c>
      <c r="B4" s="89"/>
      <c r="C4" s="20">
        <v>0.28000000000000003</v>
      </c>
      <c r="D4" s="94" t="s">
        <v>384</v>
      </c>
      <c r="E4" s="89"/>
      <c r="F4" s="89"/>
      <c r="G4" s="89"/>
      <c r="H4" s="89"/>
      <c r="I4" s="89"/>
    </row>
    <row r="5" spans="1:9" x14ac:dyDescent="0.35">
      <c r="A5" s="104" t="s">
        <v>133</v>
      </c>
      <c r="B5" s="89"/>
      <c r="C5" s="43">
        <v>0.85</v>
      </c>
      <c r="D5" s="94" t="s">
        <v>385</v>
      </c>
      <c r="E5" s="89"/>
      <c r="F5" s="89"/>
      <c r="G5" s="89"/>
      <c r="H5" s="89"/>
      <c r="I5" s="89"/>
    </row>
    <row r="6" spans="1:9" x14ac:dyDescent="0.35">
      <c r="A6" s="104" t="s">
        <v>386</v>
      </c>
      <c r="B6" s="89"/>
      <c r="C6" s="42">
        <v>0</v>
      </c>
      <c r="D6" s="94" t="s">
        <v>387</v>
      </c>
      <c r="E6" s="89"/>
      <c r="F6" s="89"/>
      <c r="G6" s="89"/>
      <c r="H6" s="89"/>
      <c r="I6" s="89"/>
    </row>
    <row r="7" spans="1:9" x14ac:dyDescent="0.35">
      <c r="A7" s="104" t="s">
        <v>388</v>
      </c>
      <c r="B7" s="89"/>
      <c r="C7" s="81">
        <v>3</v>
      </c>
      <c r="D7" s="94" t="s">
        <v>389</v>
      </c>
      <c r="E7" s="89"/>
      <c r="F7" s="89"/>
      <c r="G7" s="89"/>
      <c r="H7" s="89"/>
      <c r="I7" s="89"/>
    </row>
    <row r="8" spans="1:9" x14ac:dyDescent="0.35">
      <c r="A8" s="104" t="s">
        <v>390</v>
      </c>
      <c r="B8" s="89"/>
      <c r="C8" s="20">
        <v>0.15</v>
      </c>
      <c r="D8" s="94" t="s">
        <v>391</v>
      </c>
      <c r="E8" s="89"/>
      <c r="F8" s="89"/>
      <c r="G8" s="89"/>
      <c r="H8" s="89"/>
      <c r="I8" s="89"/>
    </row>
    <row r="9" spans="1:9" x14ac:dyDescent="0.35">
      <c r="A9" s="1"/>
      <c r="B9" s="1"/>
      <c r="C9" s="1"/>
      <c r="D9" s="1"/>
      <c r="E9" s="1"/>
      <c r="F9" s="1"/>
      <c r="G9" s="1"/>
      <c r="H9" s="1"/>
      <c r="I9" s="1"/>
    </row>
    <row r="10" spans="1:9" ht="18" customHeight="1" x14ac:dyDescent="0.35">
      <c r="A10" s="92" t="s">
        <v>392</v>
      </c>
      <c r="B10" s="93"/>
      <c r="C10" s="93"/>
      <c r="D10" s="93"/>
      <c r="E10" s="93"/>
      <c r="F10" s="93"/>
      <c r="G10" s="93"/>
      <c r="H10" s="93"/>
      <c r="I10" s="93"/>
    </row>
    <row r="11" spans="1:9" ht="24" customHeight="1" x14ac:dyDescent="0.35">
      <c r="A11" s="17" t="s">
        <v>339</v>
      </c>
      <c r="B11" s="17" t="s">
        <v>393</v>
      </c>
      <c r="C11" s="17" t="s">
        <v>394</v>
      </c>
      <c r="D11" s="17" t="s">
        <v>395</v>
      </c>
      <c r="E11" s="17" t="s">
        <v>396</v>
      </c>
      <c r="F11" s="17" t="s">
        <v>397</v>
      </c>
      <c r="G11" s="17" t="s">
        <v>398</v>
      </c>
      <c r="H11" s="17" t="s">
        <v>399</v>
      </c>
      <c r="I11" s="17" t="s">
        <v>400</v>
      </c>
    </row>
    <row r="12" spans="1:9" ht="18" x14ac:dyDescent="0.35">
      <c r="A12" s="66">
        <v>30</v>
      </c>
      <c r="B12" s="24">
        <f>$A12*PR_Density*PR_ConcPct*ConcCostPerGLoaded+$A12*PR_Density*(1-PR_ConcPct)*AlcCostPerG</f>
        <v>24.938612299829597</v>
      </c>
      <c r="C12" s="42">
        <v>30</v>
      </c>
      <c r="D12" s="24">
        <f>PR_Labour</f>
        <v>0</v>
      </c>
      <c r="E12" s="50">
        <f>B12+C12+D12</f>
        <v>54.9386122998296</v>
      </c>
      <c r="F12" s="4">
        <f>E12*PR_Mult</f>
        <v>164.8158368994888</v>
      </c>
      <c r="G12" s="24">
        <f>F12*(1+PR_Vat)</f>
        <v>189.53821243441212</v>
      </c>
      <c r="H12" s="24">
        <f>F12-E12</f>
        <v>109.8772245996592</v>
      </c>
      <c r="I12" s="75">
        <f>IF(F12=0,"",(F12-E12)/F12)</f>
        <v>0.66666666666666663</v>
      </c>
    </row>
    <row r="13" spans="1:9" ht="18" x14ac:dyDescent="0.35">
      <c r="A13" s="66">
        <v>50</v>
      </c>
      <c r="B13" s="24">
        <f>$A13*PR_Density*PR_ConcPct*ConcCostPerGLoaded+$A13*PR_Density*(1-PR_ConcPct)*AlcCostPerG</f>
        <v>41.564353833049331</v>
      </c>
      <c r="C13" s="42">
        <v>40</v>
      </c>
      <c r="D13" s="24">
        <f>PR_Labour</f>
        <v>0</v>
      </c>
      <c r="E13" s="50">
        <f>B13+C13+D13</f>
        <v>81.564353833049324</v>
      </c>
      <c r="F13" s="4">
        <f>E13*PR_Mult</f>
        <v>244.69306149914797</v>
      </c>
      <c r="G13" s="24">
        <f>F13*(1+PR_Vat)</f>
        <v>281.39702072402014</v>
      </c>
      <c r="H13" s="24">
        <f>F13-E13</f>
        <v>163.12870766609865</v>
      </c>
      <c r="I13" s="75">
        <f>IF(F13=0,"",(F13-E13)/F13)</f>
        <v>0.66666666666666663</v>
      </c>
    </row>
    <row r="14" spans="1:9" ht="18" x14ac:dyDescent="0.35">
      <c r="A14" s="66">
        <v>100</v>
      </c>
      <c r="B14" s="24">
        <f>$A14*PR_Density*PR_ConcPct*ConcCostPerGLoaded+$A14*PR_Density*(1-PR_ConcPct)*AlcCostPerG</f>
        <v>83.128707666098663</v>
      </c>
      <c r="C14" s="42">
        <v>55</v>
      </c>
      <c r="D14" s="24">
        <f>PR_Labour</f>
        <v>0</v>
      </c>
      <c r="E14" s="50">
        <f>B14+C14+D14</f>
        <v>138.12870766609865</v>
      </c>
      <c r="F14" s="4">
        <f>E14*PR_Mult</f>
        <v>414.38612299829595</v>
      </c>
      <c r="G14" s="24">
        <f>F14*(1+PR_Vat)</f>
        <v>476.54404144804028</v>
      </c>
      <c r="H14" s="24">
        <f>F14-E14</f>
        <v>276.2574153321973</v>
      </c>
      <c r="I14" s="75">
        <f>IF(F14=0,"",(F14-E14)/F14)</f>
        <v>0.66666666666666663</v>
      </c>
    </row>
    <row r="15" spans="1:9" x14ac:dyDescent="0.35">
      <c r="A15" s="1"/>
      <c r="B15" s="1"/>
      <c r="C15" s="1"/>
      <c r="D15" s="1"/>
      <c r="E15" s="1"/>
      <c r="F15" s="1"/>
      <c r="G15" s="1"/>
      <c r="H15" s="1"/>
      <c r="I15" s="1"/>
    </row>
    <row r="16" spans="1:9" ht="18" customHeight="1" x14ac:dyDescent="0.35">
      <c r="A16" s="92" t="s">
        <v>401</v>
      </c>
      <c r="B16" s="93"/>
      <c r="C16" s="93"/>
      <c r="D16" s="93"/>
      <c r="E16" s="93"/>
      <c r="F16" s="93"/>
      <c r="G16" s="93"/>
      <c r="H16" s="93"/>
      <c r="I16" s="93"/>
    </row>
    <row r="17" spans="1:9" ht="24" customHeight="1" x14ac:dyDescent="0.35">
      <c r="A17" s="17" t="s">
        <v>402</v>
      </c>
      <c r="B17" s="17" t="s">
        <v>403</v>
      </c>
      <c r="C17" s="17" t="s">
        <v>404</v>
      </c>
      <c r="D17" s="17" t="s">
        <v>405</v>
      </c>
      <c r="E17" s="17" t="s">
        <v>406</v>
      </c>
      <c r="F17" s="131" t="s">
        <v>407</v>
      </c>
      <c r="G17" s="114"/>
      <c r="H17" s="114"/>
      <c r="I17" s="115"/>
    </row>
    <row r="18" spans="1:9" x14ac:dyDescent="0.35">
      <c r="A18" s="82" t="s">
        <v>408</v>
      </c>
      <c r="B18" s="24">
        <f>$E$13*2</f>
        <v>163.12870766609865</v>
      </c>
      <c r="C18" s="24">
        <f>$E$13*2.5</f>
        <v>203.91088458262331</v>
      </c>
      <c r="D18" s="24">
        <f>$E$13*3</f>
        <v>244.69306149914797</v>
      </c>
      <c r="E18" s="24">
        <f>$E$13*4</f>
        <v>326.2574153321973</v>
      </c>
      <c r="F18" s="110" t="str">
        <f>"Your total cost for a 50 ml = "&amp;TEXT($E$13,"0.00")&amp;" SAR"</f>
        <v>Your total cost for a 50 ml = 81.56 SAR</v>
      </c>
      <c r="G18" s="89"/>
      <c r="H18" s="89"/>
      <c r="I18" s="89"/>
    </row>
    <row r="19" spans="1:9" x14ac:dyDescent="0.35">
      <c r="A19" s="1"/>
      <c r="B19" s="1"/>
      <c r="C19" s="1"/>
      <c r="D19" s="1"/>
      <c r="E19" s="1"/>
      <c r="F19" s="1"/>
      <c r="G19" s="1"/>
      <c r="H19" s="1"/>
      <c r="I19" s="1"/>
    </row>
    <row r="20" spans="1:9" ht="18" customHeight="1" x14ac:dyDescent="0.35">
      <c r="A20" s="92" t="s">
        <v>409</v>
      </c>
      <c r="B20" s="93"/>
      <c r="C20" s="93"/>
      <c r="D20" s="93"/>
      <c r="E20" s="93"/>
      <c r="F20" s="93"/>
      <c r="G20" s="93"/>
      <c r="H20" s="93"/>
      <c r="I20" s="93"/>
    </row>
    <row r="21" spans="1:9" x14ac:dyDescent="0.35">
      <c r="A21" s="90" t="s">
        <v>410</v>
      </c>
      <c r="B21" s="89"/>
      <c r="C21" s="60">
        <v>4</v>
      </c>
      <c r="D21" s="94" t="s">
        <v>411</v>
      </c>
      <c r="E21" s="89"/>
      <c r="F21" s="89"/>
      <c r="G21" s="89"/>
      <c r="H21" s="89"/>
      <c r="I21" s="89"/>
    </row>
    <row r="22" spans="1:9" x14ac:dyDescent="0.35">
      <c r="A22" s="90" t="s">
        <v>412</v>
      </c>
      <c r="B22" s="89"/>
      <c r="C22" s="46">
        <f>PR_NSell*$F$13</f>
        <v>978.77224599659189</v>
      </c>
      <c r="D22" s="94" t="s">
        <v>413</v>
      </c>
      <c r="E22" s="89"/>
      <c r="F22" s="89"/>
      <c r="G22" s="89"/>
      <c r="H22" s="89"/>
      <c r="I22" s="89"/>
    </row>
    <row r="23" spans="1:9" x14ac:dyDescent="0.35">
      <c r="A23" s="90" t="s">
        <v>414</v>
      </c>
      <c r="B23" s="89"/>
      <c r="C23" s="46">
        <f>PR_NSell*$E$13</f>
        <v>326.2574153321973</v>
      </c>
      <c r="D23" s="94" t="s">
        <v>415</v>
      </c>
      <c r="E23" s="89"/>
      <c r="F23" s="89"/>
      <c r="G23" s="89"/>
      <c r="H23" s="89"/>
      <c r="I23" s="89"/>
    </row>
    <row r="24" spans="1:9" x14ac:dyDescent="0.35">
      <c r="A24" s="104" t="s">
        <v>416</v>
      </c>
      <c r="B24" s="89"/>
      <c r="C24" s="46">
        <f>PR_NSell*($F$13-$E$13)</f>
        <v>652.51483066439459</v>
      </c>
      <c r="D24" s="94" t="s">
        <v>417</v>
      </c>
      <c r="E24" s="89"/>
      <c r="F24" s="89"/>
      <c r="G24" s="89"/>
      <c r="H24" s="89"/>
      <c r="I24" s="89"/>
    </row>
    <row r="25" spans="1:9" x14ac:dyDescent="0.35">
      <c r="A25" s="90" t="s">
        <v>418</v>
      </c>
      <c r="B25" s="89"/>
      <c r="C25" s="46">
        <f>$E$13</f>
        <v>81.564353833049324</v>
      </c>
      <c r="D25" s="94" t="s">
        <v>419</v>
      </c>
      <c r="E25" s="89"/>
      <c r="F25" s="89"/>
      <c r="G25" s="89"/>
      <c r="H25" s="89"/>
      <c r="I25" s="89"/>
    </row>
    <row r="26" spans="1:9" x14ac:dyDescent="0.35">
      <c r="A26" s="1"/>
      <c r="B26" s="1"/>
      <c r="C26" s="1"/>
      <c r="D26" s="1"/>
      <c r="E26" s="1"/>
      <c r="F26" s="1"/>
      <c r="G26" s="1"/>
      <c r="H26" s="1"/>
      <c r="I26" s="1"/>
    </row>
    <row r="27" spans="1:9" ht="18" customHeight="1" x14ac:dyDescent="0.35">
      <c r="A27" s="129" t="s">
        <v>420</v>
      </c>
      <c r="B27" s="130"/>
      <c r="C27" s="130"/>
      <c r="D27" s="130"/>
      <c r="E27" s="130"/>
      <c r="F27" s="130"/>
      <c r="G27" s="130"/>
      <c r="H27" s="130"/>
      <c r="I27" s="130"/>
    </row>
    <row r="28" spans="1:9" ht="28" customHeight="1" x14ac:dyDescent="0.35">
      <c r="A28" s="107" t="s">
        <v>421</v>
      </c>
      <c r="B28" s="89"/>
      <c r="C28" s="89"/>
      <c r="D28" s="89"/>
      <c r="E28" s="89"/>
      <c r="F28" s="89"/>
      <c r="G28" s="89"/>
      <c r="H28" s="89"/>
      <c r="I28" s="89"/>
    </row>
    <row r="29" spans="1:9" ht="28" customHeight="1" x14ac:dyDescent="0.35">
      <c r="A29" s="107" t="s">
        <v>422</v>
      </c>
      <c r="B29" s="89"/>
      <c r="C29" s="89"/>
      <c r="D29" s="89"/>
      <c r="E29" s="89"/>
      <c r="F29" s="89"/>
      <c r="G29" s="89"/>
      <c r="H29" s="89"/>
      <c r="I29" s="89"/>
    </row>
    <row r="30" spans="1:9" ht="28" customHeight="1" x14ac:dyDescent="0.35">
      <c r="A30" s="107" t="s">
        <v>423</v>
      </c>
      <c r="B30" s="89"/>
      <c r="C30" s="89"/>
      <c r="D30" s="89"/>
      <c r="E30" s="89"/>
      <c r="F30" s="89"/>
      <c r="G30" s="89"/>
      <c r="H30" s="89"/>
      <c r="I30" s="89"/>
    </row>
    <row r="31" spans="1:9" ht="28" customHeight="1" x14ac:dyDescent="0.35">
      <c r="A31" s="107" t="s">
        <v>424</v>
      </c>
      <c r="B31" s="89"/>
      <c r="C31" s="89"/>
      <c r="D31" s="89"/>
      <c r="E31" s="89"/>
      <c r="F31" s="89"/>
      <c r="G31" s="89"/>
      <c r="H31" s="89"/>
      <c r="I31" s="89"/>
    </row>
    <row r="32" spans="1:9" ht="28" customHeight="1" x14ac:dyDescent="0.35">
      <c r="A32" s="107" t="s">
        <v>425</v>
      </c>
      <c r="B32" s="89"/>
      <c r="C32" s="89"/>
      <c r="D32" s="89"/>
      <c r="E32" s="89"/>
      <c r="F32" s="89"/>
      <c r="G32" s="89"/>
      <c r="H32" s="89"/>
      <c r="I32" s="89"/>
    </row>
    <row r="33" spans="1:9" ht="28" customHeight="1" x14ac:dyDescent="0.35">
      <c r="A33" s="107" t="s">
        <v>426</v>
      </c>
      <c r="B33" s="89"/>
      <c r="C33" s="89"/>
      <c r="D33" s="89"/>
      <c r="E33" s="89"/>
      <c r="F33" s="89"/>
      <c r="G33" s="89"/>
      <c r="H33" s="89"/>
      <c r="I33" s="89"/>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4"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1"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8" t="s">
        <v>427</v>
      </c>
      <c r="B1" s="89"/>
      <c r="C1" s="89"/>
      <c r="D1" s="89"/>
      <c r="E1" s="89"/>
      <c r="F1" s="89"/>
      <c r="G1" s="89"/>
      <c r="H1" s="89"/>
      <c r="I1" s="89"/>
    </row>
    <row r="2" spans="1:9" x14ac:dyDescent="0.35">
      <c r="A2" s="105" t="s">
        <v>428</v>
      </c>
      <c r="B2" s="106"/>
      <c r="C2" s="106"/>
      <c r="D2" s="106"/>
      <c r="E2" s="106"/>
      <c r="F2" s="106"/>
      <c r="G2" s="106"/>
      <c r="H2" s="106"/>
      <c r="I2" s="106"/>
    </row>
    <row r="3" spans="1:9" ht="18" customHeight="1" x14ac:dyDescent="0.35">
      <c r="A3" s="92" t="s">
        <v>429</v>
      </c>
      <c r="B3" s="93"/>
      <c r="C3" s="93"/>
      <c r="D3" s="93"/>
      <c r="E3" s="93"/>
      <c r="F3" s="93"/>
      <c r="G3" s="93"/>
      <c r="H3" s="93"/>
      <c r="I3" s="93"/>
    </row>
    <row r="4" spans="1:9" x14ac:dyDescent="0.35">
      <c r="A4" s="104" t="s">
        <v>430</v>
      </c>
      <c r="B4" s="89"/>
      <c r="C4" s="60">
        <f>ScaleTargetBottles50</f>
        <v>132</v>
      </c>
      <c r="D4" s="94" t="s">
        <v>431</v>
      </c>
      <c r="E4" s="89"/>
      <c r="F4" s="89"/>
      <c r="G4" s="89"/>
      <c r="H4" s="89"/>
      <c r="I4" s="89"/>
    </row>
    <row r="5" spans="1:9" x14ac:dyDescent="0.35">
      <c r="A5" s="104" t="s">
        <v>432</v>
      </c>
      <c r="B5" s="89"/>
      <c r="C5" s="60">
        <f>MIN(8,$C$4)</f>
        <v>8</v>
      </c>
      <c r="D5" s="94" t="s">
        <v>433</v>
      </c>
      <c r="E5" s="89"/>
      <c r="F5" s="89"/>
      <c r="G5" s="89"/>
      <c r="H5" s="89"/>
      <c r="I5" s="89"/>
    </row>
    <row r="6" spans="1:9" x14ac:dyDescent="0.35">
      <c r="A6" s="104" t="s">
        <v>434</v>
      </c>
      <c r="B6" s="89"/>
      <c r="C6" s="20">
        <v>0.35</v>
      </c>
      <c r="D6" s="94" t="s">
        <v>435</v>
      </c>
      <c r="E6" s="89"/>
      <c r="F6" s="89"/>
      <c r="G6" s="89"/>
      <c r="H6" s="89"/>
      <c r="I6" s="89"/>
    </row>
    <row r="7" spans="1:9" x14ac:dyDescent="0.35">
      <c r="A7" s="104" t="s">
        <v>436</v>
      </c>
      <c r="B7" s="89"/>
      <c r="C7" s="20">
        <v>0.1</v>
      </c>
      <c r="D7" s="94" t="s">
        <v>437</v>
      </c>
      <c r="E7" s="89"/>
      <c r="F7" s="89"/>
      <c r="G7" s="89"/>
      <c r="H7" s="89"/>
      <c r="I7" s="89"/>
    </row>
    <row r="8" spans="1:9" x14ac:dyDescent="0.35">
      <c r="A8" s="104" t="s">
        <v>438</v>
      </c>
      <c r="B8" s="89"/>
      <c r="C8" s="20">
        <f>PR_Vat</f>
        <v>0.15</v>
      </c>
      <c r="D8" s="94" t="s">
        <v>439</v>
      </c>
      <c r="E8" s="89"/>
      <c r="F8" s="89"/>
      <c r="G8" s="89"/>
      <c r="H8" s="89"/>
      <c r="I8" s="89"/>
    </row>
    <row r="9" spans="1:9" x14ac:dyDescent="0.35">
      <c r="A9" s="1"/>
      <c r="B9" s="1"/>
      <c r="C9" s="1"/>
      <c r="D9" s="1"/>
      <c r="E9" s="1"/>
      <c r="F9" s="1"/>
      <c r="G9" s="1"/>
      <c r="H9" s="1"/>
      <c r="I9" s="1"/>
    </row>
    <row r="10" spans="1:9" ht="18" customHeight="1" x14ac:dyDescent="0.35">
      <c r="A10" s="92" t="s">
        <v>440</v>
      </c>
      <c r="B10" s="93"/>
      <c r="C10" s="93"/>
      <c r="D10" s="93"/>
      <c r="E10" s="93"/>
      <c r="F10" s="93"/>
      <c r="G10" s="93"/>
      <c r="H10" s="93"/>
      <c r="I10" s="93"/>
    </row>
    <row r="11" spans="1:9" ht="24" customHeight="1" x14ac:dyDescent="0.35">
      <c r="A11" s="17" t="s">
        <v>441</v>
      </c>
      <c r="B11" s="17" t="s">
        <v>442</v>
      </c>
      <c r="C11" s="17" t="s">
        <v>443</v>
      </c>
      <c r="D11" s="17" t="s">
        <v>444</v>
      </c>
      <c r="E11" s="17" t="s">
        <v>445</v>
      </c>
      <c r="F11" s="17" t="s">
        <v>446</v>
      </c>
      <c r="G11" s="17" t="s">
        <v>447</v>
      </c>
      <c r="H11" s="17" t="s">
        <v>448</v>
      </c>
      <c r="I11" s="17" t="s">
        <v>449</v>
      </c>
    </row>
    <row r="12" spans="1:9" ht="18" x14ac:dyDescent="0.35">
      <c r="A12" s="83" t="s">
        <v>450</v>
      </c>
      <c r="B12" s="24">
        <f>'Pricing &amp; Sales'!$E$12</f>
        <v>54.9386122998296</v>
      </c>
      <c r="C12" s="24">
        <f>'Pricing &amp; Sales'!$F$12</f>
        <v>164.8158368994888</v>
      </c>
      <c r="D12" s="80">
        <f>CEILING(C12*(1+$C$7),10)</f>
        <v>190</v>
      </c>
      <c r="E12" s="24">
        <f>D12*(1+$C$8)</f>
        <v>218.49999999999997</v>
      </c>
      <c r="F12" s="24">
        <f>D12-B12</f>
        <v>135.0613877001704</v>
      </c>
      <c r="G12" s="75">
        <f>IF(D12=0,"",F12/D12)</f>
        <v>0.71084940894826532</v>
      </c>
      <c r="H12" s="61" t="s">
        <v>451</v>
      </c>
      <c r="I12" s="61" t="s">
        <v>452</v>
      </c>
    </row>
    <row r="13" spans="1:9" ht="18" x14ac:dyDescent="0.35">
      <c r="A13" s="83" t="s">
        <v>453</v>
      </c>
      <c r="B13" s="24">
        <f>'Pricing &amp; Sales'!$E$13</f>
        <v>81.564353833049324</v>
      </c>
      <c r="C13" s="24">
        <f>'Pricing &amp; Sales'!$F$13</f>
        <v>244.69306149914797</v>
      </c>
      <c r="D13" s="80">
        <f>CEILING(C13*(1+$C$7),10)</f>
        <v>270</v>
      </c>
      <c r="E13" s="24">
        <f>D13*(1+$C$8)</f>
        <v>310.5</v>
      </c>
      <c r="F13" s="24">
        <f>D13-B13</f>
        <v>188.43564616695068</v>
      </c>
      <c r="G13" s="75">
        <f>IF(D13=0,"",F13/D13)</f>
        <v>0.69790980061833585</v>
      </c>
      <c r="H13" s="61" t="s">
        <v>454</v>
      </c>
      <c r="I13" s="61" t="s">
        <v>455</v>
      </c>
    </row>
    <row r="14" spans="1:9" ht="18" x14ac:dyDescent="0.35">
      <c r="A14" s="83" t="s">
        <v>456</v>
      </c>
      <c r="B14" s="24">
        <f>'Pricing &amp; Sales'!$E$14</f>
        <v>138.12870766609865</v>
      </c>
      <c r="C14" s="24">
        <f>'Pricing &amp; Sales'!$F$14</f>
        <v>414.38612299829595</v>
      </c>
      <c r="D14" s="80">
        <f>CEILING(C14*(1+$C$7),10)</f>
        <v>460</v>
      </c>
      <c r="E14" s="24">
        <f>D14*(1+$C$8)</f>
        <v>529</v>
      </c>
      <c r="F14" s="24">
        <f>D14-B14</f>
        <v>321.87129233390135</v>
      </c>
      <c r="G14" s="75">
        <f>IF(D14=0,"",F14/D14)</f>
        <v>0.69972020072587249</v>
      </c>
      <c r="H14" s="61" t="s">
        <v>457</v>
      </c>
      <c r="I14" s="61" t="s">
        <v>458</v>
      </c>
    </row>
    <row r="15" spans="1:9" x14ac:dyDescent="0.35">
      <c r="A15" s="1"/>
      <c r="B15" s="1"/>
      <c r="C15" s="1"/>
      <c r="D15" s="1"/>
      <c r="E15" s="1"/>
      <c r="F15" s="1"/>
      <c r="G15" s="1"/>
      <c r="H15" s="1"/>
      <c r="I15" s="1"/>
    </row>
    <row r="16" spans="1:9" ht="18" customHeight="1" x14ac:dyDescent="0.35">
      <c r="A16" s="92" t="s">
        <v>459</v>
      </c>
      <c r="B16" s="93"/>
      <c r="C16" s="93"/>
      <c r="D16" s="93"/>
      <c r="E16" s="93"/>
      <c r="F16" s="93"/>
      <c r="G16" s="93"/>
      <c r="H16" s="93"/>
      <c r="I16" s="93"/>
    </row>
    <row r="17" spans="1:9" ht="24" customHeight="1" x14ac:dyDescent="0.35">
      <c r="A17" s="17" t="s">
        <v>460</v>
      </c>
      <c r="B17" s="17" t="s">
        <v>461</v>
      </c>
      <c r="C17" s="17" t="s">
        <v>462</v>
      </c>
      <c r="D17" s="17" t="s">
        <v>463</v>
      </c>
      <c r="E17" s="17" t="s">
        <v>464</v>
      </c>
      <c r="F17" s="17" t="s">
        <v>465</v>
      </c>
      <c r="G17" s="17" t="s">
        <v>466</v>
      </c>
      <c r="H17" s="17" t="s">
        <v>467</v>
      </c>
      <c r="I17" s="17" t="s">
        <v>279</v>
      </c>
    </row>
    <row r="18" spans="1:9" ht="24" x14ac:dyDescent="0.35">
      <c r="A18" s="82" t="s">
        <v>468</v>
      </c>
      <c r="B18" s="69">
        <f>MAX($C$4-B19-B20,0)</f>
        <v>93</v>
      </c>
      <c r="C18" s="24">
        <f>$D$13*(1-$C$7)</f>
        <v>243</v>
      </c>
      <c r="D18" s="75">
        <v>0</v>
      </c>
      <c r="E18" s="24">
        <f>B18*C18*(1-D18)</f>
        <v>22599</v>
      </c>
      <c r="F18" s="24">
        <f>'Pricing &amp; Sales'!$E$13</f>
        <v>81.564353833049324</v>
      </c>
      <c r="G18" s="24">
        <f>E18-B18*F18</f>
        <v>15013.515093526414</v>
      </c>
      <c r="H18" s="61" t="s">
        <v>469</v>
      </c>
      <c r="I18" s="84" t="s">
        <v>470</v>
      </c>
    </row>
    <row r="19" spans="1:9" ht="36" x14ac:dyDescent="0.35">
      <c r="A19" s="82" t="s">
        <v>432</v>
      </c>
      <c r="B19" s="69">
        <f>MIN($C$5,$C$4)</f>
        <v>8</v>
      </c>
      <c r="C19" s="24">
        <v>0</v>
      </c>
      <c r="D19" s="75">
        <v>0</v>
      </c>
      <c r="E19" s="24">
        <f>B19*C19*(1-D19)</f>
        <v>0</v>
      </c>
      <c r="F19" s="24">
        <f>'Pricing &amp; Sales'!$E$13</f>
        <v>81.564353833049324</v>
      </c>
      <c r="G19" s="24">
        <f>E19-B19*F19</f>
        <v>-652.51483066439459</v>
      </c>
      <c r="H19" s="61" t="s">
        <v>471</v>
      </c>
      <c r="I19" s="84" t="s">
        <v>472</v>
      </c>
    </row>
    <row r="20" spans="1:9" ht="36" x14ac:dyDescent="0.35">
      <c r="A20" s="82" t="s">
        <v>473</v>
      </c>
      <c r="B20" s="69">
        <f>ROUND(MAX($C$4-B19,0)*0.25,0)</f>
        <v>31</v>
      </c>
      <c r="C20" s="24">
        <f>$D$13</f>
        <v>270</v>
      </c>
      <c r="D20" s="75">
        <f>$C$6</f>
        <v>0.35</v>
      </c>
      <c r="E20" s="24">
        <f>B20*C20*(1-D20)</f>
        <v>5440.5</v>
      </c>
      <c r="F20" s="24">
        <f>'Pricing &amp; Sales'!$E$13</f>
        <v>81.564353833049324</v>
      </c>
      <c r="G20" s="24">
        <f>E20-B20*F20</f>
        <v>2912.0050311754708</v>
      </c>
      <c r="H20" s="61" t="s">
        <v>474</v>
      </c>
      <c r="I20" s="84" t="s">
        <v>475</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2" t="s">
        <v>476</v>
      </c>
      <c r="B23" s="93"/>
      <c r="C23" s="93"/>
      <c r="D23" s="93"/>
      <c r="E23" s="93"/>
      <c r="F23" s="93"/>
      <c r="G23" s="93"/>
      <c r="H23" s="93"/>
      <c r="I23" s="93"/>
    </row>
    <row r="24" spans="1:9" x14ac:dyDescent="0.35">
      <c r="A24" s="107" t="s">
        <v>477</v>
      </c>
      <c r="B24" s="89"/>
      <c r="C24" s="89"/>
      <c r="D24" s="89"/>
      <c r="E24" s="89"/>
      <c r="F24" s="89"/>
      <c r="G24" s="89"/>
      <c r="H24" s="89"/>
      <c r="I24" s="89"/>
    </row>
    <row r="25" spans="1:9" x14ac:dyDescent="0.35">
      <c r="A25" s="107" t="s">
        <v>478</v>
      </c>
      <c r="B25" s="89"/>
      <c r="C25" s="89"/>
      <c r="D25" s="89"/>
      <c r="E25" s="89"/>
      <c r="F25" s="89"/>
      <c r="G25" s="89"/>
      <c r="H25" s="89"/>
      <c r="I25" s="89"/>
    </row>
    <row r="26" spans="1:9" x14ac:dyDescent="0.35">
      <c r="A26" s="107" t="s">
        <v>479</v>
      </c>
      <c r="B26" s="89"/>
      <c r="C26" s="89"/>
      <c r="D26" s="89"/>
      <c r="E26" s="89"/>
      <c r="F26" s="89"/>
      <c r="G26" s="89"/>
      <c r="H26" s="89"/>
      <c r="I26" s="89"/>
    </row>
    <row r="27" spans="1:9" x14ac:dyDescent="0.35">
      <c r="A27" s="107" t="s">
        <v>480</v>
      </c>
      <c r="B27" s="89"/>
      <c r="C27" s="89"/>
      <c r="D27" s="89"/>
      <c r="E27" s="89"/>
      <c r="F27" s="89"/>
      <c r="G27" s="89"/>
      <c r="H27" s="89"/>
      <c r="I27" s="89"/>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481</v>
      </c>
      <c r="B1" s="89"/>
      <c r="C1" s="89"/>
      <c r="D1" s="89"/>
      <c r="E1" s="89"/>
      <c r="F1" s="89"/>
      <c r="G1" s="89"/>
      <c r="H1" s="89"/>
      <c r="I1" s="89"/>
    </row>
    <row r="2" spans="1:9" x14ac:dyDescent="0.35">
      <c r="A2" s="105" t="s">
        <v>482</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483</v>
      </c>
      <c r="B4" s="93"/>
      <c r="C4" s="93"/>
      <c r="D4" s="93"/>
      <c r="E4" s="93"/>
      <c r="F4" s="93"/>
      <c r="G4" s="93"/>
      <c r="H4" s="93"/>
      <c r="I4" s="93"/>
    </row>
    <row r="5" spans="1:9" ht="16" customHeight="1" x14ac:dyDescent="0.35">
      <c r="A5" s="1"/>
      <c r="B5" s="101" t="s">
        <v>484</v>
      </c>
      <c r="C5" s="89"/>
      <c r="D5" s="89"/>
      <c r="E5" s="89"/>
      <c r="F5" s="89"/>
      <c r="G5" s="89"/>
      <c r="H5" s="89"/>
      <c r="I5" s="89"/>
    </row>
    <row r="6" spans="1:9" ht="28" customHeight="1" x14ac:dyDescent="0.35">
      <c r="A6" s="1"/>
      <c r="B6" s="101" t="s">
        <v>485</v>
      </c>
      <c r="C6" s="89"/>
      <c r="D6" s="89"/>
      <c r="E6" s="89"/>
      <c r="F6" s="89"/>
      <c r="G6" s="89"/>
      <c r="H6" s="89"/>
      <c r="I6" s="89"/>
    </row>
    <row r="7" spans="1:9" ht="16" customHeight="1" x14ac:dyDescent="0.35">
      <c r="A7" s="1"/>
      <c r="B7" s="101" t="s">
        <v>486</v>
      </c>
      <c r="C7" s="89"/>
      <c r="D7" s="89"/>
      <c r="E7" s="89"/>
      <c r="F7" s="89"/>
      <c r="G7" s="89"/>
      <c r="H7" s="89"/>
      <c r="I7" s="89"/>
    </row>
    <row r="8" spans="1:9" x14ac:dyDescent="0.35">
      <c r="A8" s="1"/>
      <c r="B8" s="1"/>
      <c r="C8" s="1"/>
      <c r="D8" s="1"/>
      <c r="E8" s="1"/>
      <c r="F8" s="1"/>
      <c r="G8" s="1"/>
      <c r="H8" s="1"/>
      <c r="I8" s="1"/>
    </row>
    <row r="9" spans="1:9" ht="18" customHeight="1" x14ac:dyDescent="0.35">
      <c r="A9" s="92" t="s">
        <v>487</v>
      </c>
      <c r="B9" s="93"/>
      <c r="C9" s="93"/>
      <c r="D9" s="93"/>
      <c r="E9" s="93"/>
      <c r="F9" s="93"/>
      <c r="G9" s="93"/>
      <c r="H9" s="93"/>
      <c r="I9" s="93"/>
    </row>
    <row r="10" spans="1:9" ht="56" customHeight="1" x14ac:dyDescent="0.35">
      <c r="A10" s="1"/>
      <c r="B10" s="101" t="s">
        <v>488</v>
      </c>
      <c r="C10" s="89"/>
      <c r="D10" s="89"/>
      <c r="E10" s="89"/>
      <c r="F10" s="89"/>
      <c r="G10" s="89"/>
      <c r="H10" s="89"/>
      <c r="I10" s="89"/>
    </row>
    <row r="11" spans="1:9" ht="42" customHeight="1" x14ac:dyDescent="0.35">
      <c r="A11" s="1"/>
      <c r="B11" s="101" t="s">
        <v>489</v>
      </c>
      <c r="C11" s="89"/>
      <c r="D11" s="89"/>
      <c r="E11" s="89"/>
      <c r="F11" s="89"/>
      <c r="G11" s="89"/>
      <c r="H11" s="89"/>
      <c r="I11" s="89"/>
    </row>
    <row r="12" spans="1:9" ht="28" customHeight="1" x14ac:dyDescent="0.35">
      <c r="A12" s="1"/>
      <c r="B12" s="101" t="s">
        <v>490</v>
      </c>
      <c r="C12" s="89"/>
      <c r="D12" s="89"/>
      <c r="E12" s="89"/>
      <c r="F12" s="89"/>
      <c r="G12" s="89"/>
      <c r="H12" s="89"/>
      <c r="I12" s="89"/>
    </row>
    <row r="13" spans="1:9" ht="42" customHeight="1" x14ac:dyDescent="0.35">
      <c r="A13" s="1"/>
      <c r="B13" s="101" t="s">
        <v>491</v>
      </c>
      <c r="C13" s="89"/>
      <c r="D13" s="89"/>
      <c r="E13" s="89"/>
      <c r="F13" s="89"/>
      <c r="G13" s="89"/>
      <c r="H13" s="89"/>
      <c r="I13" s="89"/>
    </row>
    <row r="14" spans="1:9" ht="56" customHeight="1" x14ac:dyDescent="0.35">
      <c r="A14" s="1"/>
      <c r="B14" s="101" t="s">
        <v>492</v>
      </c>
      <c r="C14" s="89"/>
      <c r="D14" s="89"/>
      <c r="E14" s="89"/>
      <c r="F14" s="89"/>
      <c r="G14" s="89"/>
      <c r="H14" s="89"/>
      <c r="I14" s="89"/>
    </row>
    <row r="15" spans="1:9" ht="28" customHeight="1" x14ac:dyDescent="0.35">
      <c r="A15" s="1"/>
      <c r="B15" s="101" t="s">
        <v>493</v>
      </c>
      <c r="C15" s="89"/>
      <c r="D15" s="89"/>
      <c r="E15" s="89"/>
      <c r="F15" s="89"/>
      <c r="G15" s="89"/>
      <c r="H15" s="89"/>
      <c r="I15" s="89"/>
    </row>
    <row r="16" spans="1:9" ht="42" customHeight="1" x14ac:dyDescent="0.35">
      <c r="A16" s="1"/>
      <c r="B16" s="101" t="s">
        <v>494</v>
      </c>
      <c r="C16" s="89"/>
      <c r="D16" s="89"/>
      <c r="E16" s="89"/>
      <c r="F16" s="89"/>
      <c r="G16" s="89"/>
      <c r="H16" s="89"/>
      <c r="I16" s="89"/>
    </row>
    <row r="17" spans="1:9" ht="16" customHeight="1" x14ac:dyDescent="0.35">
      <c r="A17" s="1"/>
      <c r="B17" s="101" t="s">
        <v>495</v>
      </c>
      <c r="C17" s="89"/>
      <c r="D17" s="89"/>
      <c r="E17" s="89"/>
      <c r="F17" s="89"/>
      <c r="G17" s="89"/>
      <c r="H17" s="89"/>
      <c r="I17" s="89"/>
    </row>
    <row r="18" spans="1:9" ht="16" customHeight="1" x14ac:dyDescent="0.35">
      <c r="A18" s="1"/>
      <c r="B18" s="101" t="s">
        <v>496</v>
      </c>
      <c r="C18" s="89"/>
      <c r="D18" s="89"/>
      <c r="E18" s="89"/>
      <c r="F18" s="89"/>
      <c r="G18" s="89"/>
      <c r="H18" s="89"/>
      <c r="I18" s="89"/>
    </row>
    <row r="19" spans="1:9" ht="42" customHeight="1" x14ac:dyDescent="0.35">
      <c r="A19" s="1"/>
      <c r="B19" s="101" t="s">
        <v>497</v>
      </c>
      <c r="C19" s="89"/>
      <c r="D19" s="89"/>
      <c r="E19" s="89"/>
      <c r="F19" s="89"/>
      <c r="G19" s="89"/>
      <c r="H19" s="89"/>
      <c r="I19" s="89"/>
    </row>
    <row r="20" spans="1:9" ht="28" customHeight="1" x14ac:dyDescent="0.35">
      <c r="A20" s="1"/>
      <c r="B20" s="101" t="s">
        <v>498</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499</v>
      </c>
      <c r="B22" s="93"/>
      <c r="C22" s="93"/>
      <c r="D22" s="93"/>
      <c r="E22" s="93"/>
      <c r="F22" s="93"/>
      <c r="G22" s="93"/>
      <c r="H22" s="93"/>
      <c r="I22" s="93"/>
    </row>
    <row r="23" spans="1:9" ht="28" customHeight="1" x14ac:dyDescent="0.35">
      <c r="A23" s="1"/>
      <c r="B23" s="101" t="s">
        <v>500</v>
      </c>
      <c r="C23" s="89"/>
      <c r="D23" s="89"/>
      <c r="E23" s="89"/>
      <c r="F23" s="89"/>
      <c r="G23" s="89"/>
      <c r="H23" s="89"/>
      <c r="I23" s="89"/>
    </row>
    <row r="24" spans="1:9" ht="16" customHeight="1" x14ac:dyDescent="0.35">
      <c r="A24" s="1"/>
      <c r="B24" s="101" t="s">
        <v>501</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502</v>
      </c>
      <c r="B26" s="93"/>
      <c r="C26" s="93"/>
      <c r="D26" s="93"/>
      <c r="E26" s="93"/>
      <c r="F26" s="93"/>
      <c r="G26" s="93"/>
      <c r="H26" s="93"/>
      <c r="I26" s="93"/>
    </row>
    <row r="27" spans="1:9" ht="16" customHeight="1" x14ac:dyDescent="0.35">
      <c r="A27" s="1"/>
      <c r="B27" s="101" t="s">
        <v>503</v>
      </c>
      <c r="C27" s="89"/>
      <c r="D27" s="89"/>
      <c r="E27" s="89"/>
      <c r="F27" s="89"/>
      <c r="G27" s="89"/>
      <c r="H27" s="89"/>
      <c r="I27" s="89"/>
    </row>
    <row r="28" spans="1:9" ht="16" customHeight="1" x14ac:dyDescent="0.35">
      <c r="A28" s="1"/>
      <c r="B28" s="101" t="s">
        <v>504</v>
      </c>
      <c r="C28" s="89"/>
      <c r="D28" s="89"/>
      <c r="E28" s="89"/>
      <c r="F28" s="89"/>
      <c r="G28" s="89"/>
      <c r="H28" s="89"/>
      <c r="I28" s="89"/>
    </row>
    <row r="29" spans="1:9" ht="16" customHeight="1" x14ac:dyDescent="0.35">
      <c r="A29" s="1"/>
      <c r="B29" s="101" t="s">
        <v>505</v>
      </c>
      <c r="C29" s="89"/>
      <c r="D29" s="89"/>
      <c r="E29" s="89"/>
      <c r="F29" s="89"/>
      <c r="G29" s="89"/>
      <c r="H29" s="89"/>
      <c r="I29" s="89"/>
    </row>
    <row r="30" spans="1:9" ht="16" customHeight="1" x14ac:dyDescent="0.35">
      <c r="A30" s="1"/>
      <c r="B30" s="101" t="s">
        <v>506</v>
      </c>
      <c r="C30" s="89"/>
      <c r="D30" s="89"/>
      <c r="E30" s="89"/>
      <c r="F30" s="89"/>
      <c r="G30" s="89"/>
      <c r="H30" s="89"/>
      <c r="I30" s="89"/>
    </row>
    <row r="31" spans="1:9" ht="28" customHeight="1" x14ac:dyDescent="0.35">
      <c r="A31" s="1"/>
      <c r="B31" s="101" t="s">
        <v>507</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508</v>
      </c>
      <c r="B33" s="93"/>
      <c r="C33" s="93"/>
      <c r="D33" s="93"/>
      <c r="E33" s="93"/>
      <c r="F33" s="93"/>
      <c r="G33" s="93"/>
      <c r="H33" s="93"/>
      <c r="I33" s="93"/>
    </row>
    <row r="34" spans="1:9" ht="16" customHeight="1" x14ac:dyDescent="0.35">
      <c r="A34" s="1"/>
      <c r="B34" s="101" t="s">
        <v>509</v>
      </c>
      <c r="C34" s="89"/>
      <c r="D34" s="89"/>
      <c r="E34" s="89"/>
      <c r="F34" s="89"/>
      <c r="G34" s="89"/>
      <c r="H34" s="89"/>
      <c r="I34" s="89"/>
    </row>
    <row r="35" spans="1:9" ht="28" customHeight="1" x14ac:dyDescent="0.35">
      <c r="A35" s="1"/>
      <c r="B35" s="101" t="s">
        <v>510</v>
      </c>
      <c r="C35" s="89"/>
      <c r="D35" s="89"/>
      <c r="E35" s="89"/>
      <c r="F35" s="89"/>
      <c r="G35" s="89"/>
      <c r="H35" s="89"/>
      <c r="I35" s="89"/>
    </row>
    <row r="36" spans="1:9" ht="16" customHeight="1" x14ac:dyDescent="0.35">
      <c r="A36" s="1"/>
      <c r="B36" s="101" t="s">
        <v>511</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512</v>
      </c>
      <c r="B38" s="93"/>
      <c r="C38" s="93"/>
      <c r="D38" s="93"/>
      <c r="E38" s="93"/>
      <c r="F38" s="93"/>
      <c r="G38" s="93"/>
      <c r="H38" s="93"/>
      <c r="I38" s="93"/>
    </row>
    <row r="39" spans="1:9" ht="16" customHeight="1" x14ac:dyDescent="0.35">
      <c r="A39" s="1"/>
      <c r="B39" s="101" t="s">
        <v>513</v>
      </c>
      <c r="C39" s="89"/>
      <c r="D39" s="89"/>
      <c r="E39" s="89"/>
      <c r="F39" s="89"/>
      <c r="G39" s="89"/>
      <c r="H39" s="89"/>
      <c r="I39" s="89"/>
    </row>
    <row r="40" spans="1:9" ht="16" customHeight="1" x14ac:dyDescent="0.35">
      <c r="A40" s="1"/>
      <c r="B40" s="101" t="s">
        <v>514</v>
      </c>
      <c r="C40" s="89"/>
      <c r="D40" s="89"/>
      <c r="E40" s="89"/>
      <c r="F40" s="89"/>
      <c r="G40" s="89"/>
      <c r="H40" s="89"/>
      <c r="I40" s="89"/>
    </row>
    <row r="41" spans="1:9" ht="16" customHeight="1" x14ac:dyDescent="0.35">
      <c r="A41" s="1"/>
      <c r="B41" s="101" t="s">
        <v>515</v>
      </c>
      <c r="C41" s="89"/>
      <c r="D41" s="89"/>
      <c r="E41" s="89"/>
      <c r="F41" s="89"/>
      <c r="G41" s="89"/>
      <c r="H41" s="89"/>
      <c r="I41" s="89"/>
    </row>
    <row r="42" spans="1:9" ht="16" customHeight="1" x14ac:dyDescent="0.35">
      <c r="A42" s="1"/>
      <c r="B42" s="101" t="s">
        <v>516</v>
      </c>
      <c r="C42" s="89"/>
      <c r="D42" s="89"/>
      <c r="E42" s="89"/>
      <c r="F42" s="89"/>
      <c r="G42" s="89"/>
      <c r="H42" s="89"/>
      <c r="I42" s="89"/>
    </row>
    <row r="43" spans="1:9" ht="16" customHeight="1" x14ac:dyDescent="0.35">
      <c r="A43" s="1"/>
      <c r="B43" s="101" t="s">
        <v>517</v>
      </c>
      <c r="C43" s="89"/>
      <c r="D43" s="89"/>
      <c r="E43" s="89"/>
      <c r="F43" s="89"/>
      <c r="G43" s="89"/>
      <c r="H43" s="89"/>
      <c r="I43" s="89"/>
    </row>
    <row r="44" spans="1:9" ht="16" customHeight="1" x14ac:dyDescent="0.35">
      <c r="A44" s="1"/>
      <c r="B44" s="101" t="s">
        <v>518</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519</v>
      </c>
      <c r="B1" s="89"/>
      <c r="C1" s="89"/>
      <c r="D1" s="89"/>
      <c r="E1" s="89"/>
      <c r="F1" s="89"/>
      <c r="G1" s="89"/>
      <c r="H1" s="89"/>
      <c r="I1" s="89"/>
    </row>
    <row r="2" spans="1:9" x14ac:dyDescent="0.35">
      <c r="A2" s="105" t="s">
        <v>520</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521</v>
      </c>
      <c r="B4" s="101" t="s">
        <v>522</v>
      </c>
      <c r="C4" s="89"/>
      <c r="D4" s="89"/>
      <c r="E4" s="89"/>
      <c r="F4" s="89"/>
      <c r="G4" s="89"/>
      <c r="H4" s="89"/>
      <c r="I4" s="89"/>
    </row>
    <row r="5" spans="1:9" x14ac:dyDescent="0.35">
      <c r="A5" s="1"/>
      <c r="B5" s="1"/>
      <c r="C5" s="1"/>
      <c r="D5" s="1"/>
      <c r="E5" s="1"/>
      <c r="F5" s="1"/>
      <c r="G5" s="1"/>
      <c r="H5" s="1"/>
      <c r="I5" s="1"/>
    </row>
    <row r="6" spans="1:9" ht="28" customHeight="1" x14ac:dyDescent="0.35">
      <c r="A6" s="85" t="s">
        <v>521</v>
      </c>
      <c r="B6" s="101" t="s">
        <v>523</v>
      </c>
      <c r="C6" s="89"/>
      <c r="D6" s="89"/>
      <c r="E6" s="89"/>
      <c r="F6" s="89"/>
      <c r="G6" s="89"/>
      <c r="H6" s="89"/>
      <c r="I6" s="89"/>
    </row>
    <row r="7" spans="1:9" x14ac:dyDescent="0.35">
      <c r="A7" s="1"/>
      <c r="B7" s="1"/>
      <c r="C7" s="1"/>
      <c r="D7" s="1"/>
      <c r="E7" s="1"/>
      <c r="F7" s="1"/>
      <c r="G7" s="1"/>
      <c r="H7" s="1"/>
      <c r="I7" s="1"/>
    </row>
    <row r="8" spans="1:9" ht="28" customHeight="1" x14ac:dyDescent="0.35">
      <c r="A8" s="85" t="s">
        <v>521</v>
      </c>
      <c r="B8" s="101" t="s">
        <v>524</v>
      </c>
      <c r="C8" s="89"/>
      <c r="D8" s="89"/>
      <c r="E8" s="89"/>
      <c r="F8" s="89"/>
      <c r="G8" s="89"/>
      <c r="H8" s="89"/>
      <c r="I8" s="89"/>
    </row>
    <row r="9" spans="1:9" x14ac:dyDescent="0.35">
      <c r="A9" s="1"/>
      <c r="B9" s="1"/>
      <c r="C9" s="1"/>
      <c r="D9" s="1"/>
      <c r="E9" s="1"/>
      <c r="F9" s="1"/>
      <c r="G9" s="1"/>
      <c r="H9" s="1"/>
      <c r="I9" s="1"/>
    </row>
    <row r="10" spans="1:9" ht="18" customHeight="1" x14ac:dyDescent="0.35">
      <c r="A10" s="86" t="s">
        <v>525</v>
      </c>
      <c r="B10" s="101" t="s">
        <v>526</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525</v>
      </c>
      <c r="B12" s="101" t="s">
        <v>527</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525</v>
      </c>
      <c r="B14" s="101" t="s">
        <v>528</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525</v>
      </c>
      <c r="B16" s="101" t="s">
        <v>529</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525</v>
      </c>
      <c r="B18" s="101" t="s">
        <v>530</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525</v>
      </c>
      <c r="B20" s="101" t="s">
        <v>531</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532</v>
      </c>
      <c r="B22" s="101" t="s">
        <v>533</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532</v>
      </c>
      <c r="B24" s="101" t="s">
        <v>534</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532</v>
      </c>
      <c r="B26" s="101" t="s">
        <v>535</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532</v>
      </c>
      <c r="B28" s="101" t="s">
        <v>536</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537</v>
      </c>
      <c r="C1" s="1" t="s">
        <v>538</v>
      </c>
      <c r="D1" s="1" t="s">
        <v>539</v>
      </c>
      <c r="E1" s="1" t="s">
        <v>225</v>
      </c>
      <c r="F1" s="1"/>
      <c r="G1" s="1" t="s">
        <v>233</v>
      </c>
      <c r="H1" s="1" t="s">
        <v>540</v>
      </c>
      <c r="I1" s="1" t="s">
        <v>223</v>
      </c>
    </row>
    <row r="2" spans="1:9" x14ac:dyDescent="0.35">
      <c r="A2" s="1" t="s">
        <v>314</v>
      </c>
      <c r="B2" s="1">
        <v>0.2</v>
      </c>
      <c r="C2" s="1">
        <v>0.12</v>
      </c>
      <c r="D2" s="1">
        <v>0.3</v>
      </c>
      <c r="E2" s="1">
        <v>0.85</v>
      </c>
      <c r="F2" s="1"/>
      <c r="G2" s="1" t="s">
        <v>541</v>
      </c>
      <c r="H2" s="1" t="s">
        <v>50</v>
      </c>
      <c r="I2" s="1" t="s">
        <v>130</v>
      </c>
    </row>
    <row r="3" spans="1:9" x14ac:dyDescent="0.35">
      <c r="A3" s="1" t="s">
        <v>125</v>
      </c>
      <c r="B3" s="1">
        <v>0.28000000000000003</v>
      </c>
      <c r="C3" s="1">
        <v>0.2</v>
      </c>
      <c r="D3" s="1">
        <v>0.35</v>
      </c>
      <c r="E3" s="1">
        <v>0.85</v>
      </c>
      <c r="F3" s="1"/>
      <c r="G3" s="1" t="s">
        <v>542</v>
      </c>
      <c r="H3" s="1" t="s">
        <v>543</v>
      </c>
      <c r="I3" s="1" t="s">
        <v>237</v>
      </c>
    </row>
    <row r="4" spans="1:9" x14ac:dyDescent="0.35">
      <c r="A4" s="1" t="s">
        <v>315</v>
      </c>
      <c r="B4" s="1">
        <v>0.05</v>
      </c>
      <c r="C4" s="1">
        <v>0.03</v>
      </c>
      <c r="D4" s="1">
        <v>0.06</v>
      </c>
      <c r="E4" s="1">
        <v>0.87</v>
      </c>
      <c r="F4" s="1"/>
      <c r="G4" s="1" t="s">
        <v>544</v>
      </c>
      <c r="H4" s="1"/>
      <c r="I4" s="1"/>
    </row>
    <row r="5" spans="1:9" x14ac:dyDescent="0.35">
      <c r="A5" s="1" t="s">
        <v>150</v>
      </c>
      <c r="B5" s="1">
        <v>2.5000000000000001E-2</v>
      </c>
      <c r="C5" s="1">
        <v>0.02</v>
      </c>
      <c r="D5" s="1">
        <v>0.03</v>
      </c>
      <c r="E5" s="1">
        <v>0.99</v>
      </c>
      <c r="F5" s="1"/>
      <c r="G5" s="1"/>
      <c r="H5" s="1"/>
      <c r="I5" s="1"/>
    </row>
    <row r="6" spans="1:9" x14ac:dyDescent="0.35">
      <c r="A6" s="1" t="s">
        <v>545</v>
      </c>
      <c r="B6" s="1">
        <v>0.01</v>
      </c>
      <c r="C6" s="1">
        <v>8.0000000000000002E-3</v>
      </c>
      <c r="D6" s="1">
        <v>1.2E-2</v>
      </c>
      <c r="E6" s="1">
        <v>0.98</v>
      </c>
      <c r="F6" s="1"/>
      <c r="G6" s="1"/>
      <c r="H6" s="1"/>
      <c r="I6" s="1"/>
    </row>
    <row r="7" spans="1:9" x14ac:dyDescent="0.35">
      <c r="A7" s="1" t="s">
        <v>546</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2026-07-11T05:07:28Z</dcterms:modified>
</cp:coreProperties>
</file>