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ousif's PC\Desktop\Ai Projects\Perfume\SAMR\"/>
    </mc:Choice>
  </mc:AlternateContent>
  <xr:revisionPtr revIDLastSave="0" documentId="13_ncr:1_{68BC76CA-F252-40D5-A2C1-535D97B8CD1A}" xr6:coauthVersionLast="47" xr6:coauthVersionMax="47" xr10:uidLastSave="{00000000-0000-0000-0000-000000000000}"/>
  <bookViews>
    <workbookView xWindow="-110" yWindow="-110" windowWidth="25820" windowHeight="15500" xr2:uid="{00000000-000D-0000-FFFF-FFFF00000000}"/>
  </bookViews>
  <sheets>
    <sheet name="Dashboard" sheetId="1" r:id="rId1"/>
    <sheet name="The Scent" sheetId="2" r:id="rId2"/>
    <sheet name="Formula Master" sheetId="3" r:id="rId3"/>
    <sheet name="Batch Calculator" sheetId="4" r:id="rId4"/>
    <sheet name="Dilution Prep (D10)" sheetId="5" r:id="rId5"/>
    <sheet name="Inventory" sheetId="6" r:id="rId6"/>
    <sheet name="Inventory Bottles" sheetId="7" r:id="rId7"/>
    <sheet name="Production Log" sheetId="8" r:id="rId8"/>
    <sheet name="Maceration Tracker" sheetId="9" r:id="rId9"/>
    <sheet name="Cost Analysis" sheetId="10" r:id="rId10"/>
    <sheet name="Yield &amp; Capacity" sheetId="11" r:id="rId11"/>
    <sheet name="Scale-Up Plan" sheetId="12" r:id="rId12"/>
    <sheet name="Pricing &amp; Sales" sheetId="13" r:id="rId13"/>
    <sheet name="Selling Strategy" sheetId="14" r:id="rId14"/>
    <sheet name="Process Reference" sheetId="15" r:id="rId15"/>
    <sheet name="Safety Notes" sheetId="16" r:id="rId16"/>
    <sheet name="Lists" sheetId="17" state="hidden" r:id="rId17"/>
  </sheets>
  <definedNames>
    <definedName name="AlcCostPerG">'Cost Analysis'!$C$16</definedName>
    <definedName name="AlcoholG">'Batch Calculator'!$D$58</definedName>
    <definedName name="AlcoholUsedG">'Production Log'!$I$3</definedName>
    <definedName name="AuxCostPerG">'Cost Analysis'!$C$16:$C$26</definedName>
    <definedName name="AuxGrams">'Batch Calculator'!$D$58:$D$68</definedName>
    <definedName name="BatchCostSAR">'Batch Calculator'!$C$24</definedName>
    <definedName name="BatchFormat">'Batch Calculator'!$C$4</definedName>
    <definedName name="BatchSize">'Batch Calculator'!$C$5</definedName>
    <definedName name="BatchUnit">'Batch Calculator'!$C$6</definedName>
    <definedName name="BatchVolMl">'Batch Calculator'!$C$22</definedName>
    <definedName name="ConcCostPerG">'Cost Analysis'!$C$11</definedName>
    <definedName name="ConcCostPerGLoaded">'Cost Analysis'!$C$12</definedName>
    <definedName name="ConcG">'Batch Calculator'!$C$23</definedName>
    <definedName name="ConcPct">'Batch Calculator'!$C$7</definedName>
    <definedName name="CostPerMl">'Batch Calculator'!$C$25</definedName>
    <definedName name="CR2ButterPct">'Batch Calculator'!$G$17</definedName>
    <definedName name="CR2CetPct">'Batch Calculator'!$G$15</definedName>
    <definedName name="CR2EwaxPct">'Batch Calculator'!$G$14</definedName>
    <definedName name="CR2GlyPct">'Batch Calculator'!$G$13</definedName>
    <definedName name="CR2OilPct">'Batch Calculator'!$G$16</definedName>
    <definedName name="CR2PresPct">'Batch Calculator'!$G$18</definedName>
    <definedName name="CreamBaseG">'Batch Calculator'!$D$63</definedName>
    <definedName name="D10ActivePct">'Formula Master'!$I$4</definedName>
    <definedName name="DefaultBatchAlcG">Inventory!$K$2</definedName>
    <definedName name="DefaultBatchConcG">Inventory!$H$2</definedName>
    <definedName name="DPGPricePerG">'Cost Analysis'!$C$10</definedName>
    <definedName name="FinishedDensity">'Batch Calculator'!$C$8</definedName>
    <definedName name="FM_Active">'Formula Master'!$F$7:$F$31</definedName>
    <definedName name="FM_CostG">'Formula Master'!$H$7:$H$31</definedName>
    <definedName name="FM_D10">'Formula Master'!$D$7:$D$31</definedName>
    <definedName name="FM_InputPct">'Formula Master'!$C$7:$C$31</definedName>
    <definedName name="FM_Mat">'Formula Master'!$B$7:$B$31</definedName>
    <definedName name="FormatDefaults">Lists!$A$2:$E$7</definedName>
    <definedName name="FormatList">Lists!$A$2:$A$7</definedName>
    <definedName name="GlycerinG">'Batch Calculator'!$D$60</definedName>
    <definedName name="IncludeOptionals">'Formula Master'!$C$4</definedName>
    <definedName name="Inv_GramsBought">Inventory!$F$4:$F$30</definedName>
    <definedName name="Inv_LowJoined">Inventory!$Q$30</definedName>
    <definedName name="Inv_LowNames">Inventory!$P$4:$P$30</definedName>
    <definedName name="Inv_Mat">Inventory!$A$4:$A$30</definedName>
    <definedName name="Inv_OnHand">Inventory!$K$4:$K$30</definedName>
    <definedName name="Inv_PricePerG">Inventory!$I$4:$I$30</definedName>
    <definedName name="Inv_Threshold">Inventory!$L$4:$L$30</definedName>
    <definedName name="Inv_TotalPaid">Inventory!$H$4:$H$30</definedName>
    <definedName name="LogAlcG">'Production Log'!$H$5:$H$44</definedName>
    <definedName name="LogConcG">'Production Log'!$G$5:$G$44</definedName>
    <definedName name="LogEnd">'Production Log'!$J$5:$J$44</definedName>
    <definedName name="LogID">'Production Log'!$B$5:$B$44</definedName>
    <definedName name="LogMacStart">'Production Log'!$M$5:$M$44</definedName>
    <definedName name="LogStart">'Production Log'!$I$5:$I$44</definedName>
    <definedName name="LogStatus">'Production Log'!$K$5:$K$44</definedName>
    <definedName name="MacDays">'Production Log'!$C$3</definedName>
    <definedName name="MaterialsTotalSAR">'Cost Analysis'!$C$4</definedName>
    <definedName name="MistGlyPct">'Batch Calculator'!$C$13</definedName>
    <definedName name="MistWaterPct">'Batch Calculator'!$C$14</definedName>
    <definedName name="OptPctSum">'Formula Master'!$I$3</definedName>
    <definedName name="PolysorbateG">'Batch Calculator'!$D$61</definedName>
    <definedName name="PR_ConcPct">'Pricing &amp; Sales'!$C$4</definedName>
    <definedName name="PR_Density">'Pricing &amp; Sales'!$C$5</definedName>
    <definedName name="PR_Labour">'Pricing &amp; Sales'!$C$6</definedName>
    <definedName name="PR_Mult">'Pricing &amp; Sales'!$C$7</definedName>
    <definedName name="PR_NSell">'Pricing &amp; Sales'!$C$24</definedName>
    <definedName name="PR_Vat">'Pricing &amp; Sales'!$C$8</definedName>
    <definedName name="PreservativeG">'Batch Calculator'!$D$62</definedName>
    <definedName name="_xlnm.Print_Area" localSheetId="3">'Batch Calculator'!$A$1:$H$76</definedName>
    <definedName name="ScaleBuyCostSAR">'Scale-Up Plan'!$H$12</definedName>
    <definedName name="ScaleTargetBottles50">'Scale-Up Plan'!$C$4</definedName>
    <definedName name="ScaleTargetConcG">'Scale-Up Plan'!$B$12</definedName>
    <definedName name="ShipLoad">'Cost Analysis'!$C$7</definedName>
    <definedName name="ShippingSAR">'Cost Analysis'!$C$5</definedName>
    <definedName name="SolubRatio">'Batch Calculator'!$C$15</definedName>
    <definedName name="StatusList">Lists!$G$2:$G$4</definedName>
    <definedName name="StockValueSAR">'Cost Analysis'!$C$40</definedName>
    <definedName name="StrategyHeroPrice">'Selling Strategy'!$F$15</definedName>
    <definedName name="StrategyLaunchUnits">'Selling Strategy'!$C$4</definedName>
    <definedName name="TotalCapital">'Cost Analysis'!$C$6</definedName>
    <definedName name="TotalConcUsedG">'Production Log'!$F$3</definedName>
    <definedName name="TotalMassG">'Batch Calculator'!$C$21</definedName>
    <definedName name="UnitList">Lists!$I$2:$I$3</definedName>
    <definedName name="VitEPct">'Batch Calculator'!$C$18</definedName>
    <definedName name="WaterG">'Batch Calculator'!$D$59</definedName>
    <definedName name="WaterPct">'Batch Calculator'!$C$12</definedName>
    <definedName name="WMGlyPct">'Batch Calculator'!$C$16</definedName>
    <definedName name="WMPresPct">'Batch Calculator'!$C$17</definedName>
    <definedName name="YC_AlcOnHand">'Yield &amp; Capacity'!$D$11</definedName>
    <definedName name="YC_Basis">'Yield &amp; Capacity'!$C$7</definedName>
    <definedName name="YC_ConcPct">'Yield &amp; Capacity'!$C$4</definedName>
    <definedName name="YC_Density">'Yield &amp; Capacity'!$C$5</definedName>
    <definedName name="YC_DPGOnHand">'Yield &amp; Capacity'!$E$11</definedName>
    <definedName name="YC_LimitMat">'Yield &amp; Capacity'!$F$11</definedName>
    <definedName name="YC_Loss">'Yield &amp; Capacity'!$C$6</definedName>
    <definedName name="YC_MatBottleMl">'Yield &amp; Capacity'!$I$8</definedName>
    <definedName name="YC_MaxConc">'Yield &amp; Capacity'!$B$11</definedName>
    <definedName name="YC_UsableConc">'Yield &amp; Capacity'!$C$11</definedName>
    <definedName name="YesNoList">Lists!$H$2:$H$3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14" l="1"/>
  <c r="C8" i="14"/>
  <c r="D17" i="13"/>
  <c r="D16" i="13"/>
  <c r="D15" i="13"/>
  <c r="D14" i="13"/>
  <c r="D13" i="13"/>
  <c r="D12" i="13"/>
  <c r="G53" i="12"/>
  <c r="C53" i="12"/>
  <c r="G52" i="12"/>
  <c r="B43" i="12"/>
  <c r="A43" i="12"/>
  <c r="B42" i="12"/>
  <c r="A42" i="12"/>
  <c r="B41" i="12"/>
  <c r="A41" i="12"/>
  <c r="B40" i="12"/>
  <c r="A40" i="12"/>
  <c r="B39" i="12"/>
  <c r="A39" i="12"/>
  <c r="B38" i="12"/>
  <c r="A38" i="12"/>
  <c r="B37" i="12"/>
  <c r="A37" i="12"/>
  <c r="B36" i="12"/>
  <c r="A36" i="12"/>
  <c r="B35" i="12"/>
  <c r="A35" i="12"/>
  <c r="B34" i="12"/>
  <c r="A34" i="12"/>
  <c r="B33" i="12"/>
  <c r="A33" i="12"/>
  <c r="B32" i="12"/>
  <c r="A32" i="12"/>
  <c r="B31" i="12"/>
  <c r="A31" i="12"/>
  <c r="B30" i="12"/>
  <c r="A30" i="12"/>
  <c r="B29" i="12"/>
  <c r="A29" i="12"/>
  <c r="B28" i="12"/>
  <c r="A28" i="12"/>
  <c r="B27" i="12"/>
  <c r="A27" i="12"/>
  <c r="B26" i="12"/>
  <c r="A26" i="12"/>
  <c r="B25" i="12"/>
  <c r="A25" i="12"/>
  <c r="B24" i="12"/>
  <c r="A24" i="12"/>
  <c r="B23" i="12"/>
  <c r="A23" i="12"/>
  <c r="B22" i="12"/>
  <c r="A22" i="12"/>
  <c r="G22" i="12" s="1"/>
  <c r="B21" i="12"/>
  <c r="A21" i="12"/>
  <c r="B20" i="12"/>
  <c r="A20" i="12"/>
  <c r="B19" i="12"/>
  <c r="A19" i="12"/>
  <c r="H52" i="11"/>
  <c r="H51" i="11"/>
  <c r="B51" i="11"/>
  <c r="A51" i="11"/>
  <c r="H50" i="11"/>
  <c r="B50" i="11"/>
  <c r="A50" i="11"/>
  <c r="H49" i="11"/>
  <c r="B49" i="11"/>
  <c r="A49" i="11"/>
  <c r="H48" i="11"/>
  <c r="B48" i="11"/>
  <c r="A48" i="11"/>
  <c r="H47" i="11"/>
  <c r="B47" i="11"/>
  <c r="A47" i="11"/>
  <c r="H46" i="11"/>
  <c r="B46" i="11"/>
  <c r="A46" i="11"/>
  <c r="H45" i="11"/>
  <c r="B45" i="11"/>
  <c r="A45" i="11"/>
  <c r="H44" i="11"/>
  <c r="B44" i="11"/>
  <c r="A44" i="11"/>
  <c r="H43" i="11"/>
  <c r="B43" i="11"/>
  <c r="A43" i="11"/>
  <c r="H42" i="11"/>
  <c r="B42" i="11"/>
  <c r="A42" i="11"/>
  <c r="H41" i="11"/>
  <c r="B41" i="11"/>
  <c r="A41" i="11"/>
  <c r="H40" i="11"/>
  <c r="B40" i="11"/>
  <c r="A40" i="11"/>
  <c r="H39" i="11"/>
  <c r="B39" i="11"/>
  <c r="A39" i="11"/>
  <c r="H38" i="11"/>
  <c r="B38" i="11"/>
  <c r="A38" i="11"/>
  <c r="H37" i="11"/>
  <c r="B37" i="11"/>
  <c r="A37" i="11"/>
  <c r="H36" i="11"/>
  <c r="B36" i="11"/>
  <c r="A36" i="11"/>
  <c r="H35" i="11"/>
  <c r="B35" i="11"/>
  <c r="A35" i="11"/>
  <c r="H34" i="11"/>
  <c r="B34" i="11"/>
  <c r="A34" i="11"/>
  <c r="H33" i="11"/>
  <c r="B33" i="11"/>
  <c r="A33" i="11"/>
  <c r="H32" i="11"/>
  <c r="B32" i="11"/>
  <c r="A32" i="11"/>
  <c r="H31" i="11"/>
  <c r="B31" i="11"/>
  <c r="A31" i="11"/>
  <c r="H30" i="11"/>
  <c r="B30" i="11"/>
  <c r="A30" i="11"/>
  <c r="H29" i="11"/>
  <c r="B29" i="11"/>
  <c r="A29" i="11"/>
  <c r="H28" i="11"/>
  <c r="B28" i="11"/>
  <c r="A28" i="11"/>
  <c r="H27" i="11"/>
  <c r="B27" i="11"/>
  <c r="A27" i="11"/>
  <c r="C21" i="11"/>
  <c r="B21" i="11"/>
  <c r="C20" i="11"/>
  <c r="B20" i="11"/>
  <c r="C19" i="11"/>
  <c r="B19" i="11"/>
  <c r="C18" i="11"/>
  <c r="B18" i="11"/>
  <c r="C17" i="11"/>
  <c r="B17" i="11"/>
  <c r="C16" i="11"/>
  <c r="B16" i="11"/>
  <c r="A14" i="11"/>
  <c r="E37" i="10"/>
  <c r="G37" i="10" s="1"/>
  <c r="E36" i="10"/>
  <c r="G36" i="10" s="1"/>
  <c r="E35" i="10"/>
  <c r="G35" i="10" s="1"/>
  <c r="E34" i="10"/>
  <c r="G34" i="10" s="1"/>
  <c r="E33" i="10"/>
  <c r="G33" i="10" s="1"/>
  <c r="E32" i="10"/>
  <c r="G32" i="10" s="1"/>
  <c r="E31" i="10"/>
  <c r="G31" i="10" s="1"/>
  <c r="E30" i="10"/>
  <c r="G30" i="10" s="1"/>
  <c r="H44" i="9"/>
  <c r="C44" i="9"/>
  <c r="B44" i="9"/>
  <c r="A44" i="9"/>
  <c r="I44" i="9" s="1"/>
  <c r="H43" i="9"/>
  <c r="C43" i="9"/>
  <c r="B43" i="9"/>
  <c r="A43" i="9"/>
  <c r="I43" i="9" s="1"/>
  <c r="H42" i="9"/>
  <c r="C42" i="9"/>
  <c r="B42" i="9"/>
  <c r="A42" i="9"/>
  <c r="I42" i="9" s="1"/>
  <c r="H41" i="9"/>
  <c r="C41" i="9"/>
  <c r="B41" i="9"/>
  <c r="A41" i="9"/>
  <c r="I41" i="9" s="1"/>
  <c r="H40" i="9"/>
  <c r="C40" i="9"/>
  <c r="B40" i="9"/>
  <c r="A40" i="9"/>
  <c r="I40" i="9" s="1"/>
  <c r="H39" i="9"/>
  <c r="C39" i="9"/>
  <c r="B39" i="9"/>
  <c r="A39" i="9"/>
  <c r="I39" i="9" s="1"/>
  <c r="H38" i="9"/>
  <c r="C38" i="9"/>
  <c r="B38" i="9"/>
  <c r="A38" i="9"/>
  <c r="I38" i="9" s="1"/>
  <c r="H37" i="9"/>
  <c r="C37" i="9"/>
  <c r="B37" i="9"/>
  <c r="A37" i="9"/>
  <c r="I37" i="9" s="1"/>
  <c r="H36" i="9"/>
  <c r="C36" i="9"/>
  <c r="B36" i="9"/>
  <c r="A36" i="9"/>
  <c r="I36" i="9" s="1"/>
  <c r="H35" i="9"/>
  <c r="C35" i="9"/>
  <c r="B35" i="9"/>
  <c r="A35" i="9"/>
  <c r="I35" i="9" s="1"/>
  <c r="H34" i="9"/>
  <c r="C34" i="9"/>
  <c r="B34" i="9"/>
  <c r="A34" i="9"/>
  <c r="I34" i="9" s="1"/>
  <c r="H33" i="9"/>
  <c r="C33" i="9"/>
  <c r="B33" i="9"/>
  <c r="A33" i="9"/>
  <c r="I33" i="9" s="1"/>
  <c r="H32" i="9"/>
  <c r="C32" i="9"/>
  <c r="B32" i="9"/>
  <c r="A32" i="9"/>
  <c r="I32" i="9" s="1"/>
  <c r="H31" i="9"/>
  <c r="C31" i="9"/>
  <c r="B31" i="9"/>
  <c r="A31" i="9"/>
  <c r="I31" i="9" s="1"/>
  <c r="H30" i="9"/>
  <c r="C30" i="9"/>
  <c r="B30" i="9"/>
  <c r="A30" i="9"/>
  <c r="I30" i="9" s="1"/>
  <c r="H29" i="9"/>
  <c r="C29" i="9"/>
  <c r="B29" i="9"/>
  <c r="A29" i="9"/>
  <c r="I29" i="9" s="1"/>
  <c r="H28" i="9"/>
  <c r="C28" i="9"/>
  <c r="B28" i="9"/>
  <c r="A28" i="9"/>
  <c r="I28" i="9" s="1"/>
  <c r="H27" i="9"/>
  <c r="C27" i="9"/>
  <c r="B27" i="9"/>
  <c r="A27" i="9"/>
  <c r="I27" i="9" s="1"/>
  <c r="H26" i="9"/>
  <c r="C26" i="9"/>
  <c r="B26" i="9"/>
  <c r="A26" i="9"/>
  <c r="I26" i="9" s="1"/>
  <c r="H25" i="9"/>
  <c r="C25" i="9"/>
  <c r="B25" i="9"/>
  <c r="A25" i="9"/>
  <c r="I25" i="9" s="1"/>
  <c r="H24" i="9"/>
  <c r="C24" i="9"/>
  <c r="B24" i="9"/>
  <c r="A24" i="9"/>
  <c r="I24" i="9" s="1"/>
  <c r="H23" i="9"/>
  <c r="C23" i="9"/>
  <c r="B23" i="9"/>
  <c r="A23" i="9"/>
  <c r="I23" i="9" s="1"/>
  <c r="H22" i="9"/>
  <c r="C22" i="9"/>
  <c r="B22" i="9"/>
  <c r="A22" i="9"/>
  <c r="I22" i="9" s="1"/>
  <c r="H21" i="9"/>
  <c r="C21" i="9"/>
  <c r="B21" i="9"/>
  <c r="A21" i="9"/>
  <c r="I21" i="9" s="1"/>
  <c r="H20" i="9"/>
  <c r="C20" i="9"/>
  <c r="B20" i="9"/>
  <c r="A20" i="9"/>
  <c r="I20" i="9" s="1"/>
  <c r="H19" i="9"/>
  <c r="C19" i="9"/>
  <c r="B19" i="9"/>
  <c r="A19" i="9"/>
  <c r="I19" i="9" s="1"/>
  <c r="H18" i="9"/>
  <c r="C18" i="9"/>
  <c r="B18" i="9"/>
  <c r="A18" i="9"/>
  <c r="I18" i="9" s="1"/>
  <c r="H17" i="9"/>
  <c r="C17" i="9"/>
  <c r="B17" i="9"/>
  <c r="A17" i="9"/>
  <c r="I17" i="9" s="1"/>
  <c r="H16" i="9"/>
  <c r="C16" i="9"/>
  <c r="B16" i="9"/>
  <c r="A16" i="9"/>
  <c r="I16" i="9" s="1"/>
  <c r="H15" i="9"/>
  <c r="C15" i="9"/>
  <c r="B15" i="9"/>
  <c r="A15" i="9"/>
  <c r="I15" i="9" s="1"/>
  <c r="H14" i="9"/>
  <c r="C14" i="9"/>
  <c r="B14" i="9"/>
  <c r="A14" i="9"/>
  <c r="I14" i="9" s="1"/>
  <c r="H13" i="9"/>
  <c r="C13" i="9"/>
  <c r="B13" i="9"/>
  <c r="A13" i="9"/>
  <c r="I13" i="9" s="1"/>
  <c r="H12" i="9"/>
  <c r="C12" i="9"/>
  <c r="B12" i="9"/>
  <c r="A12" i="9"/>
  <c r="I12" i="9" s="1"/>
  <c r="H11" i="9"/>
  <c r="C11" i="9"/>
  <c r="B11" i="9"/>
  <c r="A11" i="9"/>
  <c r="I11" i="9" s="1"/>
  <c r="H10" i="9"/>
  <c r="C10" i="9"/>
  <c r="B10" i="9"/>
  <c r="A10" i="9"/>
  <c r="I10" i="9" s="1"/>
  <c r="H9" i="9"/>
  <c r="C9" i="9"/>
  <c r="B9" i="9"/>
  <c r="A9" i="9"/>
  <c r="I9" i="9" s="1"/>
  <c r="H8" i="9"/>
  <c r="C8" i="9"/>
  <c r="B8" i="9"/>
  <c r="A8" i="9"/>
  <c r="I8" i="9" s="1"/>
  <c r="H7" i="9"/>
  <c r="C7" i="9"/>
  <c r="B7" i="9"/>
  <c r="A7" i="9"/>
  <c r="I7" i="9" s="1"/>
  <c r="H6" i="9"/>
  <c r="C6" i="9"/>
  <c r="B6" i="9"/>
  <c r="A6" i="9"/>
  <c r="I6" i="9" s="1"/>
  <c r="H5" i="9"/>
  <c r="C5" i="9"/>
  <c r="B5" i="9"/>
  <c r="A5" i="9"/>
  <c r="I5" i="9" s="1"/>
  <c r="M44" i="8"/>
  <c r="J44" i="8"/>
  <c r="D44" i="9" s="1"/>
  <c r="F44" i="9" s="1"/>
  <c r="M43" i="8"/>
  <c r="J43" i="8"/>
  <c r="D43" i="9" s="1"/>
  <c r="F43" i="9" s="1"/>
  <c r="M42" i="8"/>
  <c r="J42" i="8"/>
  <c r="D42" i="9" s="1"/>
  <c r="F42" i="9" s="1"/>
  <c r="M41" i="8"/>
  <c r="J41" i="8"/>
  <c r="D41" i="9" s="1"/>
  <c r="F41" i="9" s="1"/>
  <c r="M40" i="8"/>
  <c r="J40" i="8"/>
  <c r="D40" i="9" s="1"/>
  <c r="F40" i="9" s="1"/>
  <c r="M39" i="8"/>
  <c r="J39" i="8"/>
  <c r="D39" i="9" s="1"/>
  <c r="F39" i="9" s="1"/>
  <c r="M38" i="8"/>
  <c r="J38" i="8"/>
  <c r="D38" i="9" s="1"/>
  <c r="F38" i="9" s="1"/>
  <c r="M37" i="8"/>
  <c r="J37" i="8"/>
  <c r="D37" i="9" s="1"/>
  <c r="F37" i="9" s="1"/>
  <c r="M36" i="8"/>
  <c r="J36" i="8"/>
  <c r="D36" i="9" s="1"/>
  <c r="F36" i="9" s="1"/>
  <c r="M35" i="8"/>
  <c r="J35" i="8"/>
  <c r="D35" i="9" s="1"/>
  <c r="F35" i="9" s="1"/>
  <c r="M34" i="8"/>
  <c r="J34" i="8"/>
  <c r="D34" i="9" s="1"/>
  <c r="F34" i="9" s="1"/>
  <c r="M33" i="8"/>
  <c r="J33" i="8"/>
  <c r="D33" i="9" s="1"/>
  <c r="F33" i="9" s="1"/>
  <c r="M32" i="8"/>
  <c r="J32" i="8"/>
  <c r="D32" i="9" s="1"/>
  <c r="F32" i="9" s="1"/>
  <c r="M31" i="8"/>
  <c r="J31" i="8"/>
  <c r="D31" i="9" s="1"/>
  <c r="F31" i="9" s="1"/>
  <c r="M30" i="8"/>
  <c r="J30" i="8"/>
  <c r="D30" i="9" s="1"/>
  <c r="F30" i="9" s="1"/>
  <c r="M29" i="8"/>
  <c r="J29" i="8"/>
  <c r="D29" i="9" s="1"/>
  <c r="F29" i="9" s="1"/>
  <c r="M28" i="8"/>
  <c r="J28" i="8"/>
  <c r="D28" i="9" s="1"/>
  <c r="F28" i="9" s="1"/>
  <c r="M27" i="8"/>
  <c r="J27" i="8"/>
  <c r="D27" i="9" s="1"/>
  <c r="F27" i="9" s="1"/>
  <c r="M26" i="8"/>
  <c r="J26" i="8"/>
  <c r="D26" i="9" s="1"/>
  <c r="F26" i="9" s="1"/>
  <c r="M25" i="8"/>
  <c r="J25" i="8"/>
  <c r="D25" i="9" s="1"/>
  <c r="F25" i="9" s="1"/>
  <c r="M24" i="8"/>
  <c r="J24" i="8"/>
  <c r="D24" i="9" s="1"/>
  <c r="F24" i="9" s="1"/>
  <c r="M23" i="8"/>
  <c r="J23" i="8"/>
  <c r="D23" i="9" s="1"/>
  <c r="F23" i="9" s="1"/>
  <c r="M22" i="8"/>
  <c r="J22" i="8"/>
  <c r="D22" i="9" s="1"/>
  <c r="F22" i="9" s="1"/>
  <c r="M21" i="8"/>
  <c r="J21" i="8"/>
  <c r="D21" i="9" s="1"/>
  <c r="F21" i="9" s="1"/>
  <c r="M20" i="8"/>
  <c r="J20" i="8"/>
  <c r="D20" i="9" s="1"/>
  <c r="F20" i="9" s="1"/>
  <c r="M19" i="8"/>
  <c r="J19" i="8"/>
  <c r="D19" i="9" s="1"/>
  <c r="F19" i="9" s="1"/>
  <c r="M18" i="8"/>
  <c r="J18" i="8"/>
  <c r="D18" i="9" s="1"/>
  <c r="F18" i="9" s="1"/>
  <c r="M17" i="8"/>
  <c r="J17" i="8"/>
  <c r="D17" i="9" s="1"/>
  <c r="F17" i="9" s="1"/>
  <c r="M16" i="8"/>
  <c r="J16" i="8"/>
  <c r="D16" i="9" s="1"/>
  <c r="F16" i="9" s="1"/>
  <c r="M15" i="8"/>
  <c r="J15" i="8"/>
  <c r="D15" i="9" s="1"/>
  <c r="F15" i="9" s="1"/>
  <c r="M14" i="8"/>
  <c r="J14" i="8"/>
  <c r="D14" i="9" s="1"/>
  <c r="F14" i="9" s="1"/>
  <c r="M13" i="8"/>
  <c r="J13" i="8"/>
  <c r="D13" i="9" s="1"/>
  <c r="F13" i="9" s="1"/>
  <c r="M12" i="8"/>
  <c r="J12" i="8"/>
  <c r="D12" i="9" s="1"/>
  <c r="F12" i="9" s="1"/>
  <c r="M11" i="8"/>
  <c r="J11" i="8"/>
  <c r="D11" i="9" s="1"/>
  <c r="F11" i="9" s="1"/>
  <c r="M10" i="8"/>
  <c r="J10" i="8"/>
  <c r="D10" i="9" s="1"/>
  <c r="F10" i="9" s="1"/>
  <c r="M9" i="8"/>
  <c r="J9" i="8"/>
  <c r="D9" i="9" s="1"/>
  <c r="F9" i="9" s="1"/>
  <c r="M8" i="8"/>
  <c r="J8" i="8"/>
  <c r="D8" i="9" s="1"/>
  <c r="F8" i="9" s="1"/>
  <c r="M7" i="8"/>
  <c r="J7" i="8"/>
  <c r="D7" i="9" s="1"/>
  <c r="F7" i="9" s="1"/>
  <c r="M6" i="8"/>
  <c r="J6" i="8"/>
  <c r="D6" i="9" s="1"/>
  <c r="F6" i="9" s="1"/>
  <c r="M5" i="8"/>
  <c r="J5" i="8"/>
  <c r="D5" i="9" s="1"/>
  <c r="F5" i="9" s="1"/>
  <c r="I3" i="8"/>
  <c r="J30" i="6" s="1"/>
  <c r="F3" i="8"/>
  <c r="F33" i="7"/>
  <c r="D33" i="7"/>
  <c r="C33" i="7"/>
  <c r="B33" i="7"/>
  <c r="A33" i="7"/>
  <c r="F32" i="7"/>
  <c r="D32" i="7"/>
  <c r="C32" i="7"/>
  <c r="B32" i="7"/>
  <c r="A32" i="7"/>
  <c r="F31" i="7"/>
  <c r="D31" i="7"/>
  <c r="C31" i="7"/>
  <c r="B31" i="7"/>
  <c r="A31" i="7"/>
  <c r="F30" i="7"/>
  <c r="D30" i="7"/>
  <c r="C30" i="7"/>
  <c r="B30" i="7"/>
  <c r="A30" i="7"/>
  <c r="F29" i="7"/>
  <c r="D29" i="7"/>
  <c r="C29" i="7"/>
  <c r="B29" i="7"/>
  <c r="A29" i="7"/>
  <c r="F28" i="7"/>
  <c r="D28" i="7"/>
  <c r="C28" i="7"/>
  <c r="B28" i="7"/>
  <c r="A28" i="7"/>
  <c r="F27" i="7"/>
  <c r="D27" i="7"/>
  <c r="C27" i="7"/>
  <c r="B27" i="7"/>
  <c r="A27" i="7"/>
  <c r="F26" i="7"/>
  <c r="D26" i="7"/>
  <c r="C26" i="7"/>
  <c r="B26" i="7"/>
  <c r="A26" i="7"/>
  <c r="F25" i="7"/>
  <c r="D25" i="7"/>
  <c r="C25" i="7"/>
  <c r="B25" i="7"/>
  <c r="A25" i="7"/>
  <c r="F24" i="7"/>
  <c r="D24" i="7"/>
  <c r="C24" i="7"/>
  <c r="B24" i="7"/>
  <c r="A24" i="7"/>
  <c r="F23" i="7"/>
  <c r="D23" i="7"/>
  <c r="C23" i="7"/>
  <c r="B23" i="7"/>
  <c r="A23" i="7"/>
  <c r="F22" i="7"/>
  <c r="D22" i="7"/>
  <c r="C22" i="7"/>
  <c r="B22" i="7"/>
  <c r="A22" i="7"/>
  <c r="F21" i="7"/>
  <c r="D21" i="7"/>
  <c r="C21" i="7"/>
  <c r="B21" i="7"/>
  <c r="A21" i="7"/>
  <c r="F20" i="7"/>
  <c r="D20" i="7"/>
  <c r="C20" i="7"/>
  <c r="B20" i="7"/>
  <c r="A20" i="7"/>
  <c r="F19" i="7"/>
  <c r="D19" i="7"/>
  <c r="C19" i="7"/>
  <c r="B19" i="7"/>
  <c r="A19" i="7"/>
  <c r="F18" i="7"/>
  <c r="D18" i="7"/>
  <c r="C18" i="7"/>
  <c r="B18" i="7"/>
  <c r="A18" i="7"/>
  <c r="F17" i="7"/>
  <c r="D17" i="7"/>
  <c r="C17" i="7"/>
  <c r="B17" i="7"/>
  <c r="A17" i="7"/>
  <c r="F16" i="7"/>
  <c r="D16" i="7"/>
  <c r="C16" i="7"/>
  <c r="B16" i="7"/>
  <c r="A16" i="7"/>
  <c r="F15" i="7"/>
  <c r="D15" i="7"/>
  <c r="C15" i="7"/>
  <c r="B15" i="7"/>
  <c r="A15" i="7"/>
  <c r="F14" i="7"/>
  <c r="D14" i="7"/>
  <c r="C14" i="7"/>
  <c r="B14" i="7"/>
  <c r="A14" i="7"/>
  <c r="F13" i="7"/>
  <c r="D13" i="7"/>
  <c r="C13" i="7"/>
  <c r="B13" i="7"/>
  <c r="A13" i="7"/>
  <c r="F12" i="7"/>
  <c r="D12" i="7"/>
  <c r="C12" i="7"/>
  <c r="B12" i="7"/>
  <c r="A12" i="7"/>
  <c r="F11" i="7"/>
  <c r="D11" i="7"/>
  <c r="C11" i="7"/>
  <c r="B11" i="7"/>
  <c r="A11" i="7"/>
  <c r="F10" i="7"/>
  <c r="D10" i="7"/>
  <c r="C10" i="7"/>
  <c r="B10" i="7"/>
  <c r="A10" i="7"/>
  <c r="F9" i="7"/>
  <c r="D9" i="7"/>
  <c r="C9" i="7"/>
  <c r="B9" i="7"/>
  <c r="A9" i="7"/>
  <c r="F8" i="7"/>
  <c r="D8" i="7"/>
  <c r="C8" i="7"/>
  <c r="B8" i="7"/>
  <c r="A8" i="7"/>
  <c r="F7" i="7"/>
  <c r="D7" i="7"/>
  <c r="C7" i="7"/>
  <c r="B7" i="7"/>
  <c r="A7" i="7"/>
  <c r="H30" i="6"/>
  <c r="F30" i="6"/>
  <c r="H29" i="6"/>
  <c r="F29" i="6"/>
  <c r="H28" i="6"/>
  <c r="F28" i="6"/>
  <c r="H27" i="6"/>
  <c r="F27" i="6"/>
  <c r="H26" i="6"/>
  <c r="F26" i="6"/>
  <c r="H25" i="6"/>
  <c r="F25" i="6"/>
  <c r="H24" i="6"/>
  <c r="F24" i="6"/>
  <c r="H23" i="6"/>
  <c r="F23" i="6"/>
  <c r="H22" i="6"/>
  <c r="F22" i="6"/>
  <c r="H21" i="6"/>
  <c r="F21" i="6"/>
  <c r="I21" i="6" s="1"/>
  <c r="H24" i="3" s="1"/>
  <c r="H20" i="6"/>
  <c r="F20" i="6"/>
  <c r="H19" i="6"/>
  <c r="F19" i="6"/>
  <c r="H18" i="6"/>
  <c r="F18" i="6"/>
  <c r="H17" i="6"/>
  <c r="F17" i="6"/>
  <c r="H16" i="6"/>
  <c r="F16" i="6"/>
  <c r="H15" i="6"/>
  <c r="F15" i="6"/>
  <c r="H14" i="6"/>
  <c r="F14" i="6"/>
  <c r="H13" i="6"/>
  <c r="F13" i="6"/>
  <c r="H12" i="6"/>
  <c r="F12" i="6"/>
  <c r="H11" i="6"/>
  <c r="F11" i="6"/>
  <c r="H10" i="6"/>
  <c r="F10" i="6"/>
  <c r="H9" i="6"/>
  <c r="F9" i="6"/>
  <c r="H8" i="6"/>
  <c r="F8" i="6"/>
  <c r="H7" i="6"/>
  <c r="F7" i="6"/>
  <c r="H6" i="6"/>
  <c r="F6" i="6"/>
  <c r="H5" i="6"/>
  <c r="F5" i="6"/>
  <c r="H4" i="6"/>
  <c r="C4" i="10" s="1"/>
  <c r="F4" i="6"/>
  <c r="K2" i="6"/>
  <c r="L30" i="6" s="1"/>
  <c r="H2" i="6"/>
  <c r="H8" i="5"/>
  <c r="D8" i="5"/>
  <c r="E8" i="5" s="1"/>
  <c r="H7" i="5"/>
  <c r="D7" i="5"/>
  <c r="E7" i="5" s="1"/>
  <c r="H6" i="5"/>
  <c r="D6" i="5"/>
  <c r="E6" i="5" s="1"/>
  <c r="H5" i="5"/>
  <c r="D5" i="5"/>
  <c r="E5" i="5" s="1"/>
  <c r="D76" i="4"/>
  <c r="D75" i="4"/>
  <c r="D74" i="4"/>
  <c r="D68" i="4"/>
  <c r="D67" i="4"/>
  <c r="D66" i="4"/>
  <c r="D65" i="4"/>
  <c r="D64" i="4"/>
  <c r="D63" i="4"/>
  <c r="D62" i="4"/>
  <c r="D61" i="4"/>
  <c r="D60" i="4"/>
  <c r="F53" i="4"/>
  <c r="F52" i="4"/>
  <c r="F51" i="4"/>
  <c r="F50" i="4"/>
  <c r="F49" i="4"/>
  <c r="F48" i="4"/>
  <c r="F47" i="4"/>
  <c r="F46" i="4"/>
  <c r="F45" i="4"/>
  <c r="F44" i="4"/>
  <c r="F43" i="4"/>
  <c r="F42" i="4"/>
  <c r="F41" i="4"/>
  <c r="F40" i="4"/>
  <c r="F39" i="4"/>
  <c r="F38" i="4"/>
  <c r="F37" i="4"/>
  <c r="F36" i="4"/>
  <c r="F35" i="4"/>
  <c r="F34" i="4"/>
  <c r="F33" i="4"/>
  <c r="F32" i="4"/>
  <c r="F31" i="4"/>
  <c r="F30" i="4"/>
  <c r="F29" i="4"/>
  <c r="C22" i="4"/>
  <c r="C21" i="4"/>
  <c r="C9" i="4"/>
  <c r="D8" i="4"/>
  <c r="D7" i="4"/>
  <c r="C33" i="3"/>
  <c r="F31" i="3"/>
  <c r="F30" i="3"/>
  <c r="F29" i="3"/>
  <c r="F28" i="3"/>
  <c r="F27" i="3"/>
  <c r="F26" i="3"/>
  <c r="F25" i="3"/>
  <c r="F24" i="3"/>
  <c r="F23" i="3"/>
  <c r="F22" i="3"/>
  <c r="F21" i="3"/>
  <c r="F20" i="3"/>
  <c r="F19" i="3"/>
  <c r="F18" i="3"/>
  <c r="F17" i="3"/>
  <c r="F16" i="3"/>
  <c r="F15" i="3"/>
  <c r="F14" i="3"/>
  <c r="F13" i="3"/>
  <c r="F12" i="3"/>
  <c r="F11" i="3"/>
  <c r="F10" i="3"/>
  <c r="F9" i="3"/>
  <c r="F8" i="3"/>
  <c r="F7" i="3"/>
  <c r="I4" i="3"/>
  <c r="I3" i="3"/>
  <c r="G15" i="1"/>
  <c r="G14" i="1"/>
  <c r="G13" i="1"/>
  <c r="G12" i="1"/>
  <c r="G11" i="1"/>
  <c r="C11" i="1"/>
  <c r="G10" i="1"/>
  <c r="C10" i="1"/>
  <c r="F7" i="1"/>
  <c r="E7" i="1"/>
  <c r="H31" i="6" l="1"/>
  <c r="E43" i="9"/>
  <c r="G43" i="9"/>
  <c r="G11" i="9"/>
  <c r="E11" i="9"/>
  <c r="G43" i="12"/>
  <c r="G42" i="12"/>
  <c r="G41" i="12"/>
  <c r="G40" i="12"/>
  <c r="G39" i="12"/>
  <c r="G38" i="12"/>
  <c r="G37" i="12"/>
  <c r="G36" i="12"/>
  <c r="G35" i="12"/>
  <c r="G34" i="12"/>
  <c r="G33" i="12"/>
  <c r="G32" i="12"/>
  <c r="G31" i="12"/>
  <c r="G30" i="12"/>
  <c r="G29" i="12"/>
  <c r="G28" i="12"/>
  <c r="G27" i="12"/>
  <c r="G26" i="12"/>
  <c r="G25" i="12"/>
  <c r="G24" i="12"/>
  <c r="G23" i="12"/>
  <c r="G21" i="12"/>
  <c r="G20" i="12"/>
  <c r="G19" i="12"/>
  <c r="C6" i="10"/>
  <c r="B7" i="1" s="1"/>
  <c r="C7" i="10"/>
  <c r="C16" i="10" s="1"/>
  <c r="G44" i="9"/>
  <c r="E44" i="9"/>
  <c r="E42" i="9"/>
  <c r="G42" i="9"/>
  <c r="E41" i="9"/>
  <c r="G41" i="9"/>
  <c r="E40" i="9"/>
  <c r="G40" i="9"/>
  <c r="E39" i="9"/>
  <c r="G39" i="9"/>
  <c r="E38" i="9"/>
  <c r="G38" i="9"/>
  <c r="E37" i="9"/>
  <c r="G37" i="9"/>
  <c r="G36" i="9"/>
  <c r="E36" i="9"/>
  <c r="G35" i="9"/>
  <c r="E35" i="9"/>
  <c r="E34" i="9"/>
  <c r="G34" i="9"/>
  <c r="G33" i="9"/>
  <c r="E33" i="9"/>
  <c r="E32" i="9"/>
  <c r="G32" i="9"/>
  <c r="E31" i="9"/>
  <c r="G31" i="9"/>
  <c r="E30" i="9"/>
  <c r="G30" i="9"/>
  <c r="G29" i="9"/>
  <c r="E29" i="9"/>
  <c r="G28" i="9"/>
  <c r="E28" i="9"/>
  <c r="G27" i="9"/>
  <c r="E27" i="9"/>
  <c r="E26" i="9"/>
  <c r="G26" i="9"/>
  <c r="G25" i="9"/>
  <c r="E25" i="9"/>
  <c r="G24" i="9"/>
  <c r="E24" i="9"/>
  <c r="G23" i="9"/>
  <c r="E23" i="9"/>
  <c r="G22" i="9"/>
  <c r="E22" i="9"/>
  <c r="G21" i="9"/>
  <c r="E21" i="9"/>
  <c r="E20" i="9"/>
  <c r="G20" i="9"/>
  <c r="E19" i="9"/>
  <c r="G19" i="9"/>
  <c r="E18" i="9"/>
  <c r="G18" i="9"/>
  <c r="E17" i="9"/>
  <c r="G17" i="9"/>
  <c r="E16" i="9"/>
  <c r="G16" i="9"/>
  <c r="G15" i="9"/>
  <c r="E15" i="9"/>
  <c r="E14" i="9"/>
  <c r="G14" i="9"/>
  <c r="G13" i="9"/>
  <c r="E13" i="9"/>
  <c r="G12" i="9"/>
  <c r="E12" i="9"/>
  <c r="G10" i="9"/>
  <c r="E10" i="9"/>
  <c r="G9" i="9"/>
  <c r="E9" i="9"/>
  <c r="E8" i="9"/>
  <c r="G8" i="9"/>
  <c r="G7" i="9"/>
  <c r="E7" i="9"/>
  <c r="G6" i="9"/>
  <c r="E6" i="9"/>
  <c r="E5" i="9"/>
  <c r="G5" i="9"/>
  <c r="J16" i="6"/>
  <c r="K16" i="6" s="1"/>
  <c r="D31" i="12" s="1"/>
  <c r="J4" i="6"/>
  <c r="K4" i="6" s="1"/>
  <c r="D19" i="12" s="1"/>
  <c r="J5" i="6"/>
  <c r="K5" i="6" s="1"/>
  <c r="D20" i="12" s="1"/>
  <c r="J6" i="6"/>
  <c r="K6" i="6" s="1"/>
  <c r="D21" i="12" s="1"/>
  <c r="J7" i="6"/>
  <c r="K7" i="6" s="1"/>
  <c r="J8" i="6"/>
  <c r="K8" i="6" s="1"/>
  <c r="D23" i="12" s="1"/>
  <c r="J22" i="6"/>
  <c r="K22" i="6" s="1"/>
  <c r="D37" i="12" s="1"/>
  <c r="J9" i="6"/>
  <c r="K9" i="6" s="1"/>
  <c r="D24" i="12" s="1"/>
  <c r="J10" i="6"/>
  <c r="K10" i="6" s="1"/>
  <c r="D25" i="12" s="1"/>
  <c r="J11" i="6"/>
  <c r="K11" i="6" s="1"/>
  <c r="D26" i="12" s="1"/>
  <c r="J14" i="6"/>
  <c r="K14" i="6" s="1"/>
  <c r="D29" i="12" s="1"/>
  <c r="J15" i="6"/>
  <c r="K15" i="6" s="1"/>
  <c r="D30" i="12" s="1"/>
  <c r="J13" i="6"/>
  <c r="K13" i="6" s="1"/>
  <c r="D28" i="12" s="1"/>
  <c r="J17" i="6"/>
  <c r="K17" i="6" s="1"/>
  <c r="D32" i="12" s="1"/>
  <c r="J18" i="6"/>
  <c r="K18" i="6" s="1"/>
  <c r="D33" i="12" s="1"/>
  <c r="J19" i="6"/>
  <c r="K19" i="6" s="1"/>
  <c r="D34" i="12" s="1"/>
  <c r="J20" i="6"/>
  <c r="K20" i="6" s="1"/>
  <c r="D35" i="12" s="1"/>
  <c r="J24" i="6"/>
  <c r="K24" i="6" s="1"/>
  <c r="D39" i="12" s="1"/>
  <c r="J25" i="6"/>
  <c r="K25" i="6" s="1"/>
  <c r="D40" i="12" s="1"/>
  <c r="J12" i="6"/>
  <c r="K12" i="6" s="1"/>
  <c r="D27" i="12" s="1"/>
  <c r="J29" i="6"/>
  <c r="K29" i="6" s="1"/>
  <c r="O29" i="6" s="1"/>
  <c r="J23" i="6"/>
  <c r="K23" i="6" s="1"/>
  <c r="D38" i="12" s="1"/>
  <c r="J26" i="6"/>
  <c r="K26" i="6" s="1"/>
  <c r="D41" i="12" s="1"/>
  <c r="J28" i="6"/>
  <c r="K28" i="6" s="1"/>
  <c r="D43" i="12" s="1"/>
  <c r="J27" i="6"/>
  <c r="K27" i="6" s="1"/>
  <c r="D42" i="12" s="1"/>
  <c r="J21" i="6"/>
  <c r="K21" i="6" s="1"/>
  <c r="D36" i="12" s="1"/>
  <c r="I33" i="7"/>
  <c r="J33" i="7"/>
  <c r="I32" i="7"/>
  <c r="J32" i="7"/>
  <c r="I31" i="7"/>
  <c r="J31" i="7" s="1"/>
  <c r="I30" i="7"/>
  <c r="J30" i="7" s="1"/>
  <c r="I29" i="7"/>
  <c r="J29" i="7" s="1"/>
  <c r="I28" i="7"/>
  <c r="J28" i="7" s="1"/>
  <c r="I27" i="7"/>
  <c r="J27" i="7" s="1"/>
  <c r="I26" i="7"/>
  <c r="J26" i="7" s="1"/>
  <c r="I25" i="7"/>
  <c r="J25" i="7" s="1"/>
  <c r="I24" i="7"/>
  <c r="J24" i="7" s="1"/>
  <c r="I23" i="7"/>
  <c r="J23" i="7" s="1"/>
  <c r="I22" i="7"/>
  <c r="J22" i="7" s="1"/>
  <c r="I21" i="7"/>
  <c r="J21" i="7" s="1"/>
  <c r="I20" i="7"/>
  <c r="J20" i="7" s="1"/>
  <c r="I19" i="7"/>
  <c r="J19" i="7" s="1"/>
  <c r="I18" i="7"/>
  <c r="J18" i="7" s="1"/>
  <c r="I17" i="7"/>
  <c r="J17" i="7" s="1"/>
  <c r="I16" i="7"/>
  <c r="J16" i="7" s="1"/>
  <c r="I15" i="7"/>
  <c r="J15" i="7" s="1"/>
  <c r="I14" i="7"/>
  <c r="J14" i="7" s="1"/>
  <c r="I13" i="7"/>
  <c r="J13" i="7" s="1"/>
  <c r="I12" i="7"/>
  <c r="J12" i="7" s="1"/>
  <c r="I11" i="7"/>
  <c r="J11" i="7" s="1"/>
  <c r="I10" i="7"/>
  <c r="J10" i="7" s="1"/>
  <c r="I9" i="7"/>
  <c r="J9" i="7" s="1"/>
  <c r="I8" i="7"/>
  <c r="J8" i="7" s="1"/>
  <c r="I7" i="7"/>
  <c r="J7" i="7" s="1"/>
  <c r="I30" i="6"/>
  <c r="K30" i="6"/>
  <c r="I29" i="6"/>
  <c r="C10" i="10" s="1"/>
  <c r="I28" i="6"/>
  <c r="H31" i="3" s="1"/>
  <c r="I27" i="6"/>
  <c r="H30" i="3" s="1"/>
  <c r="I26" i="6"/>
  <c r="H29" i="3" s="1"/>
  <c r="I25" i="6"/>
  <c r="H28" i="3" s="1"/>
  <c r="I24" i="6"/>
  <c r="H27" i="3" s="1"/>
  <c r="I23" i="6"/>
  <c r="H26" i="3" s="1"/>
  <c r="I22" i="6"/>
  <c r="H25" i="3" s="1"/>
  <c r="I20" i="6"/>
  <c r="H23" i="3" s="1"/>
  <c r="I19" i="6"/>
  <c r="H22" i="3" s="1"/>
  <c r="I18" i="6"/>
  <c r="H21" i="3" s="1"/>
  <c r="I17" i="6"/>
  <c r="I16" i="6"/>
  <c r="H19" i="3" s="1"/>
  <c r="I15" i="6"/>
  <c r="H18" i="3" s="1"/>
  <c r="I14" i="6"/>
  <c r="I13" i="6"/>
  <c r="H16" i="3" s="1"/>
  <c r="I12" i="6"/>
  <c r="H15" i="3" s="1"/>
  <c r="I11" i="6"/>
  <c r="H14" i="3" s="1"/>
  <c r="I10" i="6"/>
  <c r="H13" i="3" s="1"/>
  <c r="I9" i="6"/>
  <c r="H12" i="3" s="1"/>
  <c r="I8" i="6"/>
  <c r="H11" i="3" s="1"/>
  <c r="I7" i="6"/>
  <c r="H10" i="3" s="1"/>
  <c r="I6" i="6"/>
  <c r="H9" i="3" s="1"/>
  <c r="I5" i="6"/>
  <c r="I4" i="6"/>
  <c r="H7" i="3" s="1"/>
  <c r="L10" i="6"/>
  <c r="L7" i="6"/>
  <c r="L11" i="6"/>
  <c r="L6" i="6"/>
  <c r="L5" i="6"/>
  <c r="L9" i="6"/>
  <c r="L4" i="6"/>
  <c r="L8" i="6"/>
  <c r="D59" i="4"/>
  <c r="C23" i="4"/>
  <c r="D58" i="4" s="1"/>
  <c r="C13" i="1" s="1"/>
  <c r="C51" i="11"/>
  <c r="E51" i="11" s="1"/>
  <c r="C43" i="12"/>
  <c r="L28" i="6"/>
  <c r="D42" i="4"/>
  <c r="D41" i="4"/>
  <c r="C42" i="12"/>
  <c r="C50" i="11"/>
  <c r="E50" i="11" s="1"/>
  <c r="L27" i="6"/>
  <c r="C41" i="12"/>
  <c r="D40" i="4"/>
  <c r="C49" i="11"/>
  <c r="E49" i="11" s="1"/>
  <c r="L26" i="6"/>
  <c r="C40" i="12"/>
  <c r="C48" i="11"/>
  <c r="E48" i="11" s="1"/>
  <c r="L25" i="6"/>
  <c r="D39" i="4"/>
  <c r="L24" i="6"/>
  <c r="D38" i="4"/>
  <c r="C47" i="11"/>
  <c r="E47" i="11" s="1"/>
  <c r="C39" i="12"/>
  <c r="L23" i="6"/>
  <c r="D37" i="4"/>
  <c r="C38" i="12"/>
  <c r="C46" i="11"/>
  <c r="E46" i="11" s="1"/>
  <c r="D36" i="4"/>
  <c r="C45" i="11"/>
  <c r="E45" i="11" s="1"/>
  <c r="C37" i="12"/>
  <c r="L22" i="6"/>
  <c r="C44" i="11"/>
  <c r="E44" i="11" s="1"/>
  <c r="D35" i="4"/>
  <c r="C36" i="12"/>
  <c r="L21" i="6"/>
  <c r="L20" i="6"/>
  <c r="D34" i="4"/>
  <c r="C43" i="11"/>
  <c r="E43" i="11" s="1"/>
  <c r="C35" i="12"/>
  <c r="L19" i="6"/>
  <c r="C42" i="11"/>
  <c r="E42" i="11" s="1"/>
  <c r="C34" i="12"/>
  <c r="D33" i="4"/>
  <c r="C33" i="12"/>
  <c r="C41" i="11"/>
  <c r="E41" i="11" s="1"/>
  <c r="L18" i="6"/>
  <c r="D32" i="4"/>
  <c r="L17" i="6"/>
  <c r="C40" i="11"/>
  <c r="E40" i="11" s="1"/>
  <c r="C32" i="12"/>
  <c r="D31" i="4"/>
  <c r="C31" i="12"/>
  <c r="L16" i="6"/>
  <c r="D30" i="4"/>
  <c r="C39" i="11"/>
  <c r="E39" i="11" s="1"/>
  <c r="C38" i="11"/>
  <c r="E38" i="11" s="1"/>
  <c r="L15" i="6"/>
  <c r="C30" i="12"/>
  <c r="D29" i="4"/>
  <c r="C37" i="11"/>
  <c r="E37" i="11" s="1"/>
  <c r="C29" i="12"/>
  <c r="L14" i="6"/>
  <c r="D49" i="4"/>
  <c r="C36" i="11"/>
  <c r="E36" i="11" s="1"/>
  <c r="D48" i="4"/>
  <c r="L13" i="6"/>
  <c r="C28" i="12"/>
  <c r="C35" i="11"/>
  <c r="E35" i="11" s="1"/>
  <c r="D47" i="4"/>
  <c r="C27" i="12"/>
  <c r="L12" i="6"/>
  <c r="C34" i="11"/>
  <c r="E34" i="11" s="1"/>
  <c r="C26" i="12"/>
  <c r="D46" i="4"/>
  <c r="C33" i="11"/>
  <c r="E33" i="11" s="1"/>
  <c r="C25" i="12"/>
  <c r="D45" i="4"/>
  <c r="D44" i="4"/>
  <c r="C24" i="12"/>
  <c r="C32" i="11"/>
  <c r="E32" i="11" s="1"/>
  <c r="C23" i="12"/>
  <c r="D43" i="4"/>
  <c r="C31" i="11"/>
  <c r="E31" i="11" s="1"/>
  <c r="C22" i="12"/>
  <c r="D53" i="4"/>
  <c r="C30" i="11"/>
  <c r="E30" i="11" s="1"/>
  <c r="C21" i="12"/>
  <c r="D52" i="4"/>
  <c r="C29" i="11"/>
  <c r="E29" i="11" s="1"/>
  <c r="C20" i="12"/>
  <c r="D51" i="4"/>
  <c r="C28" i="11"/>
  <c r="E28" i="11" s="1"/>
  <c r="D50" i="4"/>
  <c r="C19" i="12"/>
  <c r="C27" i="11"/>
  <c r="E27" i="11" s="1"/>
  <c r="F33" i="3"/>
  <c r="A34" i="3" s="1"/>
  <c r="E52" i="11"/>
  <c r="L29" i="6"/>
  <c r="C52" i="12"/>
  <c r="C52" i="11"/>
  <c r="D44" i="11" l="1"/>
  <c r="F44" i="11" s="1"/>
  <c r="M21" i="6"/>
  <c r="G24" i="7"/>
  <c r="O21" i="6"/>
  <c r="P21" i="6"/>
  <c r="M30" i="6"/>
  <c r="G33" i="7"/>
  <c r="D11" i="11"/>
  <c r="D53" i="12"/>
  <c r="O30" i="6"/>
  <c r="P30" i="6"/>
  <c r="M29" i="6"/>
  <c r="P29" i="6"/>
  <c r="G32" i="7"/>
  <c r="E11" i="11"/>
  <c r="D52" i="11" s="1"/>
  <c r="F52" i="11" s="1"/>
  <c r="D52" i="12"/>
  <c r="D51" i="11"/>
  <c r="F51" i="11" s="1"/>
  <c r="O28" i="6"/>
  <c r="M28" i="6"/>
  <c r="P28" i="6"/>
  <c r="G31" i="7"/>
  <c r="D50" i="11"/>
  <c r="F50" i="11" s="1"/>
  <c r="M27" i="6"/>
  <c r="O27" i="6"/>
  <c r="P27" i="6"/>
  <c r="G30" i="7"/>
  <c r="D49" i="11"/>
  <c r="F49" i="11" s="1"/>
  <c r="M26" i="6"/>
  <c r="P26" i="6"/>
  <c r="G29" i="7"/>
  <c r="O26" i="6"/>
  <c r="D48" i="11"/>
  <c r="F48" i="11" s="1"/>
  <c r="M25" i="6"/>
  <c r="O25" i="6"/>
  <c r="P25" i="6"/>
  <c r="G28" i="7"/>
  <c r="M24" i="6"/>
  <c r="P24" i="6"/>
  <c r="G27" i="7"/>
  <c r="D47" i="11"/>
  <c r="F47" i="11" s="1"/>
  <c r="O24" i="6"/>
  <c r="D46" i="11"/>
  <c r="F46" i="11" s="1"/>
  <c r="O23" i="6"/>
  <c r="P23" i="6"/>
  <c r="G26" i="7"/>
  <c r="M23" i="6"/>
  <c r="D45" i="11"/>
  <c r="F45" i="11" s="1"/>
  <c r="M22" i="6"/>
  <c r="P22" i="6"/>
  <c r="O22" i="6"/>
  <c r="G25" i="7"/>
  <c r="D43" i="11"/>
  <c r="F43" i="11" s="1"/>
  <c r="M20" i="6"/>
  <c r="O20" i="6"/>
  <c r="P20" i="6"/>
  <c r="G23" i="7"/>
  <c r="D42" i="11"/>
  <c r="F42" i="11" s="1"/>
  <c r="M19" i="6"/>
  <c r="O19" i="6"/>
  <c r="P19" i="6"/>
  <c r="G22" i="7"/>
  <c r="D41" i="11"/>
  <c r="F41" i="11" s="1"/>
  <c r="M18" i="6"/>
  <c r="O18" i="6"/>
  <c r="P18" i="6"/>
  <c r="G21" i="7"/>
  <c r="D40" i="11"/>
  <c r="F40" i="11" s="1"/>
  <c r="M17" i="6"/>
  <c r="O17" i="6"/>
  <c r="P17" i="6"/>
  <c r="G20" i="7"/>
  <c r="D39" i="11"/>
  <c r="F39" i="11" s="1"/>
  <c r="M16" i="6"/>
  <c r="O16" i="6"/>
  <c r="P16" i="6"/>
  <c r="G19" i="7"/>
  <c r="D38" i="11"/>
  <c r="F38" i="11" s="1"/>
  <c r="M15" i="6"/>
  <c r="O15" i="6"/>
  <c r="P15" i="6"/>
  <c r="G18" i="7"/>
  <c r="D37" i="11"/>
  <c r="F37" i="11" s="1"/>
  <c r="M14" i="6"/>
  <c r="O14" i="6"/>
  <c r="P14" i="6"/>
  <c r="G17" i="7"/>
  <c r="G16" i="7"/>
  <c r="D36" i="11"/>
  <c r="F36" i="11" s="1"/>
  <c r="M13" i="6"/>
  <c r="O13" i="6"/>
  <c r="P13" i="6"/>
  <c r="D35" i="11"/>
  <c r="F35" i="11" s="1"/>
  <c r="M12" i="6"/>
  <c r="O12" i="6"/>
  <c r="P12" i="6"/>
  <c r="G15" i="7"/>
  <c r="D34" i="11"/>
  <c r="F34" i="11" s="1"/>
  <c r="M11" i="6"/>
  <c r="P11" i="6"/>
  <c r="O11" i="6"/>
  <c r="G14" i="7"/>
  <c r="D33" i="11"/>
  <c r="F33" i="11" s="1"/>
  <c r="M10" i="6"/>
  <c r="O10" i="6"/>
  <c r="P10" i="6"/>
  <c r="G13" i="7"/>
  <c r="D32" i="11"/>
  <c r="F32" i="11" s="1"/>
  <c r="M9" i="6"/>
  <c r="O9" i="6"/>
  <c r="P9" i="6"/>
  <c r="G12" i="7"/>
  <c r="D31" i="11"/>
  <c r="F31" i="11" s="1"/>
  <c r="M8" i="6"/>
  <c r="O8" i="6"/>
  <c r="P8" i="6"/>
  <c r="G11" i="7"/>
  <c r="D30" i="11"/>
  <c r="F30" i="11" s="1"/>
  <c r="M7" i="6"/>
  <c r="O7" i="6"/>
  <c r="P7" i="6"/>
  <c r="G10" i="7"/>
  <c r="D22" i="12"/>
  <c r="D29" i="11"/>
  <c r="F29" i="11" s="1"/>
  <c r="M6" i="6"/>
  <c r="O6" i="6"/>
  <c r="P6" i="6"/>
  <c r="G9" i="7"/>
  <c r="D28" i="11"/>
  <c r="F28" i="11" s="1"/>
  <c r="M5" i="6"/>
  <c r="O5" i="6"/>
  <c r="P5" i="6"/>
  <c r="G8" i="7"/>
  <c r="D27" i="11"/>
  <c r="F27" i="11" s="1"/>
  <c r="M4" i="6"/>
  <c r="O4" i="6"/>
  <c r="P4" i="6"/>
  <c r="Q4" i="6" s="1"/>
  <c r="G7" i="1"/>
  <c r="B18" i="1" s="1"/>
  <c r="G7" i="7"/>
  <c r="C40" i="10"/>
  <c r="E29" i="4"/>
  <c r="E30" i="4"/>
  <c r="G30" i="4" s="1"/>
  <c r="E31" i="4"/>
  <c r="G31" i="4" s="1"/>
  <c r="E32" i="4"/>
  <c r="G32" i="4" s="1"/>
  <c r="E39" i="4"/>
  <c r="G39" i="4" s="1"/>
  <c r="E42" i="4"/>
  <c r="G42" i="4" s="1"/>
  <c r="E46" i="4"/>
  <c r="G46" i="4" s="1"/>
  <c r="E47" i="4"/>
  <c r="G47" i="4" s="1"/>
  <c r="E49" i="4"/>
  <c r="G49" i="4" s="1"/>
  <c r="E50" i="4"/>
  <c r="G50" i="4" s="1"/>
  <c r="E51" i="4"/>
  <c r="G51" i="4" s="1"/>
  <c r="E52" i="4"/>
  <c r="G52" i="4" s="1"/>
  <c r="E53" i="4"/>
  <c r="G53" i="4" s="1"/>
  <c r="D69" i="4"/>
  <c r="E69" i="4" s="1"/>
  <c r="C12" i="1"/>
  <c r="E34" i="4"/>
  <c r="G34" i="4" s="1"/>
  <c r="E35" i="4"/>
  <c r="G35" i="4" s="1"/>
  <c r="E44" i="4"/>
  <c r="G44" i="4" s="1"/>
  <c r="E48" i="4"/>
  <c r="G48" i="4" s="1"/>
  <c r="E33" i="4"/>
  <c r="G33" i="4" s="1"/>
  <c r="E37" i="4"/>
  <c r="G37" i="4" s="1"/>
  <c r="E40" i="4"/>
  <c r="G40" i="4" s="1"/>
  <c r="E36" i="4"/>
  <c r="G36" i="4" s="1"/>
  <c r="E43" i="4"/>
  <c r="G43" i="4" s="1"/>
  <c r="E38" i="4"/>
  <c r="G38" i="4" s="1"/>
  <c r="E41" i="4"/>
  <c r="G41" i="4" s="1"/>
  <c r="E45" i="4"/>
  <c r="G45" i="4" s="1"/>
  <c r="G51" i="11"/>
  <c r="I51" i="11"/>
  <c r="H20" i="3"/>
  <c r="H17" i="3"/>
  <c r="H8" i="3"/>
  <c r="C11" i="10" s="1"/>
  <c r="C12" i="10" s="1"/>
  <c r="C24" i="4" s="1"/>
  <c r="I50" i="11" l="1"/>
  <c r="G50" i="11"/>
  <c r="M24" i="7"/>
  <c r="P24" i="7"/>
  <c r="N24" i="7"/>
  <c r="L24" i="7"/>
  <c r="K24" i="7"/>
  <c r="O24" i="7"/>
  <c r="H24" i="7"/>
  <c r="K33" i="7"/>
  <c r="L33" i="7"/>
  <c r="M33" i="7"/>
  <c r="N33" i="7"/>
  <c r="O33" i="7"/>
  <c r="P33" i="7"/>
  <c r="H33" i="7"/>
  <c r="E17" i="11"/>
  <c r="E19" i="11"/>
  <c r="E21" i="11"/>
  <c r="E18" i="11"/>
  <c r="E16" i="11"/>
  <c r="E20" i="11"/>
  <c r="C4" i="12"/>
  <c r="F12" i="12"/>
  <c r="K32" i="7"/>
  <c r="M32" i="7"/>
  <c r="N32" i="7"/>
  <c r="O32" i="7"/>
  <c r="P32" i="7"/>
  <c r="L32" i="7"/>
  <c r="H32" i="7"/>
  <c r="K31" i="7"/>
  <c r="L31" i="7"/>
  <c r="M31" i="7"/>
  <c r="N31" i="7"/>
  <c r="O31" i="7"/>
  <c r="H31" i="7"/>
  <c r="P31" i="7"/>
  <c r="P30" i="7"/>
  <c r="O30" i="7"/>
  <c r="N30" i="7"/>
  <c r="M30" i="7"/>
  <c r="L30" i="7"/>
  <c r="K30" i="7"/>
  <c r="H30" i="7"/>
  <c r="O29" i="7"/>
  <c r="L29" i="7"/>
  <c r="P29" i="7"/>
  <c r="K29" i="7"/>
  <c r="M29" i="7"/>
  <c r="N29" i="7"/>
  <c r="H29" i="7"/>
  <c r="K28" i="7"/>
  <c r="P28" i="7"/>
  <c r="N28" i="7"/>
  <c r="M28" i="7"/>
  <c r="L28" i="7"/>
  <c r="H28" i="7"/>
  <c r="O28" i="7"/>
  <c r="K27" i="7"/>
  <c r="H27" i="7"/>
  <c r="O27" i="7"/>
  <c r="L27" i="7"/>
  <c r="N27" i="7"/>
  <c r="M27" i="7"/>
  <c r="P27" i="7"/>
  <c r="K26" i="7"/>
  <c r="L26" i="7"/>
  <c r="M26" i="7"/>
  <c r="N26" i="7"/>
  <c r="O26" i="7"/>
  <c r="P26" i="7"/>
  <c r="H26" i="7"/>
  <c r="P25" i="7"/>
  <c r="N25" i="7"/>
  <c r="M25" i="7"/>
  <c r="L25" i="7"/>
  <c r="K25" i="7"/>
  <c r="O25" i="7"/>
  <c r="H25" i="7"/>
  <c r="L23" i="7"/>
  <c r="M23" i="7"/>
  <c r="N23" i="7"/>
  <c r="P23" i="7"/>
  <c r="O23" i="7"/>
  <c r="K23" i="7"/>
  <c r="H23" i="7"/>
  <c r="L22" i="7"/>
  <c r="M22" i="7"/>
  <c r="N22" i="7"/>
  <c r="O22" i="7"/>
  <c r="P22" i="7"/>
  <c r="K22" i="7"/>
  <c r="H22" i="7"/>
  <c r="L21" i="7"/>
  <c r="M21" i="7"/>
  <c r="N21" i="7"/>
  <c r="O21" i="7"/>
  <c r="P21" i="7"/>
  <c r="K21" i="7"/>
  <c r="H21" i="7"/>
  <c r="L20" i="7"/>
  <c r="M20" i="7"/>
  <c r="N20" i="7"/>
  <c r="O20" i="7"/>
  <c r="P20" i="7"/>
  <c r="K20" i="7"/>
  <c r="H20" i="7"/>
  <c r="O19" i="7"/>
  <c r="M19" i="7"/>
  <c r="L19" i="7"/>
  <c r="N19" i="7"/>
  <c r="P19" i="7"/>
  <c r="K19" i="7"/>
  <c r="H19" i="7"/>
  <c r="L18" i="7"/>
  <c r="N18" i="7"/>
  <c r="O18" i="7"/>
  <c r="K18" i="7"/>
  <c r="M18" i="7"/>
  <c r="P18" i="7"/>
  <c r="H18" i="7"/>
  <c r="L17" i="7"/>
  <c r="N17" i="7"/>
  <c r="P17" i="7"/>
  <c r="K17" i="7"/>
  <c r="M17" i="7"/>
  <c r="O17" i="7"/>
  <c r="H17" i="7"/>
  <c r="O16" i="7"/>
  <c r="L16" i="7"/>
  <c r="P16" i="7"/>
  <c r="M16" i="7"/>
  <c r="K16" i="7"/>
  <c r="N16" i="7"/>
  <c r="H16" i="7"/>
  <c r="M15" i="7"/>
  <c r="L15" i="7"/>
  <c r="P15" i="7"/>
  <c r="K15" i="7"/>
  <c r="N15" i="7"/>
  <c r="O15" i="7"/>
  <c r="H15" i="7"/>
  <c r="P14" i="7"/>
  <c r="M14" i="7"/>
  <c r="L14" i="7"/>
  <c r="N14" i="7"/>
  <c r="K14" i="7"/>
  <c r="O14" i="7"/>
  <c r="H14" i="7"/>
  <c r="M13" i="7"/>
  <c r="L13" i="7"/>
  <c r="O13" i="7"/>
  <c r="K13" i="7"/>
  <c r="N13" i="7"/>
  <c r="P13" i="7"/>
  <c r="H13" i="7"/>
  <c r="K12" i="7"/>
  <c r="P12" i="7"/>
  <c r="M12" i="7"/>
  <c r="N12" i="7"/>
  <c r="O12" i="7"/>
  <c r="L12" i="7"/>
  <c r="H12" i="7"/>
  <c r="L11" i="7"/>
  <c r="P11" i="7"/>
  <c r="K11" i="7"/>
  <c r="M11" i="7"/>
  <c r="N11" i="7"/>
  <c r="O11" i="7"/>
  <c r="H11" i="7"/>
  <c r="M10" i="7"/>
  <c r="L10" i="7"/>
  <c r="O10" i="7"/>
  <c r="N10" i="7"/>
  <c r="K10" i="7"/>
  <c r="P10" i="7"/>
  <c r="H10" i="7"/>
  <c r="N9" i="7"/>
  <c r="O9" i="7"/>
  <c r="K9" i="7"/>
  <c r="M9" i="7"/>
  <c r="P9" i="7"/>
  <c r="L9" i="7"/>
  <c r="H9" i="7"/>
  <c r="N8" i="7"/>
  <c r="K8" i="7"/>
  <c r="O8" i="7"/>
  <c r="L8" i="7"/>
  <c r="P8" i="7"/>
  <c r="M8" i="7"/>
  <c r="H8" i="7"/>
  <c r="M7" i="7"/>
  <c r="P7" i="7"/>
  <c r="K7" i="7"/>
  <c r="O7" i="7"/>
  <c r="N7" i="7"/>
  <c r="L7" i="7"/>
  <c r="H7" i="7"/>
  <c r="C41" i="10"/>
  <c r="C7" i="1"/>
  <c r="C25" i="4"/>
  <c r="C15" i="1" s="1"/>
  <c r="C14" i="1"/>
  <c r="G29" i="4"/>
  <c r="G54" i="4" s="1"/>
  <c r="E54" i="4"/>
  <c r="F54" i="4" s="1"/>
  <c r="B17" i="13"/>
  <c r="E17" i="13" s="1"/>
  <c r="D7" i="1"/>
  <c r="B16" i="13"/>
  <c r="E16" i="13" s="1"/>
  <c r="B15" i="13"/>
  <c r="E15" i="13" s="1"/>
  <c r="B14" i="13"/>
  <c r="E14" i="13" s="1"/>
  <c r="B13" i="13"/>
  <c r="E13" i="13" s="1"/>
  <c r="B12" i="13"/>
  <c r="E12" i="13" s="1"/>
  <c r="H36" i="10"/>
  <c r="I36" i="10" s="1"/>
  <c r="H35" i="10"/>
  <c r="I35" i="10" s="1"/>
  <c r="H34" i="10"/>
  <c r="I34" i="10" s="1"/>
  <c r="H33" i="10"/>
  <c r="I33" i="10" s="1"/>
  <c r="H32" i="10"/>
  <c r="I32" i="10" s="1"/>
  <c r="H31" i="10"/>
  <c r="I31" i="10" s="1"/>
  <c r="H30" i="10"/>
  <c r="I30" i="10" s="1"/>
  <c r="H37" i="10"/>
  <c r="I37" i="10" s="1"/>
  <c r="G19" i="11"/>
  <c r="G20" i="11"/>
  <c r="G18" i="11"/>
  <c r="G16" i="11"/>
  <c r="G21" i="11"/>
  <c r="G17" i="11"/>
  <c r="Q5" i="6"/>
  <c r="Q6" i="6" s="1"/>
  <c r="Q7" i="6" s="1"/>
  <c r="Q8" i="6"/>
  <c r="Q9" i="6" s="1"/>
  <c r="Q10" i="6" s="1"/>
  <c r="Q11" i="6" s="1"/>
  <c r="Q12" i="6" s="1"/>
  <c r="Q13" i="6" s="1"/>
  <c r="Q14" i="6" s="1"/>
  <c r="Q15" i="6" s="1"/>
  <c r="Q16" i="6" s="1"/>
  <c r="Q17" i="6" s="1"/>
  <c r="Q18" i="6" s="1"/>
  <c r="Q19" i="6" s="1"/>
  <c r="Q20" i="6" s="1"/>
  <c r="Q21" i="6" s="1"/>
  <c r="Q22" i="6" s="1"/>
  <c r="Q23" i="6" s="1"/>
  <c r="Q24" i="6" s="1"/>
  <c r="Q25" i="6"/>
  <c r="Q26" i="6" s="1"/>
  <c r="Q27" i="6" s="1"/>
  <c r="Q28" i="6" s="1"/>
  <c r="Q29" i="6" s="1"/>
  <c r="Q30" i="6" s="1"/>
  <c r="G44" i="11"/>
  <c r="I44" i="11"/>
  <c r="G52" i="11"/>
  <c r="I52" i="11"/>
  <c r="G49" i="11"/>
  <c r="I49" i="11"/>
  <c r="G48" i="11"/>
  <c r="I48" i="11"/>
  <c r="G47" i="11"/>
  <c r="I47" i="11"/>
  <c r="G46" i="11"/>
  <c r="I46" i="11"/>
  <c r="G45" i="11"/>
  <c r="I45" i="11"/>
  <c r="G43" i="11"/>
  <c r="I43" i="11"/>
  <c r="G42" i="11"/>
  <c r="I42" i="11"/>
  <c r="G41" i="11"/>
  <c r="I41" i="11"/>
  <c r="G40" i="11"/>
  <c r="I40" i="11"/>
  <c r="G39" i="11"/>
  <c r="I39" i="11"/>
  <c r="G38" i="11"/>
  <c r="I38" i="11"/>
  <c r="G37" i="11"/>
  <c r="I37" i="11"/>
  <c r="I36" i="11"/>
  <c r="G36" i="11"/>
  <c r="G35" i="11"/>
  <c r="I35" i="11"/>
  <c r="G34" i="11"/>
  <c r="I34" i="11"/>
  <c r="G33" i="11"/>
  <c r="I33" i="11"/>
  <c r="G32" i="11"/>
  <c r="I32" i="11"/>
  <c r="G31" i="11"/>
  <c r="I31" i="11"/>
  <c r="G30" i="11"/>
  <c r="I30" i="11"/>
  <c r="G29" i="11"/>
  <c r="I29" i="11"/>
  <c r="G28" i="11"/>
  <c r="I28" i="11"/>
  <c r="G27" i="11"/>
  <c r="I27" i="11"/>
  <c r="B11" i="11"/>
  <c r="F11" i="11"/>
  <c r="R24" i="7" l="1"/>
  <c r="V24" i="7"/>
  <c r="U24" i="7"/>
  <c r="T24" i="7"/>
  <c r="S24" i="7"/>
  <c r="Q24" i="7"/>
  <c r="S33" i="7"/>
  <c r="R33" i="7"/>
  <c r="U33" i="7"/>
  <c r="V33" i="7"/>
  <c r="T33" i="7"/>
  <c r="Q33" i="7"/>
  <c r="B12" i="12"/>
  <c r="A14" i="12" s="1"/>
  <c r="C12" i="12"/>
  <c r="E53" i="12" s="1"/>
  <c r="F53" i="12" s="1"/>
  <c r="H53" i="12" s="1"/>
  <c r="C4" i="14"/>
  <c r="S32" i="7"/>
  <c r="U32" i="7"/>
  <c r="T32" i="7"/>
  <c r="Q32" i="7"/>
  <c r="R32" i="7"/>
  <c r="V32" i="7"/>
  <c r="Q31" i="7"/>
  <c r="R31" i="7"/>
  <c r="S31" i="7"/>
  <c r="T31" i="7"/>
  <c r="U31" i="7"/>
  <c r="V31" i="7"/>
  <c r="S30" i="7"/>
  <c r="R30" i="7"/>
  <c r="Q30" i="7"/>
  <c r="U30" i="7"/>
  <c r="V30" i="7"/>
  <c r="T30" i="7"/>
  <c r="Q29" i="7"/>
  <c r="R29" i="7"/>
  <c r="S29" i="7"/>
  <c r="T29" i="7"/>
  <c r="U29" i="7"/>
  <c r="V29" i="7"/>
  <c r="Q28" i="7"/>
  <c r="R28" i="7"/>
  <c r="V28" i="7"/>
  <c r="U28" i="7"/>
  <c r="S28" i="7"/>
  <c r="T28" i="7"/>
  <c r="V27" i="7"/>
  <c r="Q27" i="7"/>
  <c r="S27" i="7"/>
  <c r="U27" i="7"/>
  <c r="R27" i="7"/>
  <c r="T27" i="7"/>
  <c r="V26" i="7"/>
  <c r="Q26" i="7"/>
  <c r="R26" i="7"/>
  <c r="S26" i="7"/>
  <c r="T26" i="7"/>
  <c r="U26" i="7"/>
  <c r="Q25" i="7"/>
  <c r="R25" i="7"/>
  <c r="V25" i="7"/>
  <c r="S25" i="7"/>
  <c r="U25" i="7"/>
  <c r="T25" i="7"/>
  <c r="Q23" i="7"/>
  <c r="R23" i="7"/>
  <c r="S23" i="7"/>
  <c r="U23" i="7"/>
  <c r="V23" i="7"/>
  <c r="T23" i="7"/>
  <c r="Q22" i="7"/>
  <c r="R22" i="7"/>
  <c r="S22" i="7"/>
  <c r="T22" i="7"/>
  <c r="U22" i="7"/>
  <c r="V22" i="7"/>
  <c r="Q21" i="7"/>
  <c r="R21" i="7"/>
  <c r="S21" i="7"/>
  <c r="T21" i="7"/>
  <c r="U21" i="7"/>
  <c r="V21" i="7"/>
  <c r="Q20" i="7"/>
  <c r="R20" i="7"/>
  <c r="S20" i="7"/>
  <c r="T20" i="7"/>
  <c r="U20" i="7"/>
  <c r="V20" i="7"/>
  <c r="Q19" i="7"/>
  <c r="S19" i="7"/>
  <c r="U19" i="7"/>
  <c r="R19" i="7"/>
  <c r="T19" i="7"/>
  <c r="V19" i="7"/>
  <c r="Q18" i="7"/>
  <c r="S18" i="7"/>
  <c r="T18" i="7"/>
  <c r="V18" i="7"/>
  <c r="R18" i="7"/>
  <c r="U18" i="7"/>
  <c r="R17" i="7"/>
  <c r="Q17" i="7"/>
  <c r="S17" i="7"/>
  <c r="T17" i="7"/>
  <c r="U17" i="7"/>
  <c r="V17" i="7"/>
  <c r="R16" i="7"/>
  <c r="U16" i="7"/>
  <c r="Q16" i="7"/>
  <c r="S16" i="7"/>
  <c r="V16" i="7"/>
  <c r="T16" i="7"/>
  <c r="Q15" i="7"/>
  <c r="V15" i="7"/>
  <c r="U15" i="7"/>
  <c r="R15" i="7"/>
  <c r="S15" i="7"/>
  <c r="T15" i="7"/>
  <c r="S14" i="7"/>
  <c r="V14" i="7"/>
  <c r="Q14" i="7"/>
  <c r="T14" i="7"/>
  <c r="R14" i="7"/>
  <c r="U14" i="7"/>
  <c r="S13" i="7"/>
  <c r="Q13" i="7"/>
  <c r="R13" i="7"/>
  <c r="V13" i="7"/>
  <c r="U13" i="7"/>
  <c r="T13" i="7"/>
  <c r="Q12" i="7"/>
  <c r="U12" i="7"/>
  <c r="V12" i="7"/>
  <c r="T12" i="7"/>
  <c r="S12" i="7"/>
  <c r="R12" i="7"/>
  <c r="Q11" i="7"/>
  <c r="V11" i="7"/>
  <c r="T11" i="7"/>
  <c r="S11" i="7"/>
  <c r="U11" i="7"/>
  <c r="R11" i="7"/>
  <c r="R10" i="7"/>
  <c r="Q10" i="7"/>
  <c r="U10" i="7"/>
  <c r="V10" i="7"/>
  <c r="T10" i="7"/>
  <c r="S10" i="7"/>
  <c r="V9" i="7"/>
  <c r="T9" i="7"/>
  <c r="S9" i="7"/>
  <c r="R9" i="7"/>
  <c r="Q9" i="7"/>
  <c r="U9" i="7"/>
  <c r="R8" i="7"/>
  <c r="S8" i="7"/>
  <c r="T8" i="7"/>
  <c r="Q8" i="7"/>
  <c r="V8" i="7"/>
  <c r="U8" i="7"/>
  <c r="E4" i="7"/>
  <c r="W7" i="7"/>
  <c r="X7" i="7" s="1"/>
  <c r="R7" i="7"/>
  <c r="V7" i="7"/>
  <c r="T7" i="7"/>
  <c r="S7" i="7"/>
  <c r="U7" i="7"/>
  <c r="Q7" i="7"/>
  <c r="G17" i="13"/>
  <c r="B17" i="14"/>
  <c r="F17" i="13"/>
  <c r="C17" i="14" s="1"/>
  <c r="B16" i="14"/>
  <c r="G16" i="13"/>
  <c r="F16" i="13"/>
  <c r="C16" i="14" s="1"/>
  <c r="F15" i="13"/>
  <c r="C15" i="14" s="1"/>
  <c r="G15" i="13"/>
  <c r="F23" i="14"/>
  <c r="F24" i="14"/>
  <c r="D21" i="13"/>
  <c r="C21" i="13"/>
  <c r="C26" i="13"/>
  <c r="B15" i="14"/>
  <c r="F22" i="14"/>
  <c r="E21" i="13"/>
  <c r="B21" i="13"/>
  <c r="C28" i="13"/>
  <c r="F14" i="13"/>
  <c r="C14" i="14" s="1"/>
  <c r="G14" i="13"/>
  <c r="B14" i="14"/>
  <c r="F13" i="13"/>
  <c r="C13" i="14" s="1"/>
  <c r="G13" i="13"/>
  <c r="B13" i="14"/>
  <c r="F12" i="13"/>
  <c r="C12" i="14" s="1"/>
  <c r="G12" i="13"/>
  <c r="B12" i="14"/>
  <c r="D12" i="12"/>
  <c r="C11" i="11"/>
  <c r="I12" i="12"/>
  <c r="A22" i="11"/>
  <c r="D4" i="7"/>
  <c r="F4" i="7"/>
  <c r="G4" i="7"/>
  <c r="B4" i="7"/>
  <c r="C4" i="7"/>
  <c r="E23" i="12" l="1"/>
  <c r="F23" i="12" s="1"/>
  <c r="H23" i="12" s="1"/>
  <c r="E24" i="12"/>
  <c r="F24" i="12" s="1"/>
  <c r="H24" i="12" s="1"/>
  <c r="E25" i="12"/>
  <c r="F25" i="12" s="1"/>
  <c r="H25" i="12" s="1"/>
  <c r="E26" i="12"/>
  <c r="F26" i="12" s="1"/>
  <c r="H26" i="12" s="1"/>
  <c r="E27" i="12"/>
  <c r="F27" i="12" s="1"/>
  <c r="H27" i="12" s="1"/>
  <c r="E28" i="12"/>
  <c r="F28" i="12" s="1"/>
  <c r="H28" i="12" s="1"/>
  <c r="E29" i="12"/>
  <c r="F29" i="12" s="1"/>
  <c r="H29" i="12" s="1"/>
  <c r="E30" i="12"/>
  <c r="F30" i="12" s="1"/>
  <c r="H30" i="12" s="1"/>
  <c r="E22" i="12"/>
  <c r="F22" i="12" s="1"/>
  <c r="H22" i="12" s="1"/>
  <c r="E31" i="12"/>
  <c r="F31" i="12" s="1"/>
  <c r="H31" i="12" s="1"/>
  <c r="E32" i="12"/>
  <c r="F32" i="12" s="1"/>
  <c r="H32" i="12" s="1"/>
  <c r="E33" i="12"/>
  <c r="F33" i="12" s="1"/>
  <c r="H33" i="12" s="1"/>
  <c r="E34" i="12"/>
  <c r="F34" i="12" s="1"/>
  <c r="H34" i="12" s="1"/>
  <c r="E35" i="12"/>
  <c r="F35" i="12" s="1"/>
  <c r="H35" i="12" s="1"/>
  <c r="E36" i="12"/>
  <c r="F36" i="12" s="1"/>
  <c r="H36" i="12" s="1"/>
  <c r="E37" i="12"/>
  <c r="F37" i="12" s="1"/>
  <c r="H37" i="12" s="1"/>
  <c r="E38" i="12"/>
  <c r="F38" i="12" s="1"/>
  <c r="H38" i="12" s="1"/>
  <c r="E39" i="12"/>
  <c r="F39" i="12" s="1"/>
  <c r="H39" i="12" s="1"/>
  <c r="E40" i="12"/>
  <c r="F40" i="12" s="1"/>
  <c r="H40" i="12" s="1"/>
  <c r="E41" i="12"/>
  <c r="F41" i="12" s="1"/>
  <c r="H41" i="12" s="1"/>
  <c r="E42" i="12"/>
  <c r="F42" i="12" s="1"/>
  <c r="H42" i="12" s="1"/>
  <c r="E43" i="12"/>
  <c r="F43" i="12" s="1"/>
  <c r="H43" i="12" s="1"/>
  <c r="E52" i="12"/>
  <c r="F52" i="12" s="1"/>
  <c r="H52" i="12" s="1"/>
  <c r="E19" i="12"/>
  <c r="F19" i="12" s="1"/>
  <c r="H19" i="12" s="1"/>
  <c r="E20" i="12"/>
  <c r="F20" i="12" s="1"/>
  <c r="H20" i="12" s="1"/>
  <c r="E21" i="12"/>
  <c r="F21" i="12" s="1"/>
  <c r="H21" i="12" s="1"/>
  <c r="I53" i="12"/>
  <c r="J53" i="12"/>
  <c r="K53" i="12"/>
  <c r="C5" i="14"/>
  <c r="B23" i="14" s="1"/>
  <c r="W14" i="7"/>
  <c r="X14" i="7" s="1"/>
  <c r="W20" i="7"/>
  <c r="X20" i="7" s="1"/>
  <c r="W19" i="7"/>
  <c r="X19" i="7" s="1"/>
  <c r="I17" i="13"/>
  <c r="K17" i="13"/>
  <c r="H17" i="13"/>
  <c r="E17" i="14" s="1"/>
  <c r="J17" i="13"/>
  <c r="D17" i="14"/>
  <c r="F17" i="14" s="1"/>
  <c r="J16" i="13"/>
  <c r="D16" i="14"/>
  <c r="F16" i="14" s="1"/>
  <c r="H16" i="13"/>
  <c r="E16" i="14" s="1"/>
  <c r="I16" i="13"/>
  <c r="K16" i="13"/>
  <c r="H15" i="13"/>
  <c r="C27" i="13"/>
  <c r="I15" i="13"/>
  <c r="K15" i="13"/>
  <c r="C25" i="13"/>
  <c r="J15" i="13"/>
  <c r="D15" i="14"/>
  <c r="F15" i="14" s="1"/>
  <c r="H14" i="13"/>
  <c r="E14" i="14" s="1"/>
  <c r="I14" i="13"/>
  <c r="J14" i="13"/>
  <c r="K14" i="13"/>
  <c r="D14" i="14"/>
  <c r="F14" i="14" s="1"/>
  <c r="H13" i="13"/>
  <c r="E13" i="14" s="1"/>
  <c r="I13" i="13"/>
  <c r="J13" i="13"/>
  <c r="K13" i="13"/>
  <c r="D13" i="14"/>
  <c r="F13" i="14" s="1"/>
  <c r="H12" i="13"/>
  <c r="E12" i="14" s="1"/>
  <c r="I12" i="13"/>
  <c r="J12" i="13"/>
  <c r="K12" i="13"/>
  <c r="D12" i="14"/>
  <c r="F12" i="14" s="1"/>
  <c r="D17" i="11"/>
  <c r="D16" i="11"/>
  <c r="D19" i="11"/>
  <c r="D21" i="11"/>
  <c r="D18" i="11"/>
  <c r="D20" i="11"/>
  <c r="E12" i="12"/>
  <c r="C5" i="7"/>
  <c r="G5" i="7"/>
  <c r="E5" i="7"/>
  <c r="D5" i="7"/>
  <c r="F5" i="7"/>
  <c r="B5" i="7"/>
  <c r="W31" i="7"/>
  <c r="X31" i="7" s="1"/>
  <c r="W18" i="7"/>
  <c r="X18" i="7" s="1"/>
  <c r="W13" i="7"/>
  <c r="X13" i="7" s="1"/>
  <c r="W10" i="7"/>
  <c r="X10" i="7" s="1"/>
  <c r="W22" i="7"/>
  <c r="X22" i="7" s="1"/>
  <c r="W28" i="7"/>
  <c r="X28" i="7" s="1"/>
  <c r="W16" i="7"/>
  <c r="X16" i="7" s="1"/>
  <c r="W12" i="7"/>
  <c r="X12" i="7" s="1"/>
  <c r="W33" i="7"/>
  <c r="X33" i="7" s="1"/>
  <c r="W27" i="7"/>
  <c r="X27" i="7" s="1"/>
  <c r="W23" i="7"/>
  <c r="X23" i="7" s="1"/>
  <c r="W17" i="7"/>
  <c r="X17" i="7" s="1"/>
  <c r="W15" i="7"/>
  <c r="X15" i="7" s="1"/>
  <c r="W11" i="7"/>
  <c r="X11" i="7" s="1"/>
  <c r="W9" i="7"/>
  <c r="X9" i="7" s="1"/>
  <c r="W8" i="7"/>
  <c r="X8" i="7" s="1"/>
  <c r="W24" i="7"/>
  <c r="X24" i="7" s="1"/>
  <c r="W32" i="7"/>
  <c r="X32" i="7" s="1"/>
  <c r="W25" i="7"/>
  <c r="X25" i="7" s="1"/>
  <c r="W30" i="7"/>
  <c r="X30" i="7" s="1"/>
  <c r="W26" i="7"/>
  <c r="X26" i="7" s="1"/>
  <c r="W21" i="7"/>
  <c r="X21" i="7" s="1"/>
  <c r="W29" i="7"/>
  <c r="X29" i="7" s="1"/>
  <c r="I23" i="12" l="1"/>
  <c r="J23" i="12"/>
  <c r="K23" i="12"/>
  <c r="I24" i="12"/>
  <c r="J24" i="12"/>
  <c r="K24" i="12"/>
  <c r="I25" i="12"/>
  <c r="J25" i="12"/>
  <c r="K25" i="12"/>
  <c r="I26" i="12"/>
  <c r="J26" i="12"/>
  <c r="K26" i="12"/>
  <c r="I27" i="12"/>
  <c r="J27" i="12"/>
  <c r="K27" i="12"/>
  <c r="G12" i="12"/>
  <c r="I28" i="12"/>
  <c r="J28" i="12"/>
  <c r="K28" i="12"/>
  <c r="I29" i="12"/>
  <c r="J29" i="12"/>
  <c r="K29" i="12"/>
  <c r="I30" i="12"/>
  <c r="J30" i="12"/>
  <c r="K30" i="12"/>
  <c r="I22" i="12"/>
  <c r="J22" i="12"/>
  <c r="K22" i="12"/>
  <c r="I31" i="12"/>
  <c r="J31" i="12"/>
  <c r="K31" i="12"/>
  <c r="I32" i="12"/>
  <c r="J32" i="12"/>
  <c r="K32" i="12"/>
  <c r="I33" i="12"/>
  <c r="J33" i="12"/>
  <c r="K33" i="12"/>
  <c r="I34" i="12"/>
  <c r="J34" i="12"/>
  <c r="K34" i="12"/>
  <c r="I35" i="12"/>
  <c r="J35" i="12"/>
  <c r="K35" i="12"/>
  <c r="I36" i="12"/>
  <c r="J36" i="12"/>
  <c r="K36" i="12"/>
  <c r="I37" i="12"/>
  <c r="J37" i="12"/>
  <c r="K37" i="12"/>
  <c r="I38" i="12"/>
  <c r="J38" i="12"/>
  <c r="K38" i="12"/>
  <c r="I39" i="12"/>
  <c r="J39" i="12"/>
  <c r="K39" i="12"/>
  <c r="I40" i="12"/>
  <c r="J40" i="12"/>
  <c r="K40" i="12"/>
  <c r="I41" i="12"/>
  <c r="J41" i="12"/>
  <c r="K41" i="12"/>
  <c r="I42" i="12"/>
  <c r="J42" i="12"/>
  <c r="K42" i="12"/>
  <c r="I43" i="12"/>
  <c r="J43" i="12"/>
  <c r="K43" i="12"/>
  <c r="I52" i="12"/>
  <c r="J52" i="12"/>
  <c r="K52" i="12"/>
  <c r="I19" i="12"/>
  <c r="J19" i="12"/>
  <c r="K19" i="12"/>
  <c r="I20" i="12"/>
  <c r="J20" i="12"/>
  <c r="K20" i="12"/>
  <c r="I21" i="12"/>
  <c r="J21" i="12"/>
  <c r="K21" i="12"/>
  <c r="G17" i="14"/>
  <c r="H17" i="14"/>
  <c r="I17" i="14" s="1"/>
  <c r="H16" i="14"/>
  <c r="I16" i="14" s="1"/>
  <c r="G16" i="14"/>
  <c r="F21" i="13"/>
  <c r="E15" i="14"/>
  <c r="H15" i="14"/>
  <c r="I15" i="14" s="1"/>
  <c r="C22" i="14"/>
  <c r="G15" i="14"/>
  <c r="C24" i="14"/>
  <c r="G14" i="14"/>
  <c r="H14" i="14"/>
  <c r="I14" i="14" s="1"/>
  <c r="G13" i="14"/>
  <c r="H13" i="14"/>
  <c r="I13" i="14" s="1"/>
  <c r="G12" i="14"/>
  <c r="H12" i="14"/>
  <c r="I12" i="14" s="1"/>
  <c r="I17" i="11"/>
  <c r="F17" i="11"/>
  <c r="H17" i="11" s="1"/>
  <c r="I16" i="11"/>
  <c r="F16" i="11"/>
  <c r="H16" i="11" s="1"/>
  <c r="F19" i="11"/>
  <c r="H19" i="11" s="1"/>
  <c r="I19" i="11"/>
  <c r="I21" i="11"/>
  <c r="F21" i="11"/>
  <c r="H21" i="11" s="1"/>
  <c r="I18" i="11"/>
  <c r="F18" i="11"/>
  <c r="H18" i="11" s="1"/>
  <c r="F20" i="11"/>
  <c r="H20" i="11" s="1"/>
  <c r="I20" i="11"/>
  <c r="E23" i="14"/>
  <c r="G23" i="14" s="1"/>
  <c r="B24" i="14"/>
  <c r="B22" i="14"/>
  <c r="H12" i="12" l="1"/>
  <c r="E24" i="14"/>
  <c r="G24" i="14" s="1"/>
  <c r="E22" i="14"/>
  <c r="G22"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4" authorId="0" shapeId="0" xr:uid="{00000000-0006-0000-0200-000001000000}">
      <text>
        <r>
          <rPr>
            <sz val="11"/>
            <color theme="1"/>
            <rFont val="Calibri"/>
            <family val="2"/>
            <scheme val="minor"/>
          </rPr>
          <t>YES = full formula.
NO = optionals removed and every remaining % is renormalised so the concentrate still sums to 100%.</t>
        </r>
      </text>
    </comment>
    <comment ref="I4" authorId="0" shapeId="0" xr:uid="{00000000-0006-0000-0200-000002000000}">
      <text>
        <r>
          <rPr>
            <sz val="11"/>
            <color theme="1"/>
            <rFont val="Calibri"/>
            <family val="2"/>
            <scheme val="minor"/>
          </rPr>
          <t>Share of the (active) concentrate that is weighed as 10% DPG dilutions. Drives DPG consumption in Inventory.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7" authorId="0" shapeId="0" xr:uid="{00000000-0006-0000-0300-000001000000}">
      <text>
        <r>
          <rPr>
            <sz val="11"/>
            <color theme="1"/>
            <rFont val="Calibri"/>
            <family val="2"/>
            <scheme val="minor"/>
          </rPr>
          <t>Enter as a fraction (0.28 = 28%). Extrait default is 28% for maximum longevity. Suggested defaults per format are shown to the right.</t>
        </r>
      </text>
    </comment>
    <comment ref="C8" authorId="0" shapeId="0" xr:uid="{00000000-0006-0000-0300-000002000000}">
      <text>
        <r>
          <rPr>
            <sz val="11"/>
            <color theme="1"/>
            <rFont val="Calibri"/>
            <family val="2"/>
            <scheme val="minor"/>
          </rPr>
          <t>Used to convert ml ↔ g. Typical: EDP/Extrait 0.85, alcohol mist 0.87, water mist 0.99, cream 0.98.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H2" authorId="0" shapeId="0" xr:uid="{00000000-0006-0000-0500-000001000000}">
      <text>
        <r>
          <rPr>
            <sz val="11"/>
            <color theme="1"/>
            <rFont val="Calibri"/>
            <family val="2"/>
            <scheme val="minor"/>
          </rPr>
          <t>Low-stock alert basis: concentrate grams in one default Extrait batch (50 ml @ 28%, density 0.85). Red rows = on hand below TWO such batches.</t>
        </r>
      </text>
    </comment>
    <comment ref="E3" authorId="0" shapeId="0" xr:uid="{00000000-0006-0000-0500-000002000000}">
      <text>
        <r>
          <rPr>
            <sz val="11"/>
            <color theme="1"/>
            <rFont val="Calibri"/>
            <family val="2"/>
            <scheme val="minor"/>
          </rPr>
          <t>For ml-sold items grams = ml × density. Default 0.9 g/ml — refine per material. Alcohol 190 proof: 0.81.</t>
        </r>
      </text>
    </comment>
    <comment ref="J3" authorId="0" shapeId="0" xr:uid="{00000000-0006-0000-0500-000003000000}">
      <text>
        <r>
          <rPr>
            <sz val="11"/>
            <color theme="1"/>
            <rFont val="Calibri"/>
            <family val="2"/>
            <scheme val="minor"/>
          </rPr>
          <t>Usage = Σ concentrate logged in the Production Log × the material's CURRENT active % (D10 items count 10% neat; DPG counts the 90% carrier). Alcohol = Σ of the log's alcohol column.</t>
        </r>
      </text>
    </comment>
    <comment ref="A4" authorId="0" shapeId="0" xr:uid="{00000000-0006-0000-0500-000004000000}">
      <text>
        <r>
          <rPr>
            <sz val="11"/>
            <color theme="1"/>
            <rFont val="Calibri"/>
            <family val="2"/>
            <scheme val="minor"/>
          </rPr>
          <t>shared with ASMR stock — photosafe accord</t>
        </r>
      </text>
    </comment>
    <comment ref="A5" authorId="0" shapeId="0" xr:uid="{00000000-0006-0000-0500-000005000000}">
      <text>
        <r>
          <rPr>
            <sz val="11"/>
            <color theme="1"/>
            <rFont val="Calibri"/>
            <family val="2"/>
            <scheme val="minor"/>
          </rPr>
          <t>shared with ASMR · used as 10% D10</t>
        </r>
      </text>
    </comment>
    <comment ref="A6" authorId="0" shapeId="0" xr:uid="{00000000-0006-0000-0500-000006000000}">
      <text>
        <r>
          <rPr>
            <sz val="11"/>
            <color theme="1"/>
            <rFont val="Calibri"/>
            <family val="2"/>
            <scheme val="minor"/>
          </rPr>
          <t>NEW purchase</t>
        </r>
      </text>
    </comment>
    <comment ref="A7" authorId="0" shapeId="0" xr:uid="{00000000-0006-0000-0500-000007000000}">
      <text>
        <r>
          <rPr>
            <sz val="11"/>
            <color theme="1"/>
            <rFont val="Calibri"/>
            <family val="2"/>
            <scheme val="minor"/>
          </rPr>
          <t>NEW purchase</t>
        </r>
      </text>
    </comment>
    <comment ref="A8" authorId="0" shapeId="0" xr:uid="{00000000-0006-0000-0500-000008000000}">
      <text>
        <r>
          <rPr>
            <sz val="11"/>
            <color theme="1"/>
            <rFont val="Calibri"/>
            <family val="2"/>
            <scheme val="minor"/>
          </rPr>
          <t>shared with ASMR</t>
        </r>
      </text>
    </comment>
    <comment ref="A9" authorId="0" shapeId="0" xr:uid="{00000000-0006-0000-0500-000009000000}">
      <text>
        <r>
          <rPr>
            <sz val="11"/>
            <color theme="1"/>
            <rFont val="Calibri"/>
            <family val="2"/>
            <scheme val="minor"/>
          </rPr>
          <t>NEW purchase — the heart of SAMR</t>
        </r>
      </text>
    </comment>
    <comment ref="A10" authorId="0" shapeId="0" xr:uid="{00000000-0006-0000-0500-00000A000000}">
      <text>
        <r>
          <rPr>
            <sz val="11"/>
            <color theme="1"/>
            <rFont val="Calibri"/>
            <family val="2"/>
            <scheme val="minor"/>
          </rPr>
          <t>NEW purchase</t>
        </r>
      </text>
    </comment>
    <comment ref="A11" authorId="0" shapeId="0" xr:uid="{00000000-0006-0000-0500-00000B000000}">
      <text>
        <r>
          <rPr>
            <sz val="11"/>
            <color theme="1"/>
            <rFont val="Calibri"/>
            <family val="2"/>
            <scheme val="minor"/>
          </rPr>
          <t>shared with ASMR</t>
        </r>
      </text>
    </comment>
    <comment ref="A12" authorId="0" shapeId="0" xr:uid="{00000000-0006-0000-0500-00000C000000}">
      <text>
        <r>
          <rPr>
            <sz val="11"/>
            <color theme="1"/>
            <rFont val="Calibri"/>
            <family val="2"/>
            <scheme val="minor"/>
          </rPr>
          <t>shared with ASMR</t>
        </r>
      </text>
    </comment>
    <comment ref="A13" authorId="0" shapeId="0" xr:uid="{00000000-0006-0000-0500-00000D000000}">
      <text>
        <r>
          <rPr>
            <sz val="11"/>
            <color theme="1"/>
            <rFont val="Calibri"/>
            <family val="2"/>
            <scheme val="minor"/>
          </rPr>
          <t>shared with ASMR</t>
        </r>
      </text>
    </comment>
    <comment ref="A14" authorId="0" shapeId="0" xr:uid="{00000000-0006-0000-0500-00000E000000}">
      <text>
        <r>
          <rPr>
            <sz val="11"/>
            <color theme="1"/>
            <rFont val="Calibri"/>
            <family val="2"/>
            <scheme val="minor"/>
          </rPr>
          <t>NEW · POWERFUL — only ever weighed as its 10% D10</t>
        </r>
      </text>
    </comment>
    <comment ref="A15" authorId="0" shapeId="0" xr:uid="{00000000-0006-0000-0500-00000F000000}">
      <text>
        <r>
          <rPr>
            <sz val="11"/>
            <color theme="1"/>
            <rFont val="Calibri"/>
            <family val="2"/>
            <scheme val="minor"/>
          </rPr>
          <t>NEW · crystals — must dissolve fully</t>
        </r>
      </text>
    </comment>
    <comment ref="A16" authorId="0" shapeId="0" xr:uid="{00000000-0006-0000-0500-000010000000}">
      <text>
        <r>
          <rPr>
            <sz val="11"/>
            <color theme="1"/>
            <rFont val="Calibri"/>
            <family val="2"/>
            <scheme val="minor"/>
          </rPr>
          <t>NEW · crystals</t>
        </r>
      </text>
    </comment>
    <comment ref="A17" authorId="0" shapeId="0" xr:uid="{00000000-0006-0000-0500-000011000000}">
      <text>
        <r>
          <rPr>
            <sz val="11"/>
            <color theme="1"/>
            <rFont val="Calibri"/>
            <family val="2"/>
            <scheme val="minor"/>
          </rPr>
          <t>NEW · used as 10% D10</t>
        </r>
      </text>
    </comment>
    <comment ref="A18" authorId="0" shapeId="0" xr:uid="{00000000-0006-0000-0500-000012000000}">
      <text>
        <r>
          <rPr>
            <sz val="11"/>
            <color theme="1"/>
            <rFont val="Calibri"/>
            <family val="2"/>
            <scheme val="minor"/>
          </rPr>
          <t>NEW · iterji sells it as a 500 g pack only (0.30 SAR/g)</t>
        </r>
      </text>
    </comment>
    <comment ref="A19" authorId="0" shapeId="0" xr:uid="{00000000-0006-0000-0500-000013000000}">
      <text>
        <r>
          <rPr>
            <sz val="11"/>
            <color theme="1"/>
            <rFont val="Calibri"/>
            <family val="2"/>
            <scheme val="minor"/>
          </rPr>
          <t>NEW purchase</t>
        </r>
      </text>
    </comment>
    <comment ref="A20" authorId="0" shapeId="0" xr:uid="{00000000-0006-0000-0500-000014000000}">
      <text>
        <r>
          <rPr>
            <sz val="11"/>
            <color theme="1"/>
            <rFont val="Calibri"/>
            <family val="2"/>
            <scheme val="minor"/>
          </rPr>
          <t>NEW · used as 10% D10</t>
        </r>
      </text>
    </comment>
    <comment ref="A21" authorId="0" shapeId="0" xr:uid="{00000000-0006-0000-0500-000015000000}">
      <text>
        <r>
          <rPr>
            <sz val="11"/>
            <color theme="1"/>
            <rFont val="Calibri"/>
            <family val="2"/>
            <scheme val="minor"/>
          </rPr>
          <t>shared with ASMR (bought there as 'Amberxan') · the only amber material</t>
        </r>
      </text>
    </comment>
    <comment ref="A22" authorId="0" shapeId="0" xr:uid="{00000000-0006-0000-0500-000016000000}">
      <text>
        <r>
          <rPr>
            <sz val="11"/>
            <color theme="1"/>
            <rFont val="Calibri"/>
            <family val="2"/>
            <scheme val="minor"/>
          </rPr>
          <t>shared with ASMR · the usual bottleneck — consider the 30 ml pack</t>
        </r>
      </text>
    </comment>
    <comment ref="A23" authorId="0" shapeId="0" xr:uid="{00000000-0006-0000-0500-000017000000}">
      <text>
        <r>
          <rPr>
            <sz val="11"/>
            <color theme="1"/>
            <rFont val="Calibri"/>
            <family val="2"/>
            <scheme val="minor"/>
          </rPr>
          <t>shared with ASMR</t>
        </r>
      </text>
    </comment>
    <comment ref="A24" authorId="0" shapeId="0" xr:uid="{00000000-0006-0000-0500-000018000000}">
      <text>
        <r>
          <rPr>
            <sz val="11"/>
            <color theme="1"/>
            <rFont val="Calibri"/>
            <family val="2"/>
            <scheme val="minor"/>
          </rPr>
          <t>shared with ASMR</t>
        </r>
      </text>
    </comment>
    <comment ref="A25" authorId="0" shapeId="0" xr:uid="{00000000-0006-0000-0500-000019000000}">
      <text>
        <r>
          <rPr>
            <sz val="11"/>
            <color theme="1"/>
            <rFont val="Calibri"/>
            <family val="2"/>
            <scheme val="minor"/>
          </rPr>
          <t>shared with ASMR · OUT OF STOCK at iterji (checked 2026-07) — you already own a pack; restock when relisted</t>
        </r>
      </text>
    </comment>
    <comment ref="A26" authorId="0" shapeId="0" xr:uid="{00000000-0006-0000-0500-00001A000000}">
      <text>
        <r>
          <rPr>
            <sz val="11"/>
            <color theme="1"/>
            <rFont val="Calibri"/>
            <family val="2"/>
            <scheme val="minor"/>
          </rPr>
          <t>NEW · smallest pack is 30 ml</t>
        </r>
      </text>
    </comment>
    <comment ref="A27" authorId="0" shapeId="0" xr:uid="{00000000-0006-0000-0500-00001B000000}">
      <text>
        <r>
          <rPr>
            <sz val="11"/>
            <color theme="1"/>
            <rFont val="Calibri"/>
            <family val="2"/>
            <scheme val="minor"/>
          </rPr>
          <t>shared with ASMR</t>
        </r>
      </text>
    </comment>
    <comment ref="A28" authorId="0" shapeId="0" xr:uid="{00000000-0006-0000-0500-00001C000000}">
      <text>
        <r>
          <rPr>
            <sz val="11"/>
            <color theme="1"/>
            <rFont val="Calibri"/>
            <family val="2"/>
            <scheme val="minor"/>
          </rPr>
          <t>NEW purchase (optional material)</t>
        </r>
      </text>
    </comment>
    <comment ref="A29" authorId="0" shapeId="0" xr:uid="{00000000-0006-0000-0500-00001D000000}">
      <text>
        <r>
          <rPr>
            <sz val="11"/>
            <color theme="1"/>
            <rFont val="Calibri"/>
            <family val="2"/>
            <scheme val="minor"/>
          </rPr>
          <t>carrier for the D10 dilutions · sold as 500 ml</t>
        </r>
      </text>
    </comment>
    <comment ref="A30" authorId="0" shapeId="0" xr:uid="{00000000-0006-0000-0500-00001E000000}">
      <text>
        <r>
          <rPr>
            <sz val="11"/>
            <color theme="1"/>
            <rFont val="Calibri"/>
            <family val="2"/>
            <scheme val="minor"/>
          </rPr>
          <t>5-litre pack · phthalate-free (denatured with Bitrex)</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3" authorId="0" shapeId="0" xr:uid="{00000000-0006-0000-0700-000001000000}">
      <text>
        <r>
          <rPr>
            <sz val="11"/>
            <color theme="1"/>
            <rFont val="Calibri"/>
            <family val="2"/>
            <scheme val="minor"/>
          </rPr>
          <t>Target end = maceration start + this many days. 42 days = 6 weeks (ready window is 4–8 weeks).</t>
        </r>
      </text>
    </comment>
    <comment ref="B4" authorId="0" shapeId="0" xr:uid="{00000000-0006-0000-0700-000002000000}">
      <text>
        <r>
          <rPr>
            <sz val="11"/>
            <color theme="1"/>
            <rFont val="Calibri"/>
            <family val="2"/>
            <scheme val="minor"/>
          </rPr>
          <t>Suggested ID: SAMR-YYYYMMDD-01</t>
        </r>
      </text>
    </comment>
    <comment ref="J5" authorId="0" shapeId="0" xr:uid="{00000000-0006-0000-0700-000003000000}">
      <text>
        <r>
          <rPr>
            <sz val="11"/>
            <color theme="1"/>
            <rFont val="Calibri"/>
            <family val="2"/>
            <scheme val="minor"/>
          </rPr>
          <t>Pre-filled as start + default days. Type a date over it to override.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I8" authorId="0" shapeId="0" xr:uid="{00000000-0006-0000-0A00-000001000000}">
      <text>
        <r>
          <rPr>
            <sz val="11"/>
            <color theme="1"/>
            <rFont val="Calibri"/>
            <family val="2"/>
            <scheme val="minor"/>
          </rPr>
          <t>Change this and the material table's 'Bottles @ ml' column updates.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15" authorId="0" shapeId="0" xr:uid="{00000000-0006-0000-0C00-000001000000}">
      <text>
        <r>
          <rPr>
            <sz val="11"/>
            <color theme="1"/>
            <rFont val="Calibri"/>
            <family val="2"/>
            <scheme val="minor"/>
          </rPr>
          <t>Bottle + atomiser/pump + cap + box + label. Edit to your real supplier cost.</t>
        </r>
      </text>
    </comment>
  </commentList>
</comments>
</file>

<file path=xl/sharedStrings.xml><?xml version="1.0" encoding="utf-8"?>
<sst xmlns="http://schemas.openxmlformats.org/spreadsheetml/2006/main" count="855" uniqueCount="555">
  <si>
    <t>S A M R</t>
  </si>
  <si>
    <t>سَمَر · evening warmth, vanilla, white flowers, warm musk · made for her skin</t>
  </si>
  <si>
    <t>INVESTED (SAR)</t>
  </si>
  <si>
    <t>STOCK VALUE (SAR)</t>
  </si>
  <si>
    <t>CONCENTRATE (SAR/g)</t>
  </si>
  <si>
    <t>BATCHES LOGGED</t>
  </si>
  <si>
    <t>MACERATING NOW</t>
  </si>
  <si>
    <t>LOW-STOCK ITEMS</t>
  </si>
  <si>
    <t>CURRENT BATCH — quick launch</t>
  </si>
  <si>
    <t>MACERATION MILESTONES</t>
  </si>
  <si>
    <t>Format</t>
  </si>
  <si>
    <t>Next ready window opens</t>
  </si>
  <si>
    <t>Batch</t>
  </si>
  <si>
    <t>Next maceration complete</t>
  </si>
  <si>
    <t>Concentrate to weigh (g)</t>
  </si>
  <si>
    <t>Batches in ready window</t>
  </si>
  <si>
    <t>Alcohol (g)</t>
  </si>
  <si>
    <t>Concentrate used to date (g)</t>
  </si>
  <si>
    <t>Estimated cost (SAR)</t>
  </si>
  <si>
    <t>Alcohol used to date (g)</t>
  </si>
  <si>
    <t>Cost per ml (SAR)</t>
  </si>
  <si>
    <t>Maceration target (days)</t>
  </si>
  <si>
    <t>INVENTORY ALERTS</t>
  </si>
  <si>
    <t>WORKFLOW</t>
  </si>
  <si>
    <t>1 · Set format, size and concentration in the Batch Calculator — print it and take it to the bench.</t>
  </si>
  <si>
    <t>2 · Weigh BASE → HEART → TOP, marry the concentrate 24–48 h, then dilute and start maceration.</t>
  </si>
  <si>
    <t>3 · Log the batch in the Production Log — Inventory and the Maceration Tracker update themselves.</t>
  </si>
  <si>
    <t>SAMR personal production suite · verify against current IFRA standards before any commercial use</t>
  </si>
  <si>
    <t>Extrait de Parfum 28% · Gourmand Amber Floral · a warm-skin scent</t>
  </si>
  <si>
    <t>THE NAME</t>
  </si>
  <si>
    <t>SAMR — سَمَر — comes from Samrae and from the Arabic idea of late-night conversation: warmth after sunset, closeness, and the voice you want to keep hearing. The brand mark keeps the name short, intimate, and easy to put on a bottle while still carrying her name inside it.</t>
  </si>
  <si>
    <t>THE IDEA</t>
  </si>
  <si>
    <t>SAMR is a private extrait built around warmth on skin: soft fruit at the opening, white flowers at body temperature, vanilla, tonka, ambergris radiance, velvet woods, and a five-layer musk trail. The goal is not room-filling noise; it is a close, memorable signature that feels personal when someone is allowed near.</t>
  </si>
  <si>
    <t>THE OPENING — the first glance</t>
  </si>
  <si>
    <t>Sun-warmed bergamot and a spark of pink pepper sit over ripe peach skin and raspberry gloss. Bright, juicy, and playful, the opening lasts long enough to catch attention, then melts into the warmer heart.</t>
  </si>
  <si>
    <t>THE HEART — the embrace</t>
  </si>
  <si>
    <t>A cloud of Hedione makes the heart luminous while jasmine and tuberose bring creamy white flower warmth. Violet-iris powder softens the edges, and benzyl salicylate gives a solar, skin-in-the-sun glow. This is the center of SAMR: radiant, feminine, and close.</t>
  </si>
  <si>
    <t>THE DRYDOWN — the addiction</t>
  </si>
  <si>
    <t>The base is where SAMR becomes memorable. A double vanilla — vanillin anchored by its creamier ethyl echo — melts into tonka and a caramelised-sugar halo, warmed by almond heliotrope and a single breath of coconut cream. Ambroxan throws its radiant, mineral ambergris aura for hours; Iso E Super and cashmeran wrap it in velvet wood, sandalwood glows underneath, and three musks — clean, powdery, intimate — fuse it all to her skin. The optional glints are plum-rose damascone and a saffron-suede whisper.</t>
  </si>
  <si>
    <t>HOW SHE WEARS IT</t>
  </si>
  <si>
    <t>Extrait de parfum at 28% — apply low and close: pulse of the wrists, the hollow of the throat, behind the ears, a touch at the collarbone. One spray in the hair carries the trail. It blooms with body heat, so the best projection is exactly at conversation distance — this perfume is not for the room, it is for the person allowed close.</t>
  </si>
  <si>
    <t>NOTES AT A GLANCE</t>
  </si>
  <si>
    <t>Top: bergamot · pink pepper · peach · raspberry</t>
  </si>
  <si>
    <t>Heart: jasmine absolute · tuberose · Hedione · violet-iris · solar balsam</t>
  </si>
  <si>
    <t>Base: double vanilla · tonka &amp; caramel · heliotrope · coconut cream · ambergris · velvet woods · sandalwood · skin musks · (damascone plum-rose · saffron suede)</t>
  </si>
  <si>
    <t>Concentrate = 100% on the Formula Master tab. Weighing, dilutions, maceration and bottling: Batch Calculator + Process Reference.</t>
  </si>
  <si>
    <t>SAMR — MASTER FORMULA</t>
  </si>
  <si>
    <t>Concentrate = 100% by weight.  D10 = weighed as a 10% dilution in DPG — the % shown is the weight of the dilution.</t>
  </si>
  <si>
    <t>Optionals Σ</t>
  </si>
  <si>
    <t>Include optional materials (Damascone Beta, Saffron Accord):</t>
  </si>
  <si>
    <t>YES</t>
  </si>
  <si>
    <t>D10 Σ (active)</t>
  </si>
  <si>
    <t>Phase</t>
  </si>
  <si>
    <t>Material</t>
  </si>
  <si>
    <t>Input %</t>
  </si>
  <si>
    <t>D10</t>
  </si>
  <si>
    <t>Optional</t>
  </si>
  <si>
    <t>Active %</t>
  </si>
  <si>
    <t>Role in the accord</t>
  </si>
  <si>
    <t>SAR/g (as weighed)</t>
  </si>
  <si>
    <t>TOP</t>
  </si>
  <si>
    <t>Bergamot Accord</t>
  </si>
  <si>
    <t>sun-warmed citrus — the first glance across the room</t>
  </si>
  <si>
    <t>Pink Peppercorn</t>
  </si>
  <si>
    <t>rosy-spicy spark over the opening</t>
  </si>
  <si>
    <t>Aldehyde C-14 Peach</t>
  </si>
  <si>
    <t>ripe peach skin — velvet, juicy, warm</t>
  </si>
  <si>
    <t>Raspberry Accord</t>
  </si>
  <si>
    <t>lip-gloss fruit — playful, kissable</t>
  </si>
  <si>
    <t>HEART</t>
  </si>
  <si>
    <t>Hedione (Firmenich)</t>
  </si>
  <si>
    <t>radiant jasmine air — she fills the room</t>
  </si>
  <si>
    <t>Jasmin Absolute Accord</t>
  </si>
  <si>
    <t>the carnal white flower at body heat</t>
  </si>
  <si>
    <t>Tuberose Accord</t>
  </si>
  <si>
    <t>creamy narcotic petals</t>
  </si>
  <si>
    <t>Methyl Alpha Ionone Iso</t>
  </si>
  <si>
    <t>violet-iris powder — bare shoulders under silk</t>
  </si>
  <si>
    <t>Benzyl Salicylate</t>
  </si>
  <si>
    <t>solar balsamic glow — skin in the sun</t>
  </si>
  <si>
    <t>Linalool</t>
  </si>
  <si>
    <t>soft floral smoothing</t>
  </si>
  <si>
    <t>Damascone Beta</t>
  </si>
  <si>
    <t>OPT</t>
  </si>
  <si>
    <t>velvet plum-rose glint — optional luxury</t>
  </si>
  <si>
    <t>BASE</t>
  </si>
  <si>
    <t>Vanillin Crystals</t>
  </si>
  <si>
    <t>warm vanilla — the addiction itself</t>
  </si>
  <si>
    <t>Ethyl Vanillin</t>
  </si>
  <si>
    <t>deeper, creamier vanilla echo</t>
  </si>
  <si>
    <t>Maltol (Crystals)</t>
  </si>
  <si>
    <t>caramelised-sugar halo</t>
  </si>
  <si>
    <t>Coumarin</t>
  </si>
  <si>
    <t>tonka warmth — almond-hay softness</t>
  </si>
  <si>
    <t>Heliotrope Accord</t>
  </si>
  <si>
    <t>almond-powder tenderness</t>
  </si>
  <si>
    <t>Aldehyde C-18 Coconut</t>
  </si>
  <si>
    <t>a breath of coconut cream on skin</t>
  </si>
  <si>
    <t>Ambroxan</t>
  </si>
  <si>
    <t>ambergris radiance — the 'come closer' trail</t>
  </si>
  <si>
    <t>Iso E Super</t>
  </si>
  <si>
    <t>velvet-wood aura, second-skin halo</t>
  </si>
  <si>
    <t>Cashmeran IFF</t>
  </si>
  <si>
    <t>cashmere warmth — bedsheets and skin</t>
  </si>
  <si>
    <t>Sandalore (Givaudan)</t>
  </si>
  <si>
    <t>creamy sandalwood glow</t>
  </si>
  <si>
    <t>Ethylene Brassylate</t>
  </si>
  <si>
    <t>powdery intimate musk</t>
  </si>
  <si>
    <t>Galaxolide</t>
  </si>
  <si>
    <t>clean 'her skin' musk — freshly showered</t>
  </si>
  <si>
    <t>Exaltolide Total (Firmenich)</t>
  </si>
  <si>
    <t>warm skin-musk — the lingering embrace</t>
  </si>
  <si>
    <t>Saffron Accord</t>
  </si>
  <si>
    <t>saffron-suede whisper — optional luxury</t>
  </si>
  <si>
    <t>TOTALS</t>
  </si>
  <si>
    <t>Legend:</t>
  </si>
  <si>
    <t xml:space="preserve">  OPTIONAL / extra  </t>
  </si>
  <si>
    <t>optional materials are controlled only by the C4 toggle</t>
  </si>
  <si>
    <t xml:space="preserve">  OVERLAPS another  </t>
  </si>
  <si>
    <t>intentional accord layering — do not remove unless you choose a simpler formula</t>
  </si>
  <si>
    <t>Every other ingredient is essential to the accord. There are NO wasted materials here — each phase (top / heart / base) needs its members to smell complete.</t>
  </si>
  <si>
    <t>SAMR — BATCH CALCULATOR</t>
  </si>
  <si>
    <t>All quantities in grams. Weighing order: BASE → HEART → TOP.  Champagne cells are inputs.</t>
  </si>
  <si>
    <t>1 · BATCH INPUTS</t>
  </si>
  <si>
    <t>Product format</t>
  </si>
  <si>
    <t>Extrait de Parfum</t>
  </si>
  <si>
    <t>choose one of the six product formats</t>
  </si>
  <si>
    <t>Batch size</t>
  </si>
  <si>
    <t>in the unit chosen below</t>
  </si>
  <si>
    <t>Size unit (ml / g)</t>
  </si>
  <si>
    <t>ml</t>
  </si>
  <si>
    <t>ml is converted to grams with the density cell below</t>
  </si>
  <si>
    <t>Concentrate %</t>
  </si>
  <si>
    <t>Finished density (g/ml)</t>
  </si>
  <si>
    <t>Optionals included?</t>
  </si>
  <si>
    <t>optionals: Damascone Beta, Saffron Accord — set on Formula Master</t>
  </si>
  <si>
    <t>2 · FORMAT PARAMETERS  (each is used only by the format named)</t>
  </si>
  <si>
    <t>Distilled water % (EDP)</t>
  </si>
  <si>
    <t>EDP / Extrait — optional, max 3%</t>
  </si>
  <si>
    <t>CREAM ROUTE 2 — PHASE %</t>
  </si>
  <si>
    <t>Glycerin % (alc. mist)</t>
  </si>
  <si>
    <t>Alcohol Body Mist — optional 2–3%</t>
  </si>
  <si>
    <t>Glycerin (water phase)</t>
  </si>
  <si>
    <t>Water % (alc. mist)</t>
  </si>
  <si>
    <t>Alcohol Body Mist — optional 5–10%</t>
  </si>
  <si>
    <t>Emulsifying Wax NF</t>
  </si>
  <si>
    <t>Solubilizer × fragrance</t>
  </si>
  <si>
    <t>Water Mist — Polysorbate 20 = 4–6 × fragrance wt</t>
  </si>
  <si>
    <t>Cetearyl alcohol</t>
  </si>
  <si>
    <t>Glycerin % (W-mist)</t>
  </si>
  <si>
    <t>Water-Based Mist</t>
  </si>
  <si>
    <t>Carrier oil (light)</t>
  </si>
  <si>
    <t>Preservative % (W-mist)</t>
  </si>
  <si>
    <t>Water-Based Mist — broad-spectrum, REQUIRED</t>
  </si>
  <si>
    <t>Shea / mango butter</t>
  </si>
  <si>
    <t>Vitamin E % (cream 2)</t>
  </si>
  <si>
    <t>Cream Route 2 — cool-down antioxidant</t>
  </si>
  <si>
    <t>Preservative</t>
  </si>
  <si>
    <t>3 · BATCH TOTALS</t>
  </si>
  <si>
    <t>Total batch mass (g)</t>
  </si>
  <si>
    <t>batch size converted to grams</t>
  </si>
  <si>
    <t>Batch volume (ml, approx.)</t>
  </si>
  <si>
    <t>for cost-per-ml</t>
  </si>
  <si>
    <t>Fragrance concentrate (g)</t>
  </si>
  <si>
    <t>total to weigh from the table below</t>
  </si>
  <si>
    <t>Estimated batch cost (SAR)</t>
  </si>
  <si>
    <t>materials incl. shipping allocation — see Cost Analysis</t>
  </si>
  <si>
    <t>4 · CONCENTRATE WEIGHING  (weigh in this order: BASE → HEART → TOP)</t>
  </si>
  <si>
    <t>% of conc.</t>
  </si>
  <si>
    <t>Weigh (g)</t>
  </si>
  <si>
    <t>Form</t>
  </si>
  <si>
    <t>Neat (g)</t>
  </si>
  <si>
    <t>✓</t>
  </si>
  <si>
    <t>CONCENTRATE TOTAL (must equal the concentrate above)</t>
  </si>
  <si>
    <t>5 · SOLVENT &amp; AUXILIARY COMPONENTS</t>
  </si>
  <si>
    <t>Component</t>
  </si>
  <si>
    <t>Grams</t>
  </si>
  <si>
    <t>Note</t>
  </si>
  <si>
    <t>Alcohol 190 proof SDA 40B</t>
  </si>
  <si>
    <t>EDP / Extrait / Alcohol Mist only — flammable</t>
  </si>
  <si>
    <t>Distilled water</t>
  </si>
  <si>
    <t>remainder in Water Mist &amp; Cream Route 2</t>
  </si>
  <si>
    <t>Glycerin</t>
  </si>
  <si>
    <t>humectant</t>
  </si>
  <si>
    <t>Polysorbate 20 (solubilizer)</t>
  </si>
  <si>
    <t>mix with fragrance FIRST, then add water</t>
  </si>
  <si>
    <t>Preservative (broad-spectrum)</t>
  </si>
  <si>
    <t>REQUIRED in every water-containing product</t>
  </si>
  <si>
    <t>Unscented cream base (preserved)</t>
  </si>
  <si>
    <t>Cream Route 1 — stir fragrance in cold</t>
  </si>
  <si>
    <t>oil phase, 70–75 °C</t>
  </si>
  <si>
    <t>oil phase</t>
  </si>
  <si>
    <t>Vitamin E</t>
  </si>
  <si>
    <t>cool-down, below 40 °C</t>
  </si>
  <si>
    <t>TOTAL BATCH (g)</t>
  </si>
  <si>
    <t>Batch ID:</t>
  </si>
  <si>
    <t>Date:</t>
  </si>
  <si>
    <t>Operator:</t>
  </si>
  <si>
    <t>Checked:</t>
  </si>
  <si>
    <t>WORKED VERIFICATION — 50 ml EXTRAIT @ 28%, density 0.85 (fixed example)</t>
  </si>
  <si>
    <t>Total mass = 50 ml × 0.85 g/ml</t>
  </si>
  <si>
    <t>expect ≈ 42.5 g</t>
  </si>
  <si>
    <t>Concentrate = 42.5 g × 28%</t>
  </si>
  <si>
    <t>expect ≈ 11.9 g</t>
  </si>
  <si>
    <t>Alcohol = total − concentrate</t>
  </si>
  <si>
    <t>expect ≈ 30.6 g</t>
  </si>
  <si>
    <t>D10 DILUTIONS — 10% IN DPG</t>
  </si>
  <si>
    <t>Default batch: 10 g of solution = 1.0 g neat material + 9.0 g DPG. Prepare at least 24 h before blending.</t>
  </si>
  <si>
    <t>Strength</t>
  </si>
  <si>
    <t>Batch (g)</t>
  </si>
  <si>
    <t>DPG (g)</t>
  </si>
  <si>
    <t>Date made</t>
  </si>
  <si>
    <t>Remaining (g)</t>
  </si>
  <si>
    <t>Label / notes</t>
  </si>
  <si>
    <t>1 · Tare a clean 12–15 ml glass bottle on the scale (0.01 g resolution or better).</t>
  </si>
  <si>
    <t>2 · Weigh the NEAT material first, then add DPG up to the total. Cap tightly and shake 1 minute.</t>
  </si>
  <si>
    <t>3 · Label with the text in the last column. Store dark and cool. Dilutions keep 12+ months.</t>
  </si>
  <si>
    <t>4 · When a dilution runs low, make a fresh 10 g batch and update 'Date made' and 'Remaining'.</t>
  </si>
  <si>
    <t>INVENTORY</t>
  </si>
  <si>
    <t>On hand = purchases − usage from the Production Log.  SAMR shares several jars with ASMR — each workbook tracks its own usage, so split the stock or deduct shared use manually.</t>
  </si>
  <si>
    <t>Conc / batch (g):</t>
  </si>
  <si>
    <t>Alcohol / batch (g):</t>
  </si>
  <si>
    <t>Pack</t>
  </si>
  <si>
    <t>Unit</t>
  </si>
  <si>
    <t>Packs</t>
  </si>
  <si>
    <t>Density g/ml</t>
  </si>
  <si>
    <t>Grams bought</t>
  </si>
  <si>
    <t>Price/pack SAR</t>
  </si>
  <si>
    <t>Paid SAR</t>
  </si>
  <si>
    <t>SAR/g</t>
  </si>
  <si>
    <t>Used (g)</t>
  </si>
  <si>
    <t>On hand (g)</t>
  </si>
  <si>
    <t>Alert &lt; (g)</t>
  </si>
  <si>
    <t>Status</t>
  </si>
  <si>
    <t>Product Link</t>
  </si>
  <si>
    <t>50 ml bottles</t>
  </si>
  <si>
    <t>iterji.com ↗</t>
  </si>
  <si>
    <t>g</t>
  </si>
  <si>
    <t>DPG (Dipropylene Glycol)</t>
  </si>
  <si>
    <t>TOTAL PAID (SAR)</t>
  </si>
  <si>
    <t>INVENTORY &amp; BOTTLES</t>
  </si>
  <si>
    <t>One live view of stock, bottle capacity by size, and which material increases output if you buy more.</t>
  </si>
  <si>
    <t>Bottle size</t>
  </si>
  <si>
    <t>Current</t>
  </si>
  <si>
    <t>Type trial purchase quantities in "Add packs". Projected bottles update immediately. Gold rows are materials where +1 pack can raise the 50 ml output; red rows are the current bottleneck.</t>
  </si>
  <si>
    <t>Projected</t>
  </si>
  <si>
    <t>Add packs</t>
  </si>
  <si>
    <t>Density</t>
  </si>
  <si>
    <t>On hand g</t>
  </si>
  <si>
    <t>Projected g</t>
  </si>
  <si>
    <t>Use / g conc</t>
  </si>
  <si>
    <t>Cur 10</t>
  </si>
  <si>
    <t>Cur 20</t>
  </si>
  <si>
    <t>Cur 30</t>
  </si>
  <si>
    <t>Cur 50</t>
  </si>
  <si>
    <t>Cur 70</t>
  </si>
  <si>
    <t>Cur 100</t>
  </si>
  <si>
    <t>Proj 10</t>
  </si>
  <si>
    <t>Proj 20</t>
  </si>
  <si>
    <t>Proj 30</t>
  </si>
  <si>
    <t>Proj 50</t>
  </si>
  <si>
    <t>Proj 70</t>
  </si>
  <si>
    <t>Proj 100</t>
  </si>
  <si>
    <t>+50 if +1 pack</t>
  </si>
  <si>
    <t>Priority</t>
  </si>
  <si>
    <t>Product</t>
  </si>
  <si>
    <t>open</t>
  </si>
  <si>
    <t>PRODUCTION LOG</t>
  </si>
  <si>
    <t>One row per batch. Copy 'Concentrate (g)' and 'Alcohol (g)' from the Batch Calculator — Inventory and the Maceration Tracker update automatically.</t>
  </si>
  <si>
    <t>Maceration default (days):</t>
  </si>
  <si>
    <t>Σ concentrate used (g):</t>
  </si>
  <si>
    <t>Σ alcohol used (g):</t>
  </si>
  <si>
    <t>Date</t>
  </si>
  <si>
    <t>Batch ID</t>
  </si>
  <si>
    <t>Size</t>
  </si>
  <si>
    <t>Conc %</t>
  </si>
  <si>
    <t>Concentrate (g)</t>
  </si>
  <si>
    <t>Macer. start</t>
  </si>
  <si>
    <t>Target end</t>
  </si>
  <si>
    <t>Notes</t>
  </si>
  <si>
    <t>MACERATION TRACKER</t>
  </si>
  <si>
    <t>Auto-view of the Production Log.  Amber = early (&lt; 2 weeks) · Green = ready window (4–8 weeks).</t>
  </si>
  <si>
    <t>Start</t>
  </si>
  <si>
    <t>Days elapsed</t>
  </si>
  <si>
    <t>Days remaining</t>
  </si>
  <si>
    <t>Weeks</t>
  </si>
  <si>
    <t>Readiness</t>
  </si>
  <si>
    <t>COST ANALYSIS</t>
  </si>
  <si>
    <t>Shipping is allocated proportionally over all materials via the load factor. All figures update live.</t>
  </si>
  <si>
    <t>A · CAPITAL</t>
  </si>
  <si>
    <t>Materials purchased (SAR)</t>
  </si>
  <si>
    <t>from Inventory</t>
  </si>
  <si>
    <t>International shipping (SAR)</t>
  </si>
  <si>
    <t>estimate copied from the ASMR order — edit to this order's actual</t>
  </si>
  <si>
    <t>TOTAL CAPITAL (SAR)</t>
  </si>
  <si>
    <t>Shipping load factor</t>
  </si>
  <si>
    <t>multiplier applied to material costs</t>
  </si>
  <si>
    <t>B · CONCENTRATE COST</t>
  </si>
  <si>
    <t>DPG price (SAR/g)</t>
  </si>
  <si>
    <t>carrier for the D10 dilutions</t>
  </si>
  <si>
    <t>Concentrate cost (SAR/g)</t>
  </si>
  <si>
    <t>formula-weighted from Inventory prices; D10 lines = 10% neat + 90% DPG</t>
  </si>
  <si>
    <t>… incl. shipping (SAR/g)</t>
  </si>
  <si>
    <t>used everywhere costs are quoted</t>
  </si>
  <si>
    <t>C · AUXILIARY COSTS (SAR/g — editable estimates)</t>
  </si>
  <si>
    <t>from Inventory × shipping load</t>
  </si>
  <si>
    <t>estimate — edit to actual</t>
  </si>
  <si>
    <t>Polysorbate 20</t>
  </si>
  <si>
    <t>Unscented cream base</t>
  </si>
  <si>
    <t>D · COST PER BOTTLE / JAR (finished product)</t>
  </si>
  <si>
    <t>Total (g)</t>
  </si>
  <si>
    <t>Conc (g)</t>
  </si>
  <si>
    <t>Cost SAR</t>
  </si>
  <si>
    <t>SAR per ml / g</t>
  </si>
  <si>
    <t>Eau de Parfum</t>
  </si>
  <si>
    <t>Alcohol Body Mist</t>
  </si>
  <si>
    <t>Cream Route 1</t>
  </si>
  <si>
    <t>Cream Route 2</t>
  </si>
  <si>
    <t>E · REMAINING STOCK VALUE</t>
  </si>
  <si>
    <t>Stock value at purchase prices (SAR)</t>
  </si>
  <si>
    <t>… incl. shipping allocation (SAR)</t>
  </si>
  <si>
    <t>YIELD &amp; CAPACITY</t>
  </si>
  <si>
    <t>How many bottles your CURRENT inventory can make. Every cell is live — it updates as you log batches and as prices change.</t>
  </si>
  <si>
    <t>1 · ASSUMPTIONS</t>
  </si>
  <si>
    <t>28% = Extrait (default). Set 20% to model EDP.</t>
  </si>
  <si>
    <t>converts bottle ml → grams</t>
  </si>
  <si>
    <t>Bench-loss allowance %</t>
  </si>
  <si>
    <t>residue lost in beakers/pipettes; try 5% for realism</t>
  </si>
  <si>
    <t>Stock basis</t>
  </si>
  <si>
    <t>On hand</t>
  </si>
  <si>
    <t>‘On hand’ = live remaining stock · ‘Purchased’ = total bought</t>
  </si>
  <si>
    <t>Ingredient-table bottle ml</t>
  </si>
  <si>
    <t>2 · CURRENT LIMITS</t>
  </si>
  <si>
    <t>MAX CONCENTRATE (g)</t>
  </si>
  <si>
    <t>USABLE AFTER LOSS (g)</t>
  </si>
  <si>
    <t>ALCOHOL ON HAND (g)</t>
  </si>
  <si>
    <t>DPG ON HAND (g)</t>
  </si>
  <si>
    <t>LIMITING MATERIAL</t>
  </si>
  <si>
    <t>3 · BOTTLE YIELD</t>
  </si>
  <si>
    <t>Bottle size (ml)</t>
  </si>
  <si>
    <t>Conc / bottle (g)</t>
  </si>
  <si>
    <t>Alcohol / bottle (g)</t>
  </si>
  <si>
    <t>Bottles by conc.</t>
  </si>
  <si>
    <t>Bottles by alcohol</t>
  </si>
  <si>
    <t>BOTTLES</t>
  </si>
  <si>
    <t>Cost / bottle (SAR)</t>
  </si>
  <si>
    <t>Batch materials (SAR)</t>
  </si>
  <si>
    <t>Limiting factor</t>
  </si>
  <si>
    <t>4 · MATERIAL-BY-MATERIAL CAPACITY  (which runs out first)</t>
  </si>
  <si>
    <t>Stock (g)</t>
  </si>
  <si>
    <t>Neat / g conc</t>
  </si>
  <si>
    <t>Max concentrate (g)</t>
  </si>
  <si>
    <t>Max 50 ml btls</t>
  </si>
  <si>
    <t>Bottle ml</t>
  </si>
  <si>
    <t>Bottles @ ml</t>
  </si>
  <si>
    <t>carrier</t>
  </si>
  <si>
    <t>SCALE-UP PLAN</t>
  </si>
  <si>
    <t>Target the maximum production level your alcohol can support, then show every material shortage, extra packs to buy, and added cost. Champagne cells are editable.</t>
  </si>
  <si>
    <t>1 · TARGET PRODUCTION</t>
  </si>
  <si>
    <t>Target 50 ml bottles</t>
  </si>
  <si>
    <t>Default = maximum 50 ml bottles supported by current alcohol. Type your own target to override.</t>
  </si>
  <si>
    <t>28% Extrait default. Set 20% for EDP.</t>
  </si>
  <si>
    <t>Converts bottle ml to grams.</t>
  </si>
  <si>
    <t>Extra concentrate to cover beaker, filter, and pipette losses.</t>
  </si>
  <si>
    <t>On hand = live after Production Log. Purchased = total packs bought.</t>
  </si>
  <si>
    <t>2 · SCALE-UP SUMMARY</t>
  </si>
  <si>
    <t>TARGET CONC (g)</t>
  </si>
  <si>
    <t>ALCOHOL NEEDED (g)</t>
  </si>
  <si>
    <t>CURRENT MAX CONC (g)</t>
  </si>
  <si>
    <t>CURRENT 50 ml BTLS</t>
  </si>
  <si>
    <t>ALCOHOL-MAX BTLS</t>
  </si>
  <si>
    <t>EXTRA PACKS</t>
  </si>
  <si>
    <t>BUY COST (SAR)</t>
  </si>
  <si>
    <t>BOTTLENECK NOW</t>
  </si>
  <si>
    <t>3 · MATERIALS TO INCREASE</t>
  </si>
  <si>
    <t>Required (g)</t>
  </si>
  <si>
    <t>Shortage (g)</t>
  </si>
  <si>
    <t>Pack g</t>
  </si>
  <si>
    <t>Add cost</t>
  </si>
  <si>
    <t>Why</t>
  </si>
  <si>
    <t>solvent</t>
  </si>
  <si>
    <t>PRICING &amp; SALES</t>
  </si>
  <si>
    <t>What to charge for the extra bottles. Juice cost is live from Cost Analysis; you set packaging and margin. Extrait de Parfum only.</t>
  </si>
  <si>
    <t>1 · PRICING ASSUMPTIONS  (champagne cells are yours to set)</t>
  </si>
  <si>
    <t>28% Extrait — matches your product</t>
  </si>
  <si>
    <t>ml → grams</t>
  </si>
  <si>
    <t>Labour + overhead / bottle (SAR)</t>
  </si>
  <si>
    <t>value your time; 0 = ignore for now</t>
  </si>
  <si>
    <t>Target price multiple (× cost)</t>
  </si>
  <si>
    <t>retail = total cost × this. 2.5–4× is typical for indie/luxury</t>
  </si>
  <si>
    <t>VAT % (Saudi Arabia)</t>
  </si>
  <si>
    <t>added on top of the ex-VAT price if you are VAT-registered</t>
  </si>
  <si>
    <t>2 · COST → RETAIL PER BOTTLE</t>
  </si>
  <si>
    <t>Juice cost</t>
  </si>
  <si>
    <t>Packaging</t>
  </si>
  <si>
    <t>Labour+OH</t>
  </si>
  <si>
    <t>TOTAL COST</t>
  </si>
  <si>
    <t>Cost/ml</t>
  </si>
  <si>
    <t>Retail ex-VAT</t>
  </si>
  <si>
    <t>Retail/ml</t>
  </si>
  <si>
    <t>Retail inc-VAT</t>
  </si>
  <si>
    <t>Profit / bottle</t>
  </si>
  <si>
    <t>Gross margin</t>
  </si>
  <si>
    <t>3 · WHAT DIFFERENT MULTIPLES GIVE  (50 ml, ex-VAT)</t>
  </si>
  <si>
    <t>Multiple</t>
  </si>
  <si>
    <t>×2 (friends)</t>
  </si>
  <si>
    <t>×2.5</t>
  </si>
  <si>
    <t>×3 (fair indie)</t>
  </si>
  <si>
    <t>×4 (luxury)</t>
  </si>
  <si>
    <t>market: a 50 ml niche extrait often retails 400–900+ SAR</t>
  </si>
  <si>
    <t>Retail (SAR)</t>
  </si>
  <si>
    <t>4 · BATCH ECONOMICS  (50 ml bottles at your target price)</t>
  </si>
  <si>
    <t>Bottles to sell</t>
  </si>
  <si>
    <t>you can make ~7 × 50 ml — keep some, sell the rest (see Yield &amp; Capacity)</t>
  </si>
  <si>
    <t>Revenue ex-VAT (SAR)</t>
  </si>
  <si>
    <t>bottles × retail ex-VAT</t>
  </si>
  <si>
    <t>Your cost (SAR)</t>
  </si>
  <si>
    <t>bottles × total cost</t>
  </si>
  <si>
    <t>Gross profit (SAR)</t>
  </si>
  <si>
    <t>before VAT, fees, selling costs</t>
  </si>
  <si>
    <t>Break-even price / bottle</t>
  </si>
  <si>
    <t>sell below this and you lose money</t>
  </si>
  <si>
    <t>5 · BEFORE YOU SELL — PLEASE READ</t>
  </si>
  <si>
    <t>•  These prices are a COST-PLUS framework, not a valuation. What the market pays is your test — start with people who already love it.</t>
  </si>
  <si>
    <t>•  Juice cost here does NOT include packaging until you enter it. Packaging on a luxury 50 ml can easily be 30–80 SAR — get real quotes.</t>
  </si>
  <si>
    <t>•  Selling commercially is different from personal use: verify the formula against CURRENT IFRA limits for fine fragrance before ANY sale.</t>
  </si>
  <si>
    <t>•  Saudi Arabia: cosmetics for sale generally require SFDA registration, compliant Arabic/English labelling, and an allergen declaration.</t>
  </si>
  <si>
    <t>•  VAT in KSA is 15%. If you are VAT-registered you must charge and remit it — the inc-VAT column shows the shelf price.</t>
  </si>
  <si>
    <t>•  Keep a batch record (the Production Log) and a retained sample of every batch you sell. Consider product-liability cover.</t>
  </si>
  <si>
    <t>SELLING STRATEGY</t>
  </si>
  <si>
    <t>Proposed launch pricing and channel plan connected to live cost, yield, VAT, and scale-up assumptions.</t>
  </si>
  <si>
    <t>1 · STRATEGY INPUTS</t>
  </si>
  <si>
    <t>Launch 50 ml bottles</t>
  </si>
  <si>
    <t>Default follows the Scale-Up Plan target. Type a smaller launch if you want a soft release.</t>
  </si>
  <si>
    <t>Samples / testers</t>
  </si>
  <si>
    <t>Give only to people likely to buy or influence buyers.</t>
  </si>
  <si>
    <t>Retailer commission %</t>
  </si>
  <si>
    <t>Use only if a shop takes a cut.</t>
  </si>
  <si>
    <t>Launch discount buffer %</t>
  </si>
  <si>
    <t>Price cushion for bundles, friends, or early buyers.</t>
  </si>
  <si>
    <t>VAT %</t>
  </si>
  <si>
    <t>Linked to Pricing &amp; Sales.</t>
  </si>
  <si>
    <t>2 · PROPOSED PRICE LADDER</t>
  </si>
  <si>
    <t>Bottle</t>
  </si>
  <si>
    <t>Cost</t>
  </si>
  <si>
    <t>Base retail</t>
  </si>
  <si>
    <t>Launch price</t>
  </si>
  <si>
    <t>Inc VAT</t>
  </si>
  <si>
    <t>Profit</t>
  </si>
  <si>
    <t>Margin</t>
  </si>
  <si>
    <t>Positioning</t>
  </si>
  <si>
    <t>Recommendation</t>
  </si>
  <si>
    <t>10 ml</t>
  </si>
  <si>
    <t>Sample</t>
  </si>
  <si>
    <t>Use for trial sets</t>
  </si>
  <si>
    <t>20 ml</t>
  </si>
  <si>
    <t>Travel</t>
  </si>
  <si>
    <t>Small paid tester</t>
  </si>
  <si>
    <t>30 ml</t>
  </si>
  <si>
    <t>Discovery</t>
  </si>
  <si>
    <t>Use as entry bottle</t>
  </si>
  <si>
    <t>50 ml</t>
  </si>
  <si>
    <t>Hero SKU</t>
  </si>
  <si>
    <t>Lead with this</t>
  </si>
  <si>
    <t>70 ml</t>
  </si>
  <si>
    <t>Premium</t>
  </si>
  <si>
    <t>Limited upsell</t>
  </si>
  <si>
    <t>100 ml</t>
  </si>
  <si>
    <t>Gift / collector</t>
  </si>
  <si>
    <t>3 · CHANNEL PLAN  (50 ml hero bottle)</t>
  </si>
  <si>
    <t>Channel</t>
  </si>
  <si>
    <t>Units</t>
  </si>
  <si>
    <t>Price ex-VAT</t>
  </si>
  <si>
    <t>Commission</t>
  </si>
  <si>
    <t>Net revenue</t>
  </si>
  <si>
    <t>Unit cost</t>
  </si>
  <si>
    <t>Gross profit</t>
  </si>
  <si>
    <t>Action</t>
  </si>
  <si>
    <t>Private circle</t>
  </si>
  <si>
    <t>Defer</t>
  </si>
  <si>
    <t>Start with warm demand; keep it personal.</t>
  </si>
  <si>
    <t>Only for feedback and proof, not giveaways without intent.</t>
  </si>
  <si>
    <t>Retail / boutique</t>
  </si>
  <si>
    <t>Only after IFRA/SFDA/commercial readiness.</t>
  </si>
  <si>
    <t>4 · GO / NO-GO CHECK</t>
  </si>
  <si>
    <t>□  Formula checked against current IFRA before any commercial sale.</t>
  </si>
  <si>
    <t>□  SFDA registration, Arabic/English label, allergen declaration, and batch records are ready.</t>
  </si>
  <si>
    <t>□  Packaging cost in Pricing &amp; Sales is replaced with real supplier quotes.</t>
  </si>
  <si>
    <t>□  At least one macerated batch has passed skin wear testing in Riyadh heat.</t>
  </si>
  <si>
    <t>PROCESS REFERENCE — SOPs</t>
  </si>
  <si>
    <t>Concise bench procedures. Work clean, work in grams, label everything.</t>
  </si>
  <si>
    <t>GOLDEN RULES</t>
  </si>
  <si>
    <t>Weigh in GRAMS on a 0.01 g scale — never count drops. Record every weight as you go.</t>
  </si>
  <si>
    <t>Sanitize glassware and tools with alcohol before each session. Change one variable at a time between trials.</t>
  </si>
  <si>
    <t>Label every container: SAMR · content · strength · date. Store everything dark and cool.</t>
  </si>
  <si>
    <t>EXTRAIT DE PARFUM 28% — MASTER BATCH METHOD (the standard)</t>
  </si>
  <si>
    <t>THE METHOD: weigh ONE master concentrate for the whole production run, marry and macerate it in ONE vessel, then divide into bottles at the end. This is how professional houses work (the 'mother juice'): every bottle is identical, the tiny weights become 5× larger and more accurate, and you do the work once. The technique is identical to ASMR's Master Method document — same tools, same steps, this formula.</t>
  </si>
  <si>
    <t>STEP 1 · PREP D10 DILUTIONS (a day ahead). Four ingredients are weighed as a 10%-in-DPG dilution: Pink Peppercorn, Maltol, Aldehyde C-18 Coconut, and (if kept) Damascone Beta. For each: 1.0 g neat + 9.0 g DPG = 10 g. See the Dilution Prep tab.</t>
  </si>
  <si>
    <t>STEP 2 · SET THE MASTER BATCH. On the Batch Calculator choose Extrait de Parfum, 250 ml, 28% (= 212.5 g juice: 59.5 g concentrate + 153 g alcohol — your full 5-bottle run). Print the Batch Sheet.</t>
  </si>
  <si>
    <t>STEP 3 · WEIGH THE CONCENTRATE, base first. Tare a clean glass beaker on a 0.01 g scale. Weigh BASE → HEART → TOP exactly as printed, taring between each and ticking every line. D10 items: weigh the DILUTION weight shown.</t>
  </si>
  <si>
    <t>STEP 4 · MARRY. Stir gently 2–3 min. Cap and rest the neat concentrate 24–48 h in the dark — the accord blooms before it meets alcohol. SAMR carries crystalline materials (Ambroxan, Vanillin, Ethyl Vanillin, Coumarin) — stir until the liquid is completely clear; a warm-water bath (≤40 °C, 10 min) speeds dissolution.</t>
  </si>
  <si>
    <t>STEP 5 · DILUTE. Weigh the alcohol (190 proof SDA 40B) INTO the concentrate — not the reverse. Stir 1–2 min, cap.</t>
  </si>
  <si>
    <t>STEP 6 · MACERATE 4–8 weeks in ONE amber bottle filled to the shoulder (minimal air = no oxidation), dark and cool. Swirl once a day the first week. At 28% the extra weeks genuinely deepen the drydown — do not rush.</t>
  </si>
  <si>
    <t>STEP 7 · COLD-CRASH. Chill the whole vessel 24 h in the fridge (~4 °C) so waxes/insolubles drop out.</t>
  </si>
  <si>
    <t>STEP 8 · FILTER cold through a coffee filter (or 0.45 µm) into a clean vessel.</t>
  </si>
  <si>
    <t>STEP 9 · DIVIDE BY WEIGHT into the final bottles: 42.5 g per 50 ml bottle (8.5 g per 10 ml, 17 g per 20 ml, 25.5 g per 30 ml, 59.5 g per 70 ml, 85 g per 100 ml). Label each: SAMR · Extrait 28% · batch ID · date.</t>
  </si>
  <si>
    <t>STEP 10 · LOG the ONE master batch in the Production Log (concentrate 59.5 g, alcohol 153 g) and set it to 'Bottled' when divided. Patch-test before regular wear.</t>
  </si>
  <si>
    <t>ALCOHOL BODY MIST</t>
  </si>
  <si>
    <t>1 · Same juice at ~5%. Weigh concentrate, add optional glycerin (2–3%) and distilled water (5–10%), then alcohol.</t>
  </si>
  <si>
    <t>2 · Macerate 1–2 weeks minimum (longer is smoother), cold-crash, filter, bottle.</t>
  </si>
  <si>
    <t>WATER-BASED MIST (alcohol-free)</t>
  </si>
  <si>
    <t>1 · Weigh fragrance concentrate into a clean bottle.</t>
  </si>
  <si>
    <t>2 · Add Polysorbate 20 at 4–6 × the fragrance weight. Mix until completely uniform — THIS ORDER MATTERS.</t>
  </si>
  <si>
    <t>3 · Add glycerin, then the distilled water slowly while swirling.</t>
  </si>
  <si>
    <t>4 · Add the broad-spectrum preservative at its recommended dose (default 0.8%). Shake well.</t>
  </si>
  <si>
    <t>5 · Check clarity after 24 h — if cloudy, increase solubilizer toward 6×. Patch-test. Use within 6–12 months.</t>
  </si>
  <si>
    <t>CREAM — ROUTE 1 (scent an unscented base)</t>
  </si>
  <si>
    <t>1 · Weigh the preserved unscented cream base. Add fragrance at 0.8–1.2% (default 1.0%).</t>
  </si>
  <si>
    <t>2 · Stir in COLD, thoroughly, with a clean spatula. No heat — the base is already preserved and emulsified.</t>
  </si>
  <si>
    <t>3 · Rest 24 h, check scent and texture, jar and label.</t>
  </si>
  <si>
    <t>CREAM — ROUTE 2 (from scratch, 100 g)</t>
  </si>
  <si>
    <t>1 · Water phase: distilled water + glycerin. Oil phase: E-wax NF, cetearyl alcohol, carrier oil, butter.</t>
  </si>
  <si>
    <t>2 · Heat BOTH phases to 70–75 °C, within 5 °C of each other.</t>
  </si>
  <si>
    <t>3 · Combine and stick-blend 2–3 min until a uniform emulsion forms. Stir while cooling.</t>
  </si>
  <si>
    <t>4 · Below 40 °C add: preservative (1%), fragrance (1%), vitamin E (0.5%). Blend briefly.</t>
  </si>
  <si>
    <t>5 · Check pH — target 5.0–5.5 (adjust with a drop of lactic/citric acid solution if high).</t>
  </si>
  <si>
    <t>6 · Jar, label, patch-test. Water-containing cream = preservative is NON-NEGOTIABLE.</t>
  </si>
  <si>
    <t>SAFETY NOTES</t>
  </si>
  <si>
    <t>Read before every production session.</t>
  </si>
  <si>
    <t>CRITICAL</t>
  </si>
  <si>
    <t>Alcohol is FLAMMABLE. No open flame, no smoking, ventilate the workspace, keep containers closed.</t>
  </si>
  <si>
    <t>Every WATER-containing product (water-based mist, from-scratch cream) REQUIRES a broad-spectrum preservative. Alcohol-based products (EDP, Extrait, alcohol mist) do not.</t>
  </si>
  <si>
    <t>Damascone Beta is IFRA-RESTRICTED and extremely powerful. Weigh it ONLY as the 10% D10 dilution and never raise it above the 0.3% line (≈0.008% of the finished extrait).</t>
  </si>
  <si>
    <t>RULE</t>
  </si>
  <si>
    <t>Use only ONE amber material — Ambroxan. Do not add a second ambroxan-type material.</t>
  </si>
  <si>
    <t>Coumarin at 5.0% of the concentrate ≈ 1.4% of a 28% extrait — inside the IFRA fine-fragrance ceiling. Do not push it higher without re-checking the current IFRA standard.</t>
  </si>
  <si>
    <t>Vanillin and Ethyl Vanillin tint the juice amber, and it deepens with maceration — normal for true vanilla perfumes. Avoid spraying directly on white fabric.</t>
  </si>
  <si>
    <t>Leave-on creams are a stricter IFRA category than fine fragrance: keep cream fragrance ≤ 1.2% and verify the final formula against the CURRENT IFRA standards for the product category before any commercial use.</t>
  </si>
  <si>
    <t>Always PATCH-TEST the finished, diluted product on a small skin area for 24–48 h before regular wear.</t>
  </si>
  <si>
    <t>Weigh in grams — never count drops. Drop size varies by pipette and viscosity; grams are reproducible.</t>
  </si>
  <si>
    <t>NOTE</t>
  </si>
  <si>
    <t>The Bergamot ACCORD used here is photosafe. If you ever substitute real bergamot essential oil, it is PHOTOTOXIC — fabric scenting only.</t>
  </si>
  <si>
    <t>Alcohol choice: SDA 40B is phthalate-free (denatured with Bitrex). SDA 39C contains diethyl phthalate — that is why 40B was chosen.</t>
  </si>
  <si>
    <t>Handle neat aroma chemicals with nitrile gloves and eye protection; avoid inhaling vapors; wipe spills immediately with alcohol.</t>
  </si>
  <si>
    <t>Keep all materials and finished products away from children and pets. Never store near food.</t>
  </si>
  <si>
    <t>Default conc</t>
  </si>
  <si>
    <t>Min</t>
  </si>
  <si>
    <t>Max</t>
  </si>
  <si>
    <t>YesNo</t>
  </si>
  <si>
    <t>Macerating</t>
  </si>
  <si>
    <t>Filtering</t>
  </si>
  <si>
    <t>NO</t>
  </si>
  <si>
    <t>Bottled</t>
  </si>
  <si>
    <t>Cream Route 1 (scented base)</t>
  </si>
  <si>
    <t>Cream Route 2 (from scratch)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</si>
</sst>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00;&quot;–&quot;"/>
    <numFmt numFmtId="167" formatCode="#,##0.000"/>
    <numFmt numFmtId="168" formatCode="yyyy\-mm\-dd"/>
    <numFmt numFmtId="169" formatCode="0.000"/>
    <numFmt numFmtId="170" formatCode="0.0&quot;×&quot;"/>
  </numFmts>
  <fonts count="19" x14ac:knownFonts="1">
    <font>
      <sz val="11"/>
      <color theme="1"/>
      <name val="Calibri"/>
      <family val="2"/>
      <scheme val="minor"/>
    </font>
    <font>
      <b/>
      <sz val="18"/>
      <color rgb="FF3B3531"/>
      <name val="Arial"/>
    </font>
    <font>
      <i/>
      <sz val="9.5"/>
      <color rgb="FF8A8072"/>
      <name val="Arial"/>
    </font>
    <font>
      <b/>
      <sz val="10"/>
      <color rgb="FF3B3531"/>
      <name val="Arial"/>
    </font>
    <font>
      <b/>
      <sz val="8.5"/>
      <color rgb="FF8A8072"/>
      <name val="Arial"/>
    </font>
    <font>
      <sz val="10"/>
      <color rgb="FF3B3531"/>
      <name val="Arial"/>
    </font>
    <font>
      <b/>
      <sz val="9"/>
      <color rgb="FFFBF8F1"/>
      <name val="Arial"/>
    </font>
    <font>
      <i/>
      <sz val="9"/>
      <color rgb="FF8A8072"/>
      <name val="Arial"/>
    </font>
    <font>
      <b/>
      <sz val="10"/>
      <color rgb="FF9C7B3C"/>
      <name val="Arial"/>
    </font>
    <font>
      <b/>
      <sz val="10"/>
      <color rgb="FFFBF8F1"/>
      <name val="Arial"/>
    </font>
    <font>
      <b/>
      <sz val="9"/>
      <color rgb="FF2C2825"/>
      <name val="Arial"/>
    </font>
    <font>
      <u/>
      <sz val="9"/>
      <color rgb="FF1F6FBF"/>
      <name val="Arial"/>
    </font>
    <font>
      <b/>
      <sz val="14"/>
      <color rgb="FF3B3531"/>
      <name val="Arial"/>
    </font>
    <font>
      <b/>
      <sz val="10"/>
      <color rgb="FFFFFFFF"/>
      <name val="Arial"/>
    </font>
    <font>
      <b/>
      <sz val="9"/>
      <color rgb="FFFFFFFF"/>
      <name val="Arial"/>
    </font>
    <font>
      <b/>
      <sz val="26"/>
      <color rgb="FF3B3531"/>
      <name val="Arial"/>
    </font>
    <font>
      <i/>
      <sz val="10"/>
      <color rgb="FF3B3531"/>
      <name val="Arial"/>
    </font>
    <font>
      <b/>
      <sz val="24"/>
      <color rgb="FF3B3531"/>
      <name val="Arial"/>
    </font>
    <font>
      <i/>
      <sz val="8"/>
      <color rgb="FF8A8072"/>
      <name val="Arial"/>
    </font>
  </fonts>
  <fills count="13">
    <fill>
      <patternFill patternType="none"/>
    </fill>
    <fill>
      <patternFill patternType="gray125"/>
    </fill>
    <fill>
      <patternFill patternType="solid">
        <fgColor rgb="FFF6EEDD"/>
      </patternFill>
    </fill>
    <fill>
      <patternFill patternType="solid">
        <fgColor rgb="FF2C2825"/>
      </patternFill>
    </fill>
    <fill>
      <patternFill patternType="solid">
        <fgColor rgb="FFFBF8F1"/>
      </patternFill>
    </fill>
    <fill>
      <patternFill patternType="solid">
        <fgColor rgb="FFF2EBDD"/>
      </patternFill>
    </fill>
    <fill>
      <patternFill patternType="solid">
        <fgColor rgb="FFDCE3E8"/>
      </patternFill>
    </fill>
    <fill>
      <patternFill patternType="solid">
        <fgColor rgb="FFF0DCB0"/>
      </patternFill>
    </fill>
    <fill>
      <patternFill patternType="solid">
        <fgColor rgb="FF3B3531"/>
      </patternFill>
    </fill>
    <fill>
      <patternFill patternType="solid">
        <fgColor rgb="FFEBDFC6"/>
      </patternFill>
    </fill>
    <fill>
      <patternFill patternType="solid">
        <fgColor rgb="FFC4A566"/>
      </patternFill>
    </fill>
    <fill>
      <patternFill patternType="solid">
        <fgColor rgb="FFA93226"/>
      </patternFill>
    </fill>
    <fill>
      <patternFill patternType="solid">
        <fgColor rgb="FF8A8072"/>
      </patternFill>
    </fill>
  </fills>
  <borders count="9">
    <border>
      <left/>
      <right/>
      <top/>
      <bottom/>
      <diagonal/>
    </border>
    <border>
      <left/>
      <right/>
      <top/>
      <bottom style="medium">
        <color rgb="FFC4A566"/>
      </bottom>
      <diagonal/>
    </border>
    <border>
      <left style="thin">
        <color rgb="FFC4A566"/>
      </left>
      <right style="thin">
        <color rgb="FFC4A566"/>
      </right>
      <top style="thin">
        <color rgb="FFC4A566"/>
      </top>
      <bottom style="thin">
        <color rgb="FFC4A566"/>
      </bottom>
      <diagonal/>
    </border>
    <border>
      <left style="thin">
        <color rgb="FFDCD2BE"/>
      </left>
      <right style="thin">
        <color rgb="FFDCD2BE"/>
      </right>
      <top style="thin">
        <color rgb="FFDCD2BE"/>
      </top>
      <bottom style="thin">
        <color rgb="FFDCD2BE"/>
      </bottom>
      <diagonal/>
    </border>
    <border>
      <left/>
      <right/>
      <top/>
      <bottom/>
      <diagonal/>
    </border>
    <border>
      <left/>
      <right/>
      <top style="thin">
        <color rgb="FFDCD2BE"/>
      </top>
      <bottom style="thin">
        <color rgb="FFDCD2BE"/>
      </bottom>
      <diagonal/>
    </border>
    <border>
      <left/>
      <right style="thin">
        <color rgb="FFDCD2BE"/>
      </right>
      <top style="thin">
        <color rgb="FFDCD2BE"/>
      </top>
      <bottom style="thin">
        <color rgb="FFDCD2BE"/>
      </bottom>
      <diagonal/>
    </border>
    <border>
      <left/>
      <right/>
      <top/>
      <bottom style="thin">
        <color rgb="FF3B3531"/>
      </bottom>
      <diagonal/>
    </border>
    <border>
      <left/>
      <right/>
      <top/>
      <bottom style="medium">
        <color rgb="FFC4A566"/>
      </bottom>
      <diagonal/>
    </border>
  </borders>
  <cellStyleXfs count="1">
    <xf numFmtId="0" fontId="0" fillId="0" borderId="0"/>
  </cellStyleXfs>
  <cellXfs count="132">
    <xf numFmtId="0" fontId="0" fillId="0" borderId="0" xfId="0"/>
    <xf numFmtId="0" fontId="0" fillId="0" borderId="0" xfId="0" applyProtection="1">
      <protection locked="0"/>
    </xf>
    <xf numFmtId="0" fontId="0" fillId="10" borderId="0" xfId="0" applyFill="1" applyProtection="1">
      <protection locked="0"/>
    </xf>
    <xf numFmtId="0" fontId="4" fillId="0" borderId="0" xfId="0" applyFont="1" applyAlignment="1" applyProtection="1">
      <alignment horizontal="center" vertical="center"/>
      <protection locked="0"/>
    </xf>
    <xf numFmtId="4" fontId="12" fillId="4" borderId="3" xfId="0" applyNumberFormat="1" applyFont="1" applyFill="1" applyBorder="1" applyAlignment="1" applyProtection="1">
      <alignment horizontal="center" vertical="center"/>
      <protection locked="0"/>
    </xf>
    <xf numFmtId="1" fontId="12" fillId="4" borderId="3" xfId="0" applyNumberFormat="1" applyFont="1" applyFill="1" applyBorder="1" applyAlignment="1" applyProtection="1">
      <alignment horizontal="center" vertical="center"/>
      <protection locked="0"/>
    </xf>
    <xf numFmtId="0" fontId="5"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4" fontId="3" fillId="4" borderId="3" xfId="0" applyNumberFormat="1" applyFont="1" applyFill="1" applyBorder="1" applyAlignment="1" applyProtection="1">
      <alignment horizontal="center" vertical="center"/>
      <protection locked="0"/>
    </xf>
    <xf numFmtId="1" fontId="3" fillId="4" borderId="3" xfId="0" applyNumberFormat="1" applyFont="1" applyFill="1" applyBorder="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0" fillId="0" borderId="1" xfId="0" applyBorder="1" applyProtection="1">
      <protection locked="0"/>
    </xf>
    <xf numFmtId="0" fontId="4" fillId="0" borderId="0" xfId="0" applyFont="1" applyAlignment="1" applyProtection="1">
      <alignment horizontal="right" vertical="center"/>
      <protection locked="0"/>
    </xf>
    <xf numFmtId="10" fontId="5" fillId="0" borderId="0" xfId="0" applyNumberFormat="1" applyFont="1" applyAlignment="1" applyProtection="1">
      <alignment horizontal="center" vertical="center"/>
      <protection locked="0"/>
    </xf>
    <xf numFmtId="0" fontId="3" fillId="0" borderId="0" xfId="0" applyFont="1" applyAlignment="1" applyProtection="1">
      <alignment vertical="center"/>
      <protection locked="0"/>
    </xf>
    <xf numFmtId="0" fontId="3" fillId="2" borderId="2"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wrapText="1"/>
      <protection locked="0"/>
    </xf>
    <xf numFmtId="0" fontId="7" fillId="4" borderId="3" xfId="0" applyFont="1" applyFill="1" applyBorder="1" applyAlignment="1" applyProtection="1">
      <alignment horizontal="center" vertical="center"/>
      <protection locked="0"/>
    </xf>
    <xf numFmtId="0" fontId="5" fillId="4" borderId="3" xfId="0" applyFont="1" applyFill="1" applyBorder="1" applyAlignment="1" applyProtection="1">
      <alignment vertical="center"/>
      <protection locked="0"/>
    </xf>
    <xf numFmtId="164" fontId="3" fillId="2" borderId="2" xfId="0" applyNumberFormat="1"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10" fontId="5" fillId="4" borderId="3" xfId="0" applyNumberFormat="1" applyFont="1" applyFill="1" applyBorder="1" applyAlignment="1" applyProtection="1">
      <alignment horizontal="center" vertical="center"/>
      <protection locked="0"/>
    </xf>
    <xf numFmtId="0" fontId="7" fillId="4" borderId="3" xfId="0" applyFont="1" applyFill="1" applyBorder="1" applyAlignment="1" applyProtection="1">
      <alignment vertical="center"/>
      <protection locked="0"/>
    </xf>
    <xf numFmtId="4" fontId="5" fillId="0" borderId="3" xfId="0" applyNumberFormat="1" applyFont="1" applyBorder="1" applyAlignment="1" applyProtection="1">
      <alignment horizontal="center" vertical="center"/>
      <protection locked="0"/>
    </xf>
    <xf numFmtId="0" fontId="7" fillId="5" borderId="3" xfId="0" applyFont="1" applyFill="1" applyBorder="1" applyAlignment="1" applyProtection="1">
      <alignment horizontal="center" vertical="center"/>
      <protection locked="0"/>
    </xf>
    <xf numFmtId="0" fontId="5" fillId="5" borderId="3" xfId="0" applyFont="1" applyFill="1" applyBorder="1" applyAlignment="1" applyProtection="1">
      <alignment vertical="center"/>
      <protection locked="0"/>
    </xf>
    <xf numFmtId="0" fontId="8" fillId="5" borderId="3" xfId="0" applyFont="1" applyFill="1" applyBorder="1" applyAlignment="1" applyProtection="1">
      <alignment horizontal="center" vertical="center"/>
      <protection locked="0"/>
    </xf>
    <xf numFmtId="10" fontId="5" fillId="5" borderId="3" xfId="0" applyNumberFormat="1" applyFont="1" applyFill="1" applyBorder="1" applyAlignment="1" applyProtection="1">
      <alignment horizontal="center" vertical="center"/>
      <protection locked="0"/>
    </xf>
    <xf numFmtId="0" fontId="7" fillId="5" borderId="3" xfId="0" applyFont="1" applyFill="1" applyBorder="1" applyAlignment="1" applyProtection="1">
      <alignment vertical="center"/>
      <protection locked="0"/>
    </xf>
    <xf numFmtId="0" fontId="7" fillId="6" borderId="3" xfId="0" applyFont="1" applyFill="1" applyBorder="1" applyAlignment="1" applyProtection="1">
      <alignment horizontal="center" vertical="center"/>
      <protection locked="0"/>
    </xf>
    <xf numFmtId="0" fontId="5" fillId="6" borderId="3" xfId="0" applyFont="1" applyFill="1" applyBorder="1" applyAlignment="1" applyProtection="1">
      <alignment vertical="center"/>
      <protection locked="0"/>
    </xf>
    <xf numFmtId="0" fontId="8" fillId="6" borderId="3" xfId="0" applyFont="1" applyFill="1" applyBorder="1" applyAlignment="1" applyProtection="1">
      <alignment horizontal="center" vertical="center"/>
      <protection locked="0"/>
    </xf>
    <xf numFmtId="10" fontId="5" fillId="6" borderId="3" xfId="0" applyNumberFormat="1" applyFont="1" applyFill="1" applyBorder="1" applyAlignment="1" applyProtection="1">
      <alignment horizontal="center" vertical="center"/>
      <protection locked="0"/>
    </xf>
    <xf numFmtId="0" fontId="7" fillId="6" borderId="3" xfId="0" applyFont="1" applyFill="1" applyBorder="1" applyAlignment="1" applyProtection="1">
      <alignment vertical="center"/>
      <protection locked="0"/>
    </xf>
    <xf numFmtId="0" fontId="7" fillId="7" borderId="3" xfId="0" applyFont="1" applyFill="1" applyBorder="1" applyAlignment="1" applyProtection="1">
      <alignment horizontal="center" vertical="center"/>
      <protection locked="0"/>
    </xf>
    <xf numFmtId="0" fontId="5" fillId="7" borderId="3" xfId="0" applyFont="1" applyFill="1" applyBorder="1" applyAlignment="1" applyProtection="1">
      <alignment vertical="center"/>
      <protection locked="0"/>
    </xf>
    <xf numFmtId="0" fontId="8" fillId="7" borderId="3" xfId="0" applyFont="1" applyFill="1" applyBorder="1" applyAlignment="1" applyProtection="1">
      <alignment horizontal="center" vertical="center"/>
      <protection locked="0"/>
    </xf>
    <xf numFmtId="10" fontId="5" fillId="7" borderId="3" xfId="0" applyNumberFormat="1" applyFont="1" applyFill="1" applyBorder="1" applyAlignment="1" applyProtection="1">
      <alignment horizontal="center" vertical="center"/>
      <protection locked="0"/>
    </xf>
    <xf numFmtId="0" fontId="7" fillId="7" borderId="3" xfId="0" applyFont="1" applyFill="1" applyBorder="1" applyAlignment="1" applyProtection="1">
      <alignment vertical="center"/>
      <protection locked="0"/>
    </xf>
    <xf numFmtId="0" fontId="3" fillId="0" borderId="0" xfId="0" applyFont="1" applyAlignment="1" applyProtection="1">
      <alignment horizontal="right" vertical="center"/>
      <protection locked="0"/>
    </xf>
    <xf numFmtId="10" fontId="3" fillId="0" borderId="1" xfId="0" applyNumberFormat="1" applyFont="1" applyBorder="1" applyAlignment="1" applyProtection="1">
      <alignment horizontal="center" vertical="center"/>
      <protection locked="0"/>
    </xf>
    <xf numFmtId="4" fontId="3" fillId="2" borderId="2" xfId="0" applyNumberFormat="1" applyFont="1" applyFill="1" applyBorder="1" applyAlignment="1" applyProtection="1">
      <alignment horizontal="center" vertical="center"/>
      <protection locked="0"/>
    </xf>
    <xf numFmtId="2" fontId="3" fillId="2" borderId="2" xfId="0" applyNumberFormat="1" applyFont="1" applyFill="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165" fontId="3" fillId="2" borderId="2" xfId="0" applyNumberFormat="1" applyFont="1" applyFill="1" applyBorder="1" applyAlignment="1" applyProtection="1">
      <alignment horizontal="center" vertical="center"/>
      <protection locked="0"/>
    </xf>
    <xf numFmtId="4" fontId="3" fillId="5" borderId="3" xfId="0" applyNumberFormat="1" applyFont="1" applyFill="1" applyBorder="1" applyAlignment="1" applyProtection="1">
      <alignment horizontal="center" vertical="center"/>
      <protection locked="0"/>
    </xf>
    <xf numFmtId="167" fontId="7" fillId="4" borderId="3" xfId="0" applyNumberFormat="1" applyFont="1" applyFill="1" applyBorder="1" applyAlignment="1" applyProtection="1">
      <alignment horizontal="center" vertical="center"/>
      <protection locked="0"/>
    </xf>
    <xf numFmtId="166" fontId="3" fillId="5" borderId="3" xfId="0" applyNumberFormat="1" applyFont="1" applyFill="1" applyBorder="1" applyAlignment="1" applyProtection="1">
      <alignment horizontal="center" vertical="center"/>
      <protection locked="0"/>
    </xf>
    <xf numFmtId="167" fontId="7" fillId="5" borderId="3" xfId="0" applyNumberFormat="1" applyFont="1" applyFill="1" applyBorder="1" applyAlignment="1" applyProtection="1">
      <alignment horizontal="center" vertical="center"/>
      <protection locked="0"/>
    </xf>
    <xf numFmtId="4" fontId="3" fillId="9" borderId="3" xfId="0" applyNumberFormat="1" applyFont="1" applyFill="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167" fontId="7" fillId="0" borderId="3" xfId="0" applyNumberFormat="1" applyFont="1" applyBorder="1" applyAlignment="1" applyProtection="1">
      <alignment horizontal="center" vertical="center"/>
      <protection locked="0"/>
    </xf>
    <xf numFmtId="0" fontId="5" fillId="0" borderId="3" xfId="0" applyFont="1" applyBorder="1" applyAlignment="1" applyProtection="1">
      <alignment vertical="center"/>
      <protection locked="0"/>
    </xf>
    <xf numFmtId="0" fontId="7" fillId="0" borderId="3" xfId="0" applyFont="1" applyBorder="1" applyAlignment="1" applyProtection="1">
      <alignment vertical="center"/>
      <protection locked="0"/>
    </xf>
    <xf numFmtId="0" fontId="7" fillId="0" borderId="0" xfId="0" applyFont="1" applyAlignment="1" applyProtection="1">
      <alignment horizontal="right" vertical="center"/>
      <protection locked="0"/>
    </xf>
    <xf numFmtId="0" fontId="5" fillId="0" borderId="7" xfId="0" applyFont="1" applyBorder="1" applyAlignment="1" applyProtection="1">
      <alignment vertical="center"/>
      <protection locked="0"/>
    </xf>
    <xf numFmtId="4" fontId="3" fillId="0" borderId="3" xfId="0" applyNumberFormat="1" applyFont="1" applyBorder="1" applyAlignment="1" applyProtection="1">
      <alignment horizontal="center" vertical="center"/>
      <protection locked="0"/>
    </xf>
    <xf numFmtId="168" fontId="5" fillId="0" borderId="3" xfId="0" applyNumberFormat="1" applyFont="1" applyBorder="1" applyAlignment="1" applyProtection="1">
      <alignment horizontal="center" vertical="center"/>
      <protection locked="0"/>
    </xf>
    <xf numFmtId="4" fontId="8" fillId="0" borderId="1" xfId="0" applyNumberFormat="1" applyFont="1" applyBorder="1" applyAlignment="1" applyProtection="1">
      <alignment horizontal="center" vertical="center"/>
      <protection locked="0"/>
    </xf>
    <xf numFmtId="1" fontId="3" fillId="2" borderId="2" xfId="0" applyNumberFormat="1" applyFont="1" applyFill="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11" fillId="0" borderId="3" xfId="0" applyFont="1" applyBorder="1" applyAlignment="1" applyProtection="1">
      <alignment horizontal="center" vertical="center"/>
      <protection locked="0"/>
    </xf>
    <xf numFmtId="1" fontId="3" fillId="0" borderId="3" xfId="0" applyNumberFormat="1" applyFont="1" applyBorder="1" applyAlignment="1" applyProtection="1">
      <alignment horizontal="center" vertical="center"/>
      <protection locked="0"/>
    </xf>
    <xf numFmtId="4" fontId="3" fillId="0" borderId="1" xfId="0" applyNumberFormat="1" applyFont="1" applyBorder="1" applyAlignment="1" applyProtection="1">
      <alignment horizontal="center" vertical="center"/>
      <protection locked="0"/>
    </xf>
    <xf numFmtId="0" fontId="4" fillId="0" borderId="3" xfId="0" applyFont="1" applyBorder="1" applyAlignment="1" applyProtection="1">
      <alignment horizontal="center" vertical="center"/>
      <protection locked="0"/>
    </xf>
    <xf numFmtId="1" fontId="3" fillId="5" borderId="3" xfId="0" applyNumberFormat="1" applyFont="1" applyFill="1" applyBorder="1" applyAlignment="1" applyProtection="1">
      <alignment horizontal="center" vertical="center"/>
      <protection locked="0"/>
    </xf>
    <xf numFmtId="1" fontId="12" fillId="9" borderId="3" xfId="0" applyNumberFormat="1" applyFont="1" applyFill="1" applyBorder="1" applyAlignment="1" applyProtection="1">
      <alignment horizontal="center" vertical="center"/>
      <protection locked="0"/>
    </xf>
    <xf numFmtId="1" fontId="12" fillId="2" borderId="3" xfId="0" applyNumberFormat="1" applyFont="1" applyFill="1" applyBorder="1" applyAlignment="1" applyProtection="1">
      <alignment horizontal="center" vertical="center"/>
      <protection locked="0"/>
    </xf>
    <xf numFmtId="1" fontId="5" fillId="0" borderId="3" xfId="0" applyNumberFormat="1" applyFont="1" applyBorder="1" applyAlignment="1" applyProtection="1">
      <alignment horizontal="center" vertical="center"/>
      <protection locked="0"/>
    </xf>
    <xf numFmtId="2" fontId="5" fillId="0" borderId="3" xfId="0" applyNumberFormat="1" applyFont="1" applyBorder="1" applyAlignment="1" applyProtection="1">
      <alignment horizontal="center" vertical="center"/>
      <protection locked="0"/>
    </xf>
    <xf numFmtId="10" fontId="5" fillId="0" borderId="3" xfId="0" applyNumberFormat="1" applyFont="1" applyBorder="1" applyAlignment="1" applyProtection="1">
      <alignment horizontal="center" vertical="center"/>
      <protection locked="0"/>
    </xf>
    <xf numFmtId="167" fontId="5" fillId="0" borderId="3" xfId="0" applyNumberFormat="1" applyFont="1" applyBorder="1" applyAlignment="1" applyProtection="1">
      <alignment horizontal="center" vertical="center"/>
      <protection locked="0"/>
    </xf>
    <xf numFmtId="4" fontId="8" fillId="0" borderId="0" xfId="0" applyNumberFormat="1" applyFont="1" applyAlignment="1" applyProtection="1">
      <alignment horizontal="center" vertical="center"/>
      <protection locked="0"/>
    </xf>
    <xf numFmtId="0" fontId="5" fillId="0" borderId="3" xfId="0" applyFont="1" applyBorder="1" applyAlignment="1" applyProtection="1">
      <alignment horizontal="center" vertical="center"/>
      <protection locked="0"/>
    </xf>
    <xf numFmtId="164" fontId="5" fillId="0" borderId="3" xfId="0" applyNumberFormat="1" applyFont="1" applyBorder="1" applyAlignment="1" applyProtection="1">
      <alignment horizontal="center" vertical="center"/>
      <protection locked="0"/>
    </xf>
    <xf numFmtId="165" fontId="5" fillId="0" borderId="3" xfId="0" applyNumberFormat="1" applyFont="1" applyBorder="1" applyAlignment="1" applyProtection="1">
      <alignment horizontal="center" vertical="center"/>
      <protection locked="0"/>
    </xf>
    <xf numFmtId="169" fontId="3" fillId="5" borderId="3" xfId="0" applyNumberFormat="1"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1" fontId="7" fillId="0" borderId="3" xfId="0" applyNumberFormat="1" applyFont="1" applyBorder="1" applyAlignment="1" applyProtection="1">
      <alignment horizontal="center" vertical="center"/>
      <protection locked="0"/>
    </xf>
    <xf numFmtId="4" fontId="12" fillId="9" borderId="3" xfId="0" applyNumberFormat="1" applyFont="1" applyFill="1" applyBorder="1" applyAlignment="1" applyProtection="1">
      <alignment horizontal="center" vertical="center"/>
      <protection locked="0"/>
    </xf>
    <xf numFmtId="170" fontId="3" fillId="2" borderId="2" xfId="0" applyNumberFormat="1" applyFont="1" applyFill="1" applyBorder="1" applyAlignment="1" applyProtection="1">
      <alignment horizontal="center" vertical="center"/>
      <protection locked="0"/>
    </xf>
    <xf numFmtId="0" fontId="3" fillId="0" borderId="3" xfId="0" applyFont="1" applyBorder="1" applyAlignment="1" applyProtection="1">
      <alignment vertical="center"/>
      <protection locked="0"/>
    </xf>
    <xf numFmtId="0" fontId="3" fillId="5" borderId="3" xfId="0" applyFont="1" applyFill="1" applyBorder="1" applyAlignment="1" applyProtection="1">
      <alignment horizontal="center" vertical="center"/>
      <protection locked="0"/>
    </xf>
    <xf numFmtId="0" fontId="7" fillId="0" borderId="3" xfId="0" applyFont="1" applyBorder="1" applyAlignment="1" applyProtection="1">
      <alignment vertical="center" wrapText="1"/>
      <protection locked="0"/>
    </xf>
    <xf numFmtId="0" fontId="14" fillId="11" borderId="0" xfId="0" applyFont="1" applyFill="1" applyAlignment="1" applyProtection="1">
      <alignment horizontal="center" vertical="center"/>
      <protection locked="0"/>
    </xf>
    <xf numFmtId="0" fontId="10" fillId="10" borderId="0" xfId="0" applyFont="1" applyFill="1" applyAlignment="1" applyProtection="1">
      <alignment horizontal="center" vertical="center"/>
      <protection locked="0"/>
    </xf>
    <xf numFmtId="0" fontId="6" fillId="12" borderId="0" xfId="0" applyFont="1" applyFill="1" applyAlignment="1" applyProtection="1">
      <alignment horizontal="center" vertical="center"/>
      <protection locked="0"/>
    </xf>
    <xf numFmtId="0" fontId="17" fillId="0" borderId="0" xfId="0" applyFont="1" applyAlignment="1" applyProtection="1">
      <alignment horizontal="center" vertical="center"/>
      <protection locked="0"/>
    </xf>
    <xf numFmtId="0" fontId="0" fillId="0" borderId="0" xfId="0" applyProtection="1">
      <protection locked="0"/>
    </xf>
    <xf numFmtId="0" fontId="5" fillId="0" borderId="0" xfId="0" applyFont="1" applyAlignment="1" applyProtection="1">
      <alignment vertical="center"/>
      <protection locked="0"/>
    </xf>
    <xf numFmtId="4" fontId="3" fillId="4" borderId="3" xfId="0" applyNumberFormat="1" applyFont="1" applyFill="1" applyBorder="1" applyAlignment="1" applyProtection="1">
      <alignment horizontal="center" vertical="center"/>
      <protection locked="0"/>
    </xf>
    <xf numFmtId="0" fontId="9" fillId="8" borderId="4" xfId="0" applyFont="1" applyFill="1" applyBorder="1" applyAlignment="1" applyProtection="1">
      <alignment vertical="center" indent="1"/>
      <protection locked="0"/>
    </xf>
    <xf numFmtId="0" fontId="0" fillId="8" borderId="4" xfId="0" applyFill="1" applyBorder="1" applyProtection="1">
      <protection locked="0"/>
    </xf>
    <xf numFmtId="0" fontId="7"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0" fontId="18"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3" fillId="4" borderId="3" xfId="0" applyFont="1" applyFill="1" applyBorder="1" applyAlignment="1" applyProtection="1">
      <alignment horizontal="center" vertical="center" wrapText="1"/>
      <protection locked="0"/>
    </xf>
    <xf numFmtId="0" fontId="15" fillId="0" borderId="0" xfId="0" applyFont="1" applyAlignment="1" applyProtection="1">
      <alignment horizontal="center" vertical="center"/>
      <protection locked="0"/>
    </xf>
    <xf numFmtId="0" fontId="5" fillId="0" borderId="0" xfId="0" applyFont="1" applyAlignment="1" applyProtection="1">
      <alignment vertical="center" wrapText="1"/>
      <protection locked="0"/>
    </xf>
    <xf numFmtId="0" fontId="16" fillId="0" borderId="0" xfId="0" applyFont="1" applyAlignment="1" applyProtection="1">
      <alignment vertical="center" wrapText="1"/>
      <protection locked="0"/>
    </xf>
    <xf numFmtId="0" fontId="3" fillId="0" borderId="0" xfId="0" applyFont="1" applyAlignment="1" applyProtection="1">
      <alignment vertical="center" wrapText="1"/>
      <protection locked="0"/>
    </xf>
    <xf numFmtId="0" fontId="3" fillId="0" borderId="0" xfId="0" applyFont="1" applyAlignment="1" applyProtection="1">
      <alignment vertical="center"/>
      <protection locked="0"/>
    </xf>
    <xf numFmtId="0" fontId="2" fillId="0" borderId="1" xfId="0" applyFont="1" applyBorder="1" applyAlignment="1" applyProtection="1">
      <alignment vertical="center"/>
      <protection locked="0"/>
    </xf>
    <xf numFmtId="0" fontId="0" fillId="0" borderId="1" xfId="0" applyBorder="1" applyProtection="1">
      <protection locked="0"/>
    </xf>
    <xf numFmtId="0" fontId="7" fillId="0" borderId="0" xfId="0" applyFont="1" applyAlignment="1" applyProtection="1">
      <alignment vertical="center" wrapText="1"/>
      <protection locked="0"/>
    </xf>
    <xf numFmtId="0" fontId="1"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7" fillId="0" borderId="3" xfId="0" applyFont="1" applyBorder="1" applyAlignment="1" applyProtection="1">
      <alignment vertical="center"/>
      <protection locked="0"/>
    </xf>
    <xf numFmtId="0" fontId="0" fillId="0" borderId="3" xfId="0" applyBorder="1" applyProtection="1">
      <protection locked="0"/>
    </xf>
    <xf numFmtId="0" fontId="5" fillId="4" borderId="3" xfId="0" applyFont="1" applyFill="1" applyBorder="1" applyAlignment="1" applyProtection="1">
      <alignment vertical="center"/>
      <protection locked="0"/>
    </xf>
    <xf numFmtId="0" fontId="6" fillId="3" borderId="3" xfId="0" applyFont="1" applyFill="1" applyBorder="1" applyAlignment="1" applyProtection="1">
      <alignment horizontal="center" vertical="center" wrapText="1"/>
      <protection locked="0"/>
    </xf>
    <xf numFmtId="0" fontId="0" fillId="0" borderId="5" xfId="0" applyBorder="1" applyProtection="1">
      <protection locked="0"/>
    </xf>
    <xf numFmtId="0" fontId="0" fillId="0" borderId="6" xfId="0" applyBorder="1" applyProtection="1">
      <protection locked="0"/>
    </xf>
    <xf numFmtId="0" fontId="5" fillId="0" borderId="3" xfId="0" applyFont="1" applyBorder="1" applyAlignment="1" applyProtection="1">
      <alignment vertical="center"/>
      <protection locked="0"/>
    </xf>
    <xf numFmtId="0" fontId="3" fillId="0" borderId="0" xfId="0" applyFont="1" applyAlignment="1" applyProtection="1">
      <alignment horizontal="right" vertical="center"/>
      <protection locked="0"/>
    </xf>
    <xf numFmtId="0" fontId="5" fillId="5" borderId="3" xfId="0" applyFont="1" applyFill="1" applyBorder="1" applyAlignment="1" applyProtection="1">
      <alignment vertical="center"/>
      <protection locked="0"/>
    </xf>
    <xf numFmtId="0" fontId="10" fillId="10" borderId="4" xfId="0" applyFont="1" applyFill="1" applyBorder="1" applyAlignment="1" applyProtection="1">
      <alignment vertical="center" indent="1"/>
      <protection locked="0"/>
    </xf>
    <xf numFmtId="0" fontId="0" fillId="10" borderId="4" xfId="0" applyFill="1" applyBorder="1" applyProtection="1">
      <protection locked="0"/>
    </xf>
    <xf numFmtId="0" fontId="4" fillId="9" borderId="0" xfId="0" applyFont="1" applyFill="1" applyAlignment="1" applyProtection="1">
      <alignment horizontal="center" vertical="center"/>
      <protection locked="0"/>
    </xf>
    <xf numFmtId="0" fontId="4" fillId="0" borderId="1" xfId="0" applyFont="1" applyBorder="1" applyAlignment="1" applyProtection="1">
      <alignment horizontal="right" vertical="center"/>
      <protection locked="0"/>
    </xf>
    <xf numFmtId="0" fontId="0" fillId="0" borderId="8" xfId="0" applyBorder="1" applyProtection="1">
      <protection locked="0"/>
    </xf>
    <xf numFmtId="0" fontId="4" fillId="0" borderId="3" xfId="0" applyFont="1" applyBorder="1" applyAlignment="1" applyProtection="1">
      <alignment horizontal="center" vertical="center"/>
      <protection locked="0"/>
    </xf>
    <xf numFmtId="0" fontId="4" fillId="0" borderId="0" xfId="0" applyFont="1" applyAlignment="1" applyProtection="1">
      <alignment horizontal="right" vertical="center"/>
      <protection locked="0"/>
    </xf>
    <xf numFmtId="0" fontId="6" fillId="3" borderId="3" xfId="0" applyFont="1" applyFill="1" applyBorder="1" applyAlignment="1" applyProtection="1">
      <alignment vertical="center"/>
      <protection locked="0"/>
    </xf>
    <xf numFmtId="0" fontId="8" fillId="9" borderId="3" xfId="0"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0" fontId="13" fillId="11" borderId="4" xfId="0" applyFont="1" applyFill="1" applyBorder="1" applyAlignment="1" applyProtection="1">
      <alignment vertical="center" indent="1"/>
      <protection locked="0"/>
    </xf>
    <xf numFmtId="0" fontId="0" fillId="11" borderId="4" xfId="0" applyFill="1" applyBorder="1" applyProtection="1">
      <protection locked="0"/>
    </xf>
  </cellXfs>
  <cellStyles count="1">
    <cellStyle name="Normal" xfId="0" builtinId="0"/>
  </cellStyles>
  <dxfs count="13">
    <dxf>
      <font>
        <sz val="10"/>
        <color rgb="FFA93226"/>
        <name val="Arial"/>
      </font>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FBE9C9"/>
        </patternFill>
      </fill>
    </dxf>
    <dxf>
      <fill>
        <patternFill patternType="solid">
          <fgColor rgb="FFDCEBDC"/>
        </patternFill>
      </fill>
    </dxf>
    <dxf>
      <fill>
        <patternFill patternType="solid">
          <fgColor rgb="FFE8E4DC"/>
        </patternFill>
      </fill>
    </dxf>
    <dxf>
      <fill>
        <patternFill patternType="solid">
          <fgColor rgb="FFEBDFC6"/>
        </patternFill>
      </fill>
    </dxf>
    <dxf>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DCEBDC"/>
        </patternFill>
      </fill>
    </dxf>
    <dxf>
      <font>
        <b/>
        <sz val="14"/>
        <color rgb="FFA93226"/>
        <name val="Arial"/>
      </font>
      <fill>
        <patternFill patternType="solid">
          <fgColor rgb="FFF6D7D2"/>
        </patternFill>
      </fill>
    </dxf>
    <dxf>
      <font>
        <b/>
        <sz val="10"/>
        <color rgb="FFA93226"/>
        <name val="Arial"/>
      </font>
      <fill>
        <patternFill patternType="solid">
          <fgColor rgb="FFF6D7D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8" Type="http://schemas.openxmlformats.org/officeDocument/2006/relationships/hyperlink" Target="https://iterji.com/perfumery-ingredients/aroma-chemicals/methyl-alpha-ionone-iso.html" TargetMode="External"/><Relationship Id="rId13" Type="http://schemas.openxmlformats.org/officeDocument/2006/relationships/hyperlink" Target="https://iterji.com/perfumery-ingredients/aroma-chemicals/ethyl-vanillin.html" TargetMode="External"/><Relationship Id="rId18" Type="http://schemas.openxmlformats.org/officeDocument/2006/relationships/hyperlink" Target="https://iterji.com/perfumery-ingredients/aroma-chemicals/ambroxan.html" TargetMode="External"/><Relationship Id="rId26" Type="http://schemas.openxmlformats.org/officeDocument/2006/relationships/hyperlink" Target="https://iterji.com/perfumery-ingredients/other-ingredients/dipropylene-glycol-dpg.html" TargetMode="External"/><Relationship Id="rId3" Type="http://schemas.openxmlformats.org/officeDocument/2006/relationships/hyperlink" Target="https://iterji.com/perfumery-ingredients/aroma-chemicals/aldehyde-c-14-peach.html" TargetMode="External"/><Relationship Id="rId21" Type="http://schemas.openxmlformats.org/officeDocument/2006/relationships/hyperlink" Target="https://iterji.com/perfumery-ingredients/aroma-chemicals/sandalore-givaudan.html" TargetMode="External"/><Relationship Id="rId7" Type="http://schemas.openxmlformats.org/officeDocument/2006/relationships/hyperlink" Target="https://iterji.com/perfumery-ingredients/aroma-accords/tuberose.html" TargetMode="External"/><Relationship Id="rId12" Type="http://schemas.openxmlformats.org/officeDocument/2006/relationships/hyperlink" Target="https://iterji.com/perfumery-ingredients/aroma-chemicals/vanillin-crystals.html" TargetMode="External"/><Relationship Id="rId17" Type="http://schemas.openxmlformats.org/officeDocument/2006/relationships/hyperlink" Target="https://iterji.com/perfumery-ingredients/aroma-chemicals/aldehyde-c-18-coconut.html" TargetMode="External"/><Relationship Id="rId25" Type="http://schemas.openxmlformats.org/officeDocument/2006/relationships/hyperlink" Target="https://iterji.com/perfumery-ingredients/aroma-accords/saffron.html" TargetMode="External"/><Relationship Id="rId2" Type="http://schemas.openxmlformats.org/officeDocument/2006/relationships/hyperlink" Target="https://iterji.com/perfumery-ingredients/natural-ingredients/pink-peppercorn.html" TargetMode="External"/><Relationship Id="rId16" Type="http://schemas.openxmlformats.org/officeDocument/2006/relationships/hyperlink" Target="https://iterji.com/perfumery-ingredients/aroma-accords/heliotrope.html" TargetMode="External"/><Relationship Id="rId20" Type="http://schemas.openxmlformats.org/officeDocument/2006/relationships/hyperlink" Target="https://iterji.com/perfumery-ingredients/aroma-chemicals/cashmeran-iff.html" TargetMode="External"/><Relationship Id="rId29" Type="http://schemas.openxmlformats.org/officeDocument/2006/relationships/comments" Target="../comments3.xml"/><Relationship Id="rId1" Type="http://schemas.openxmlformats.org/officeDocument/2006/relationships/hyperlink" Target="https://iterji.com/perfumery-ingredients/aroma-accords/bergamot.html" TargetMode="External"/><Relationship Id="rId6" Type="http://schemas.openxmlformats.org/officeDocument/2006/relationships/hyperlink" Target="https://iterji.com/perfumery-ingredients/aroma-accords/jasmin-absolute.html" TargetMode="External"/><Relationship Id="rId11" Type="http://schemas.openxmlformats.org/officeDocument/2006/relationships/hyperlink" Target="https://iterji.com/perfumery-ingredients/aroma-chemicals/damascone-beta.html" TargetMode="External"/><Relationship Id="rId24" Type="http://schemas.openxmlformats.org/officeDocument/2006/relationships/hyperlink" Target="https://iterji.com/perfumery-ingredients/aroma-chemicals/exaltolide-total-firmenich.html" TargetMode="External"/><Relationship Id="rId5" Type="http://schemas.openxmlformats.org/officeDocument/2006/relationships/hyperlink" Target="https://iterji.com/perfumery-ingredients/aroma-chemicals/hedione-firmenich.html" TargetMode="External"/><Relationship Id="rId15" Type="http://schemas.openxmlformats.org/officeDocument/2006/relationships/hyperlink" Target="https://iterji.com/perfumery-ingredients/aroma-chemicals/coumarin-crystalline-powder.html" TargetMode="External"/><Relationship Id="rId23" Type="http://schemas.openxmlformats.org/officeDocument/2006/relationships/hyperlink" Target="https://iterji.com/perfumery-ingredients/aroma-chemicals/galaxolide.html" TargetMode="External"/><Relationship Id="rId28" Type="http://schemas.openxmlformats.org/officeDocument/2006/relationships/vmlDrawing" Target="../drawings/vmlDrawing3.vml"/><Relationship Id="rId10" Type="http://schemas.openxmlformats.org/officeDocument/2006/relationships/hyperlink" Target="https://iterji.com/perfumery-ingredients/aroma-chemicals/linalool.html" TargetMode="External"/><Relationship Id="rId19" Type="http://schemas.openxmlformats.org/officeDocument/2006/relationships/hyperlink" Target="https://iterji.com/perfumery-ingredients/aroma-chemicals/iso-e-super.html" TargetMode="External"/><Relationship Id="rId4" Type="http://schemas.openxmlformats.org/officeDocument/2006/relationships/hyperlink" Target="https://iterji.com/perfumery-ingredients/aroma-accords/raspberry.html" TargetMode="External"/><Relationship Id="rId9" Type="http://schemas.openxmlformats.org/officeDocument/2006/relationships/hyperlink" Target="https://iterji.com/perfumery-ingredients/aroma-chemicals/benzyl-salicylate.html" TargetMode="External"/><Relationship Id="rId14" Type="http://schemas.openxmlformats.org/officeDocument/2006/relationships/hyperlink" Target="https://iterji.com/perfumery-ingredients/aroma-chemicals/maltol-crystals.html" TargetMode="External"/><Relationship Id="rId22" Type="http://schemas.openxmlformats.org/officeDocument/2006/relationships/hyperlink" Target="https://iterji.com/perfumery-ingredients/aroma-chemicals/ethylene-brassylate.html" TargetMode="External"/><Relationship Id="rId27" Type="http://schemas.openxmlformats.org/officeDocument/2006/relationships/hyperlink" Target="https://iterji.com/perfumery-ingredients/other-ingredients/alcohol-190-proof-sda-40b.html"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iterji.com/perfumery-ingredients/aroma-chemicals/methyl-alpha-ionone-iso.html" TargetMode="External"/><Relationship Id="rId13" Type="http://schemas.openxmlformats.org/officeDocument/2006/relationships/hyperlink" Target="https://iterji.com/perfumery-ingredients/aroma-chemicals/ethyl-vanillin.html" TargetMode="External"/><Relationship Id="rId18" Type="http://schemas.openxmlformats.org/officeDocument/2006/relationships/hyperlink" Target="https://iterji.com/perfumery-ingredients/aroma-chemicals/ambroxan.html" TargetMode="External"/><Relationship Id="rId26" Type="http://schemas.openxmlformats.org/officeDocument/2006/relationships/hyperlink" Target="https://iterji.com/perfumery-ingredients/other-ingredients/dipropylene-glycol-dpg.html" TargetMode="External"/><Relationship Id="rId3" Type="http://schemas.openxmlformats.org/officeDocument/2006/relationships/hyperlink" Target="https://iterji.com/perfumery-ingredients/aroma-chemicals/aldehyde-c-14-peach.html" TargetMode="External"/><Relationship Id="rId21" Type="http://schemas.openxmlformats.org/officeDocument/2006/relationships/hyperlink" Target="https://iterji.com/perfumery-ingredients/aroma-chemicals/sandalore-givaudan.html" TargetMode="External"/><Relationship Id="rId7" Type="http://schemas.openxmlformats.org/officeDocument/2006/relationships/hyperlink" Target="https://iterji.com/perfumery-ingredients/aroma-accords/tuberose.html" TargetMode="External"/><Relationship Id="rId12" Type="http://schemas.openxmlformats.org/officeDocument/2006/relationships/hyperlink" Target="https://iterji.com/perfumery-ingredients/aroma-chemicals/vanillin-crystals.html" TargetMode="External"/><Relationship Id="rId17" Type="http://schemas.openxmlformats.org/officeDocument/2006/relationships/hyperlink" Target="https://iterji.com/perfumery-ingredients/aroma-chemicals/aldehyde-c-18-coconut.html" TargetMode="External"/><Relationship Id="rId25" Type="http://schemas.openxmlformats.org/officeDocument/2006/relationships/hyperlink" Target="https://iterji.com/perfumery-ingredients/aroma-accords/saffron.html" TargetMode="External"/><Relationship Id="rId2" Type="http://schemas.openxmlformats.org/officeDocument/2006/relationships/hyperlink" Target="https://iterji.com/perfumery-ingredients/natural-ingredients/pink-peppercorn.html" TargetMode="External"/><Relationship Id="rId16" Type="http://schemas.openxmlformats.org/officeDocument/2006/relationships/hyperlink" Target="https://iterji.com/perfumery-ingredients/aroma-accords/heliotrope.html" TargetMode="External"/><Relationship Id="rId20" Type="http://schemas.openxmlformats.org/officeDocument/2006/relationships/hyperlink" Target="https://iterji.com/perfumery-ingredients/aroma-chemicals/cashmeran-iff.html" TargetMode="External"/><Relationship Id="rId1" Type="http://schemas.openxmlformats.org/officeDocument/2006/relationships/hyperlink" Target="https://iterji.com/perfumery-ingredients/aroma-accords/bergamot.html" TargetMode="External"/><Relationship Id="rId6" Type="http://schemas.openxmlformats.org/officeDocument/2006/relationships/hyperlink" Target="https://iterji.com/perfumery-ingredients/aroma-accords/jasmin-absolute.html" TargetMode="External"/><Relationship Id="rId11" Type="http://schemas.openxmlformats.org/officeDocument/2006/relationships/hyperlink" Target="https://iterji.com/perfumery-ingredients/aroma-chemicals/damascone-beta.html" TargetMode="External"/><Relationship Id="rId24" Type="http://schemas.openxmlformats.org/officeDocument/2006/relationships/hyperlink" Target="https://iterji.com/perfumery-ingredients/aroma-chemicals/exaltolide-total-firmenich.html" TargetMode="External"/><Relationship Id="rId5" Type="http://schemas.openxmlformats.org/officeDocument/2006/relationships/hyperlink" Target="https://iterji.com/perfumery-ingredients/aroma-chemicals/hedione-firmenich.html" TargetMode="External"/><Relationship Id="rId15" Type="http://schemas.openxmlformats.org/officeDocument/2006/relationships/hyperlink" Target="https://iterji.com/perfumery-ingredients/aroma-chemicals/coumarin-crystalline-powder.html" TargetMode="External"/><Relationship Id="rId23" Type="http://schemas.openxmlformats.org/officeDocument/2006/relationships/hyperlink" Target="https://iterji.com/perfumery-ingredients/aroma-chemicals/galaxolide.html" TargetMode="External"/><Relationship Id="rId10" Type="http://schemas.openxmlformats.org/officeDocument/2006/relationships/hyperlink" Target="https://iterji.com/perfumery-ingredients/aroma-chemicals/linalool.html" TargetMode="External"/><Relationship Id="rId19" Type="http://schemas.openxmlformats.org/officeDocument/2006/relationships/hyperlink" Target="https://iterji.com/perfumery-ingredients/aroma-chemicals/iso-e-super.html" TargetMode="External"/><Relationship Id="rId4" Type="http://schemas.openxmlformats.org/officeDocument/2006/relationships/hyperlink" Target="https://iterji.com/perfumery-ingredients/aroma-accords/raspberry.html" TargetMode="External"/><Relationship Id="rId9" Type="http://schemas.openxmlformats.org/officeDocument/2006/relationships/hyperlink" Target="https://iterji.com/perfumery-ingredients/aroma-chemicals/benzyl-salicylate.html" TargetMode="External"/><Relationship Id="rId14" Type="http://schemas.openxmlformats.org/officeDocument/2006/relationships/hyperlink" Target="https://iterji.com/perfumery-ingredients/aroma-chemicals/maltol-crystals.html" TargetMode="External"/><Relationship Id="rId22" Type="http://schemas.openxmlformats.org/officeDocument/2006/relationships/hyperlink" Target="https://iterji.com/perfumery-ingredients/aroma-chemicals/ethylene-brassylate.html" TargetMode="External"/><Relationship Id="rId27" Type="http://schemas.openxmlformats.org/officeDocument/2006/relationships/hyperlink" Target="https://iterji.com/perfumery-ingredients/other-ingredients/alcohol-190-proof-sda-40b.html" TargetMode="Externa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4A566"/>
  </sheetPr>
  <dimension ref="A1:G25"/>
  <sheetViews>
    <sheetView showGridLines="0" tabSelected="1" workbookViewId="0"/>
  </sheetViews>
  <sheetFormatPr defaultRowHeight="14.5" x14ac:dyDescent="0.35"/>
  <cols>
    <col min="1" max="1" width="2.453125" customWidth="1"/>
    <col min="2" max="7" width="19" customWidth="1"/>
    <col min="8" max="8" width="2.453125" customWidth="1"/>
  </cols>
  <sheetData>
    <row r="1" spans="1:7" x14ac:dyDescent="0.35">
      <c r="A1" s="1"/>
      <c r="B1" s="1"/>
      <c r="C1" s="1"/>
      <c r="D1" s="1"/>
      <c r="E1" s="1"/>
      <c r="F1" s="1"/>
      <c r="G1" s="1"/>
    </row>
    <row r="2" spans="1:7" ht="34" customHeight="1" x14ac:dyDescent="0.35">
      <c r="A2" s="1"/>
      <c r="B2" s="88" t="s">
        <v>0</v>
      </c>
      <c r="C2" s="89"/>
      <c r="D2" s="89"/>
      <c r="E2" s="89"/>
      <c r="F2" s="89"/>
      <c r="G2" s="89"/>
    </row>
    <row r="3" spans="1:7" x14ac:dyDescent="0.35">
      <c r="A3" s="1"/>
      <c r="B3" s="97" t="s">
        <v>1</v>
      </c>
      <c r="C3" s="89"/>
      <c r="D3" s="89"/>
      <c r="E3" s="89"/>
      <c r="F3" s="89"/>
      <c r="G3" s="89"/>
    </row>
    <row r="4" spans="1:7" ht="3" customHeight="1" x14ac:dyDescent="0.35">
      <c r="A4" s="1"/>
      <c r="B4" s="2"/>
      <c r="C4" s="2"/>
      <c r="D4" s="2"/>
      <c r="E4" s="2"/>
      <c r="F4" s="2"/>
      <c r="G4" s="2"/>
    </row>
    <row r="5" spans="1:7" x14ac:dyDescent="0.35">
      <c r="A5" s="1"/>
      <c r="B5" s="1"/>
      <c r="C5" s="1"/>
      <c r="D5" s="1"/>
      <c r="E5" s="1"/>
      <c r="F5" s="1"/>
      <c r="G5" s="1"/>
    </row>
    <row r="6" spans="1:7" x14ac:dyDescent="0.35">
      <c r="A6" s="1"/>
      <c r="B6" s="3" t="s">
        <v>2</v>
      </c>
      <c r="C6" s="3" t="s">
        <v>3</v>
      </c>
      <c r="D6" s="3" t="s">
        <v>4</v>
      </c>
      <c r="E6" s="3" t="s">
        <v>5</v>
      </c>
      <c r="F6" s="3" t="s">
        <v>6</v>
      </c>
      <c r="G6" s="3" t="s">
        <v>7</v>
      </c>
    </row>
    <row r="7" spans="1:7" ht="26" customHeight="1" x14ac:dyDescent="0.35">
      <c r="A7" s="1"/>
      <c r="B7" s="4">
        <f>TotalCapital</f>
        <v>1577.87</v>
      </c>
      <c r="C7" s="4">
        <f>StockValueSAR</f>
        <v>1226.8699999999999</v>
      </c>
      <c r="D7" s="4">
        <f>ConcCostPerGLoaded</f>
        <v>3.3703177115726932</v>
      </c>
      <c r="E7" s="5">
        <f>SUMPRODUCT((LogID&lt;&gt;"")*1)</f>
        <v>0</v>
      </c>
      <c r="F7" s="5">
        <f>COUNTIF(LogStatus,"Macerating")</f>
        <v>0</v>
      </c>
      <c r="G7" s="5">
        <f>SUMPRODUCT((Inv_OnHand&lt;Inv_Threshold)*1)</f>
        <v>0</v>
      </c>
    </row>
    <row r="8" spans="1:7" x14ac:dyDescent="0.35">
      <c r="A8" s="1"/>
      <c r="B8" s="1"/>
      <c r="C8" s="1"/>
      <c r="D8" s="1"/>
      <c r="E8" s="1"/>
      <c r="F8" s="1"/>
      <c r="G8" s="1"/>
    </row>
    <row r="9" spans="1:7" ht="18" customHeight="1" x14ac:dyDescent="0.35">
      <c r="A9" s="1"/>
      <c r="B9" s="92" t="s">
        <v>8</v>
      </c>
      <c r="C9" s="93"/>
      <c r="D9" s="93"/>
      <c r="E9" s="92" t="s">
        <v>9</v>
      </c>
      <c r="F9" s="93"/>
      <c r="G9" s="93"/>
    </row>
    <row r="10" spans="1:7" x14ac:dyDescent="0.35">
      <c r="A10" s="1"/>
      <c r="B10" s="6" t="s">
        <v>10</v>
      </c>
      <c r="C10" s="95" t="str">
        <f>BatchFormat</f>
        <v>Extrait de Parfum</v>
      </c>
      <c r="D10" s="89"/>
      <c r="E10" s="90" t="s">
        <v>11</v>
      </c>
      <c r="F10" s="89"/>
      <c r="G10" s="7" t="str">
        <f>IF(COUNTIFS(LogStatus,"Macerating",LogStart,"&lt;&gt;")=0,"—",TEXT(MIN(LogMacStart)+28,"yyyy-mm-dd"))</f>
        <v>—</v>
      </c>
    </row>
    <row r="11" spans="1:7" x14ac:dyDescent="0.35">
      <c r="A11" s="1"/>
      <c r="B11" s="6" t="s">
        <v>12</v>
      </c>
      <c r="C11" s="95" t="str">
        <f>BatchSize&amp;" "&amp;BatchUnit</f>
        <v>50 ml</v>
      </c>
      <c r="D11" s="89"/>
      <c r="E11" s="90" t="s">
        <v>13</v>
      </c>
      <c r="F11" s="89"/>
      <c r="G11" s="7" t="str">
        <f>IF(COUNTIFS(LogStatus,"Macerating",LogStart,"&lt;&gt;")=0,"—",TEXT(MIN(LogMacStart)+MacDays,"yyyy-mm-dd"))</f>
        <v>—</v>
      </c>
    </row>
    <row r="12" spans="1:7" x14ac:dyDescent="0.35">
      <c r="A12" s="1"/>
      <c r="B12" s="6" t="s">
        <v>14</v>
      </c>
      <c r="C12" s="91">
        <f>ConcG</f>
        <v>11.9</v>
      </c>
      <c r="D12" s="89"/>
      <c r="E12" s="90" t="s">
        <v>15</v>
      </c>
      <c r="F12" s="89"/>
      <c r="G12" s="9">
        <f ca="1">SUMPRODUCT((LogStatus="Macerating")*(LogStart&lt;&gt;"")*((TODAY()-LogStart)&gt;=28))</f>
        <v>0</v>
      </c>
    </row>
    <row r="13" spans="1:7" x14ac:dyDescent="0.35">
      <c r="A13" s="1"/>
      <c r="B13" s="6" t="s">
        <v>16</v>
      </c>
      <c r="C13" s="98">
        <f>AlcoholG</f>
        <v>30.6</v>
      </c>
      <c r="D13" s="89"/>
      <c r="E13" s="90" t="s">
        <v>17</v>
      </c>
      <c r="F13" s="89"/>
      <c r="G13" s="8">
        <f>TotalConcUsedG</f>
        <v>0</v>
      </c>
    </row>
    <row r="14" spans="1:7" x14ac:dyDescent="0.35">
      <c r="A14" s="1"/>
      <c r="B14" s="6" t="s">
        <v>18</v>
      </c>
      <c r="C14" s="91">
        <f>BatchCostSAR</f>
        <v>41.564353833049331</v>
      </c>
      <c r="D14" s="89"/>
      <c r="E14" s="90" t="s">
        <v>19</v>
      </c>
      <c r="F14" s="89"/>
      <c r="G14" s="8">
        <f>AlcoholUsedG</f>
        <v>0</v>
      </c>
    </row>
    <row r="15" spans="1:7" x14ac:dyDescent="0.35">
      <c r="A15" s="1"/>
      <c r="B15" s="6" t="s">
        <v>20</v>
      </c>
      <c r="C15" s="91">
        <f>CostPerMl</f>
        <v>0.83128707666098667</v>
      </c>
      <c r="D15" s="89"/>
      <c r="E15" s="90" t="s">
        <v>21</v>
      </c>
      <c r="F15" s="89"/>
      <c r="G15" s="9">
        <f>MacDays</f>
        <v>42</v>
      </c>
    </row>
    <row r="16" spans="1:7" x14ac:dyDescent="0.35">
      <c r="A16" s="1"/>
      <c r="B16" s="1"/>
      <c r="C16" s="1"/>
      <c r="D16" s="1"/>
      <c r="E16" s="1"/>
      <c r="F16" s="1"/>
      <c r="G16" s="1"/>
    </row>
    <row r="17" spans="1:7" ht="18" customHeight="1" x14ac:dyDescent="0.35">
      <c r="A17" s="1"/>
      <c r="B17" s="92" t="s">
        <v>22</v>
      </c>
      <c r="C17" s="93"/>
      <c r="D17" s="93"/>
      <c r="E17" s="93"/>
      <c r="F17" s="93"/>
      <c r="G17" s="93"/>
    </row>
    <row r="18" spans="1:7" ht="30" customHeight="1" x14ac:dyDescent="0.35">
      <c r="A18" s="1"/>
      <c r="B18" s="99" t="str">
        <f>IF($G$7=0,"✓ All materials stocked for at least two default batches.","⚠ Low stock — reorder:  "&amp;Inv_LowJoined)</f>
        <v>✓ All materials stocked for at least two default batches.</v>
      </c>
      <c r="C18" s="89"/>
      <c r="D18" s="89"/>
      <c r="E18" s="89"/>
      <c r="F18" s="89"/>
      <c r="G18" s="89"/>
    </row>
    <row r="19" spans="1:7" x14ac:dyDescent="0.35">
      <c r="A19" s="1"/>
      <c r="B19" s="1"/>
      <c r="C19" s="1"/>
      <c r="D19" s="1"/>
      <c r="E19" s="1"/>
      <c r="F19" s="1"/>
      <c r="G19" s="1"/>
    </row>
    <row r="20" spans="1:7" ht="18" customHeight="1" x14ac:dyDescent="0.35">
      <c r="A20" s="1"/>
      <c r="B20" s="92" t="s">
        <v>23</v>
      </c>
      <c r="C20" s="93"/>
      <c r="D20" s="93"/>
      <c r="E20" s="93"/>
      <c r="F20" s="93"/>
      <c r="G20" s="93"/>
    </row>
    <row r="21" spans="1:7" x14ac:dyDescent="0.35">
      <c r="A21" s="1"/>
      <c r="B21" s="94" t="s">
        <v>24</v>
      </c>
      <c r="C21" s="89"/>
      <c r="D21" s="89"/>
      <c r="E21" s="89"/>
      <c r="F21" s="89"/>
      <c r="G21" s="89"/>
    </row>
    <row r="22" spans="1:7" x14ac:dyDescent="0.35">
      <c r="A22" s="1"/>
      <c r="B22" s="94" t="s">
        <v>25</v>
      </c>
      <c r="C22" s="89"/>
      <c r="D22" s="89"/>
      <c r="E22" s="89"/>
      <c r="F22" s="89"/>
      <c r="G22" s="89"/>
    </row>
    <row r="23" spans="1:7" x14ac:dyDescent="0.35">
      <c r="A23" s="1"/>
      <c r="B23" s="94" t="s">
        <v>26</v>
      </c>
      <c r="C23" s="89"/>
      <c r="D23" s="89"/>
      <c r="E23" s="89"/>
      <c r="F23" s="89"/>
      <c r="G23" s="89"/>
    </row>
    <row r="24" spans="1:7" x14ac:dyDescent="0.35">
      <c r="A24" s="1"/>
      <c r="B24" s="1"/>
      <c r="C24" s="1"/>
      <c r="D24" s="1"/>
      <c r="E24" s="1"/>
      <c r="F24" s="1"/>
      <c r="G24" s="1"/>
    </row>
    <row r="25" spans="1:7" x14ac:dyDescent="0.35">
      <c r="A25" s="1"/>
      <c r="B25" s="96" t="s">
        <v>27</v>
      </c>
      <c r="C25" s="89"/>
      <c r="D25" s="89"/>
      <c r="E25" s="89"/>
      <c r="F25" s="89"/>
      <c r="G25" s="89"/>
    </row>
  </sheetData>
  <mergeCells count="23">
    <mergeCell ref="E11:F11"/>
    <mergeCell ref="B25:G25"/>
    <mergeCell ref="B3:G3"/>
    <mergeCell ref="B22:G22"/>
    <mergeCell ref="C13:D13"/>
    <mergeCell ref="B18:G18"/>
    <mergeCell ref="B21:G21"/>
    <mergeCell ref="B2:G2"/>
    <mergeCell ref="E12:F12"/>
    <mergeCell ref="C15:D15"/>
    <mergeCell ref="B17:G17"/>
    <mergeCell ref="B23:G23"/>
    <mergeCell ref="C14:D14"/>
    <mergeCell ref="E9:G9"/>
    <mergeCell ref="E14:F14"/>
    <mergeCell ref="C10:D10"/>
    <mergeCell ref="E10:F10"/>
    <mergeCell ref="B9:D9"/>
    <mergeCell ref="E13:F13"/>
    <mergeCell ref="C12:D12"/>
    <mergeCell ref="B20:G20"/>
    <mergeCell ref="E15:F15"/>
    <mergeCell ref="C11:D11"/>
  </mergeCells>
  <conditionalFormatting sqref="B18:G18">
    <cfRule type="expression" dxfId="12" priority="2">
      <formula>$G$7&gt;0</formula>
    </cfRule>
  </conditionalFormatting>
  <conditionalFormatting sqref="G7">
    <cfRule type="expression" dxfId="11" priority="1">
      <formula>$G$7&gt;0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4A566"/>
  </sheetPr>
  <dimension ref="A1:G29"/>
  <sheetViews>
    <sheetView showGridLines="0" workbookViewId="0"/>
  </sheetViews>
  <sheetFormatPr defaultRowHeight="14.5" x14ac:dyDescent="0.35"/>
  <cols>
    <col min="1" max="1" width="3" customWidth="1"/>
    <col min="2" max="7" width="17" customWidth="1"/>
    <col min="8" max="8" width="3" customWidth="1"/>
  </cols>
  <sheetData>
    <row r="1" spans="1:7" x14ac:dyDescent="0.35">
      <c r="A1" s="1"/>
      <c r="B1" s="1"/>
      <c r="C1" s="1"/>
      <c r="D1" s="1"/>
      <c r="E1" s="1"/>
      <c r="F1" s="1"/>
      <c r="G1" s="1"/>
    </row>
    <row r="2" spans="1:7" ht="36" customHeight="1" x14ac:dyDescent="0.35">
      <c r="A2" s="1"/>
      <c r="B2" s="100" t="s">
        <v>0</v>
      </c>
      <c r="C2" s="89"/>
      <c r="D2" s="89"/>
      <c r="E2" s="89"/>
      <c r="F2" s="89"/>
      <c r="G2" s="89"/>
    </row>
    <row r="3" spans="1:7" x14ac:dyDescent="0.35">
      <c r="A3" s="1"/>
      <c r="B3" s="97" t="s">
        <v>28</v>
      </c>
      <c r="C3" s="89"/>
      <c r="D3" s="89"/>
      <c r="E3" s="89"/>
      <c r="F3" s="89"/>
      <c r="G3" s="89"/>
    </row>
    <row r="4" spans="1:7" ht="3" customHeight="1" x14ac:dyDescent="0.35">
      <c r="A4" s="1"/>
      <c r="B4" s="2"/>
      <c r="C4" s="2"/>
      <c r="D4" s="2"/>
      <c r="E4" s="2"/>
      <c r="F4" s="2"/>
      <c r="G4" s="2"/>
    </row>
    <row r="5" spans="1:7" x14ac:dyDescent="0.35">
      <c r="A5" s="1"/>
      <c r="B5" s="1"/>
      <c r="C5" s="1"/>
      <c r="D5" s="1"/>
      <c r="E5" s="1"/>
      <c r="F5" s="1"/>
      <c r="G5" s="1"/>
    </row>
    <row r="6" spans="1:7" ht="18" customHeight="1" x14ac:dyDescent="0.35">
      <c r="A6" s="1"/>
      <c r="B6" s="92" t="s">
        <v>29</v>
      </c>
      <c r="C6" s="93"/>
      <c r="D6" s="93"/>
      <c r="E6" s="93"/>
      <c r="F6" s="93"/>
      <c r="G6" s="93"/>
    </row>
    <row r="7" spans="1:7" ht="42" customHeight="1" x14ac:dyDescent="0.35">
      <c r="A7" s="1"/>
      <c r="B7" s="101" t="s">
        <v>30</v>
      </c>
      <c r="C7" s="89"/>
      <c r="D7" s="89"/>
      <c r="E7" s="89"/>
      <c r="F7" s="89"/>
      <c r="G7" s="89"/>
    </row>
    <row r="8" spans="1:7" x14ac:dyDescent="0.35">
      <c r="A8" s="1"/>
      <c r="B8" s="1"/>
      <c r="C8" s="1"/>
      <c r="D8" s="1"/>
      <c r="E8" s="1"/>
      <c r="F8" s="1"/>
      <c r="G8" s="1"/>
    </row>
    <row r="9" spans="1:7" ht="18" customHeight="1" x14ac:dyDescent="0.35">
      <c r="A9" s="1"/>
      <c r="B9" s="92" t="s">
        <v>31</v>
      </c>
      <c r="C9" s="93"/>
      <c r="D9" s="93"/>
      <c r="E9" s="93"/>
      <c r="F9" s="93"/>
      <c r="G9" s="93"/>
    </row>
    <row r="10" spans="1:7" ht="56" customHeight="1" x14ac:dyDescent="0.35">
      <c r="A10" s="1"/>
      <c r="B10" s="101" t="s">
        <v>32</v>
      </c>
      <c r="C10" s="89"/>
      <c r="D10" s="89"/>
      <c r="E10" s="89"/>
      <c r="F10" s="89"/>
      <c r="G10" s="89"/>
    </row>
    <row r="11" spans="1:7" x14ac:dyDescent="0.35">
      <c r="A11" s="1"/>
      <c r="B11" s="1"/>
      <c r="C11" s="1"/>
      <c r="D11" s="1"/>
      <c r="E11" s="1"/>
      <c r="F11" s="1"/>
      <c r="G11" s="1"/>
    </row>
    <row r="12" spans="1:7" ht="18" customHeight="1" x14ac:dyDescent="0.35">
      <c r="A12" s="1"/>
      <c r="B12" s="92" t="s">
        <v>33</v>
      </c>
      <c r="C12" s="93"/>
      <c r="D12" s="93"/>
      <c r="E12" s="93"/>
      <c r="F12" s="93"/>
      <c r="G12" s="93"/>
    </row>
    <row r="13" spans="1:7" ht="42" customHeight="1" x14ac:dyDescent="0.35">
      <c r="A13" s="1"/>
      <c r="B13" s="101" t="s">
        <v>34</v>
      </c>
      <c r="C13" s="89"/>
      <c r="D13" s="89"/>
      <c r="E13" s="89"/>
      <c r="F13" s="89"/>
      <c r="G13" s="89"/>
    </row>
    <row r="14" spans="1:7" x14ac:dyDescent="0.35">
      <c r="A14" s="1"/>
      <c r="B14" s="1"/>
      <c r="C14" s="1"/>
      <c r="D14" s="1"/>
      <c r="E14" s="1"/>
      <c r="F14" s="1"/>
      <c r="G14" s="1"/>
    </row>
    <row r="15" spans="1:7" ht="18" customHeight="1" x14ac:dyDescent="0.35">
      <c r="A15" s="1"/>
      <c r="B15" s="92" t="s">
        <v>35</v>
      </c>
      <c r="C15" s="93"/>
      <c r="D15" s="93"/>
      <c r="E15" s="93"/>
      <c r="F15" s="93"/>
      <c r="G15" s="93"/>
    </row>
    <row r="16" spans="1:7" ht="42" customHeight="1" x14ac:dyDescent="0.35">
      <c r="A16" s="1"/>
      <c r="B16" s="101" t="s">
        <v>36</v>
      </c>
      <c r="C16" s="89"/>
      <c r="D16" s="89"/>
      <c r="E16" s="89"/>
      <c r="F16" s="89"/>
      <c r="G16" s="89"/>
    </row>
    <row r="17" spans="1:7" x14ac:dyDescent="0.35">
      <c r="A17" s="1"/>
      <c r="B17" s="1"/>
      <c r="C17" s="1"/>
      <c r="D17" s="1"/>
      <c r="E17" s="1"/>
      <c r="F17" s="1"/>
      <c r="G17" s="1"/>
    </row>
    <row r="18" spans="1:7" ht="18" customHeight="1" x14ac:dyDescent="0.35">
      <c r="A18" s="1"/>
      <c r="B18" s="92" t="s">
        <v>37</v>
      </c>
      <c r="C18" s="93"/>
      <c r="D18" s="93"/>
      <c r="E18" s="93"/>
      <c r="F18" s="93"/>
      <c r="G18" s="93"/>
    </row>
    <row r="19" spans="1:7" ht="84" customHeight="1" x14ac:dyDescent="0.35">
      <c r="A19" s="1"/>
      <c r="B19" s="101" t="s">
        <v>38</v>
      </c>
      <c r="C19" s="89"/>
      <c r="D19" s="89"/>
      <c r="E19" s="89"/>
      <c r="F19" s="89"/>
      <c r="G19" s="89"/>
    </row>
    <row r="20" spans="1:7" x14ac:dyDescent="0.35">
      <c r="A20" s="1"/>
      <c r="B20" s="1"/>
      <c r="C20" s="1"/>
      <c r="D20" s="1"/>
      <c r="E20" s="1"/>
      <c r="F20" s="1"/>
      <c r="G20" s="1"/>
    </row>
    <row r="21" spans="1:7" ht="18" customHeight="1" x14ac:dyDescent="0.35">
      <c r="A21" s="1"/>
      <c r="B21" s="92" t="s">
        <v>39</v>
      </c>
      <c r="C21" s="93"/>
      <c r="D21" s="93"/>
      <c r="E21" s="93"/>
      <c r="F21" s="93"/>
      <c r="G21" s="93"/>
    </row>
    <row r="22" spans="1:7" ht="56" customHeight="1" x14ac:dyDescent="0.35">
      <c r="A22" s="1"/>
      <c r="B22" s="101" t="s">
        <v>40</v>
      </c>
      <c r="C22" s="89"/>
      <c r="D22" s="89"/>
      <c r="E22" s="89"/>
      <c r="F22" s="89"/>
      <c r="G22" s="89"/>
    </row>
    <row r="23" spans="1:7" x14ac:dyDescent="0.35">
      <c r="A23" s="1"/>
      <c r="B23" s="1"/>
      <c r="C23" s="1"/>
      <c r="D23" s="1"/>
      <c r="E23" s="1"/>
      <c r="F23" s="1"/>
      <c r="G23" s="1"/>
    </row>
    <row r="24" spans="1:7" ht="18" customHeight="1" x14ac:dyDescent="0.35">
      <c r="A24" s="1"/>
      <c r="B24" s="92" t="s">
        <v>41</v>
      </c>
      <c r="C24" s="93"/>
      <c r="D24" s="93"/>
      <c r="E24" s="93"/>
      <c r="F24" s="93"/>
      <c r="G24" s="93"/>
    </row>
    <row r="25" spans="1:7" ht="14" customHeight="1" x14ac:dyDescent="0.35">
      <c r="A25" s="1"/>
      <c r="B25" s="103" t="s">
        <v>42</v>
      </c>
      <c r="C25" s="89"/>
      <c r="D25" s="89"/>
      <c r="E25" s="89"/>
      <c r="F25" s="89"/>
      <c r="G25" s="89"/>
    </row>
    <row r="26" spans="1:7" ht="14" customHeight="1" x14ac:dyDescent="0.35">
      <c r="A26" s="1"/>
      <c r="B26" s="103" t="s">
        <v>43</v>
      </c>
      <c r="C26" s="89"/>
      <c r="D26" s="89"/>
      <c r="E26" s="89"/>
      <c r="F26" s="89"/>
      <c r="G26" s="89"/>
    </row>
    <row r="27" spans="1:7" ht="28" customHeight="1" x14ac:dyDescent="0.35">
      <c r="A27" s="1"/>
      <c r="B27" s="103" t="s">
        <v>44</v>
      </c>
      <c r="C27" s="89"/>
      <c r="D27" s="89"/>
      <c r="E27" s="89"/>
      <c r="F27" s="89"/>
      <c r="G27" s="89"/>
    </row>
    <row r="28" spans="1:7" x14ac:dyDescent="0.35">
      <c r="A28" s="1"/>
      <c r="B28" s="1"/>
      <c r="C28" s="1"/>
      <c r="D28" s="1"/>
      <c r="E28" s="1"/>
      <c r="F28" s="1"/>
      <c r="G28" s="1"/>
    </row>
    <row r="29" spans="1:7" ht="28" customHeight="1" x14ac:dyDescent="0.35">
      <c r="A29" s="1"/>
      <c r="B29" s="102" t="s">
        <v>45</v>
      </c>
      <c r="C29" s="89"/>
      <c r="D29" s="89"/>
      <c r="E29" s="89"/>
      <c r="F29" s="89"/>
      <c r="G29" s="89"/>
    </row>
  </sheetData>
  <mergeCells count="19">
    <mergeCell ref="B12:G12"/>
    <mergeCell ref="B18:G18"/>
    <mergeCell ref="B21:G21"/>
    <mergeCell ref="B2:G2"/>
    <mergeCell ref="B13:G13"/>
    <mergeCell ref="B29:G29"/>
    <mergeCell ref="B19:G19"/>
    <mergeCell ref="B10:G10"/>
    <mergeCell ref="B9:G9"/>
    <mergeCell ref="B15:G15"/>
    <mergeCell ref="B6:G6"/>
    <mergeCell ref="B24:G24"/>
    <mergeCell ref="B26:G26"/>
    <mergeCell ref="B7:G7"/>
    <mergeCell ref="B25:G25"/>
    <mergeCell ref="B3:G3"/>
    <mergeCell ref="B16:G16"/>
    <mergeCell ref="B22:G22"/>
    <mergeCell ref="B27:G2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B3531"/>
  </sheetPr>
  <dimension ref="A1:I38"/>
  <sheetViews>
    <sheetView showGridLines="0" workbookViewId="0">
      <pane ySplit="6" topLeftCell="A7" activePane="bottomLeft" state="frozen"/>
      <selection pane="bottomLeft"/>
    </sheetView>
  </sheetViews>
  <sheetFormatPr defaultRowHeight="14.5" x14ac:dyDescent="0.35"/>
  <cols>
    <col min="1" max="1" width="9" customWidth="1"/>
    <col min="2" max="2" width="30" customWidth="1"/>
    <col min="3" max="3" width="10" customWidth="1"/>
    <col min="4" max="4" width="7" customWidth="1"/>
    <col min="5" max="5" width="9" customWidth="1"/>
    <col min="6" max="6" width="10" customWidth="1"/>
    <col min="7" max="7" width="40" customWidth="1"/>
    <col min="8" max="8" width="13" customWidth="1"/>
    <col min="9" max="9" width="9" customWidth="1"/>
  </cols>
  <sheetData>
    <row r="1" spans="1:9" ht="28" customHeight="1" x14ac:dyDescent="0.35">
      <c r="A1" s="108" t="s">
        <v>46</v>
      </c>
      <c r="B1" s="89"/>
      <c r="C1" s="89"/>
      <c r="D1" s="89"/>
      <c r="E1" s="89"/>
      <c r="F1" s="89"/>
      <c r="G1" s="89"/>
      <c r="H1" s="89"/>
      <c r="I1" s="89"/>
    </row>
    <row r="2" spans="1:9" x14ac:dyDescent="0.35">
      <c r="A2" s="105" t="s">
        <v>47</v>
      </c>
      <c r="B2" s="106"/>
      <c r="C2" s="106"/>
      <c r="D2" s="106"/>
      <c r="E2" s="106"/>
      <c r="F2" s="106"/>
      <c r="G2" s="106"/>
      <c r="H2" s="106"/>
      <c r="I2" s="106"/>
    </row>
    <row r="3" spans="1:9" x14ac:dyDescent="0.35">
      <c r="A3" s="1"/>
      <c r="B3" s="1"/>
      <c r="C3" s="1"/>
      <c r="D3" s="1"/>
      <c r="E3" s="1"/>
      <c r="F3" s="1"/>
      <c r="G3" s="1"/>
      <c r="H3" s="13" t="s">
        <v>48</v>
      </c>
      <c r="I3" s="14">
        <f>SUMIF($E$7:$E$31,"OPT",$C$7:$C$31)</f>
        <v>8.0000000000000002E-3</v>
      </c>
    </row>
    <row r="4" spans="1:9" x14ac:dyDescent="0.35">
      <c r="A4" s="104" t="s">
        <v>49</v>
      </c>
      <c r="B4" s="89"/>
      <c r="C4" s="16" t="s">
        <v>50</v>
      </c>
      <c r="D4" s="1"/>
      <c r="E4" s="1"/>
      <c r="F4" s="1"/>
      <c r="G4" s="1"/>
      <c r="H4" s="13" t="s">
        <v>51</v>
      </c>
      <c r="I4" s="14">
        <f>SUMIF($D$7:$D$31,"D10",$F$7:$F$31)</f>
        <v>4.8000000000000001E-2</v>
      </c>
    </row>
    <row r="5" spans="1:9" x14ac:dyDescent="0.35">
      <c r="A5" s="1"/>
      <c r="B5" s="1"/>
      <c r="C5" s="1"/>
      <c r="D5" s="1"/>
      <c r="E5" s="1"/>
      <c r="F5" s="1"/>
      <c r="G5" s="1"/>
      <c r="H5" s="1"/>
      <c r="I5" s="1"/>
    </row>
    <row r="6" spans="1:9" ht="24" customHeight="1" x14ac:dyDescent="0.35">
      <c r="A6" s="17" t="s">
        <v>52</v>
      </c>
      <c r="B6" s="17" t="s">
        <v>53</v>
      </c>
      <c r="C6" s="17" t="s">
        <v>54</v>
      </c>
      <c r="D6" s="17" t="s">
        <v>55</v>
      </c>
      <c r="E6" s="17" t="s">
        <v>56</v>
      </c>
      <c r="F6" s="17" t="s">
        <v>57</v>
      </c>
      <c r="G6" s="17" t="s">
        <v>58</v>
      </c>
      <c r="H6" s="17" t="s">
        <v>59</v>
      </c>
      <c r="I6" s="1"/>
    </row>
    <row r="7" spans="1:9" x14ac:dyDescent="0.35">
      <c r="A7" s="18" t="s">
        <v>60</v>
      </c>
      <c r="B7" s="19" t="s">
        <v>61</v>
      </c>
      <c r="C7" s="20">
        <v>4.4999999999999998E-2</v>
      </c>
      <c r="D7" s="21"/>
      <c r="E7" s="21"/>
      <c r="F7" s="22">
        <f t="shared" ref="F7:F31" si="0">IF(IncludeOptionals="YES",C7,IF($E7="OPT",0,C7/(1-OptPctSum)))</f>
        <v>4.4999999999999998E-2</v>
      </c>
      <c r="G7" s="23" t="s">
        <v>62</v>
      </c>
      <c r="H7" s="24">
        <f t="shared" ref="H7:H31" si="1">IF($D7="D10",0.1*INDEX(Inv_PricePerG,MATCH($B7,Inv_Mat,0))+0.9*DPGPricePerG,INDEX(Inv_PricePerG,MATCH($B7,Inv_Mat,0)))</f>
        <v>2.0833333333333335</v>
      </c>
      <c r="I7" s="1"/>
    </row>
    <row r="8" spans="1:9" x14ac:dyDescent="0.35">
      <c r="A8" s="18" t="s">
        <v>60</v>
      </c>
      <c r="B8" s="19" t="s">
        <v>63</v>
      </c>
      <c r="C8" s="20">
        <v>0.01</v>
      </c>
      <c r="D8" s="21" t="s">
        <v>55</v>
      </c>
      <c r="E8" s="21"/>
      <c r="F8" s="22">
        <f t="shared" si="0"/>
        <v>0.01</v>
      </c>
      <c r="G8" s="23" t="s">
        <v>64</v>
      </c>
      <c r="H8" s="24">
        <f t="shared" si="1"/>
        <v>1.6576797385620916</v>
      </c>
      <c r="I8" s="1"/>
    </row>
    <row r="9" spans="1:9" x14ac:dyDescent="0.35">
      <c r="A9" s="18" t="s">
        <v>60</v>
      </c>
      <c r="B9" s="19" t="s">
        <v>65</v>
      </c>
      <c r="C9" s="20">
        <v>0.02</v>
      </c>
      <c r="D9" s="21"/>
      <c r="E9" s="21"/>
      <c r="F9" s="22">
        <f t="shared" si="0"/>
        <v>0.02</v>
      </c>
      <c r="G9" s="23" t="s">
        <v>66</v>
      </c>
      <c r="H9" s="24">
        <f t="shared" si="1"/>
        <v>1.8599999999999999</v>
      </c>
      <c r="I9" s="1"/>
    </row>
    <row r="10" spans="1:9" x14ac:dyDescent="0.35">
      <c r="A10" s="18" t="s">
        <v>60</v>
      </c>
      <c r="B10" s="19" t="s">
        <v>67</v>
      </c>
      <c r="C10" s="20">
        <v>0.01</v>
      </c>
      <c r="D10" s="21"/>
      <c r="E10" s="21"/>
      <c r="F10" s="22">
        <f t="shared" si="0"/>
        <v>0.01</v>
      </c>
      <c r="G10" s="23" t="s">
        <v>68</v>
      </c>
      <c r="H10" s="24">
        <f t="shared" si="1"/>
        <v>2.5</v>
      </c>
      <c r="I10" s="1"/>
    </row>
    <row r="11" spans="1:9" x14ac:dyDescent="0.35">
      <c r="A11" s="25" t="s">
        <v>69</v>
      </c>
      <c r="B11" s="26" t="s">
        <v>70</v>
      </c>
      <c r="C11" s="20">
        <v>0.14699999999999999</v>
      </c>
      <c r="D11" s="27"/>
      <c r="E11" s="27"/>
      <c r="F11" s="28">
        <f t="shared" si="0"/>
        <v>0.14699999999999999</v>
      </c>
      <c r="G11" s="29" t="s">
        <v>71</v>
      </c>
      <c r="H11" s="24">
        <f t="shared" si="1"/>
        <v>0.88518518518518519</v>
      </c>
      <c r="I11" s="1"/>
    </row>
    <row r="12" spans="1:9" x14ac:dyDescent="0.35">
      <c r="A12" s="30" t="s">
        <v>69</v>
      </c>
      <c r="B12" s="31" t="s">
        <v>72</v>
      </c>
      <c r="C12" s="20">
        <v>0.03</v>
      </c>
      <c r="D12" s="32"/>
      <c r="E12" s="32"/>
      <c r="F12" s="33">
        <f t="shared" si="0"/>
        <v>0.03</v>
      </c>
      <c r="G12" s="34" t="s">
        <v>73</v>
      </c>
      <c r="H12" s="24">
        <f t="shared" si="1"/>
        <v>5</v>
      </c>
      <c r="I12" s="1"/>
    </row>
    <row r="13" spans="1:9" x14ac:dyDescent="0.35">
      <c r="A13" s="30" t="s">
        <v>69</v>
      </c>
      <c r="B13" s="31" t="s">
        <v>74</v>
      </c>
      <c r="C13" s="20">
        <v>1.4999999999999999E-2</v>
      </c>
      <c r="D13" s="32"/>
      <c r="E13" s="32"/>
      <c r="F13" s="33">
        <f t="shared" si="0"/>
        <v>1.4999999999999999E-2</v>
      </c>
      <c r="G13" s="34" t="s">
        <v>75</v>
      </c>
      <c r="H13" s="24">
        <f t="shared" si="1"/>
        <v>3.9588888888888891</v>
      </c>
      <c r="I13" s="1"/>
    </row>
    <row r="14" spans="1:9" x14ac:dyDescent="0.35">
      <c r="A14" s="25" t="s">
        <v>69</v>
      </c>
      <c r="B14" s="26" t="s">
        <v>76</v>
      </c>
      <c r="C14" s="20">
        <v>0.04</v>
      </c>
      <c r="D14" s="27"/>
      <c r="E14" s="27"/>
      <c r="F14" s="28">
        <f t="shared" si="0"/>
        <v>0.04</v>
      </c>
      <c r="G14" s="29" t="s">
        <v>77</v>
      </c>
      <c r="H14" s="24">
        <f t="shared" si="1"/>
        <v>1.9400000000000002</v>
      </c>
      <c r="I14" s="1"/>
    </row>
    <row r="15" spans="1:9" x14ac:dyDescent="0.35">
      <c r="A15" s="25" t="s">
        <v>69</v>
      </c>
      <c r="B15" s="26" t="s">
        <v>78</v>
      </c>
      <c r="C15" s="20">
        <v>7.0000000000000007E-2</v>
      </c>
      <c r="D15" s="27"/>
      <c r="E15" s="27"/>
      <c r="F15" s="28">
        <f t="shared" si="0"/>
        <v>7.0000000000000007E-2</v>
      </c>
      <c r="G15" s="29" t="s">
        <v>79</v>
      </c>
      <c r="H15" s="24">
        <f t="shared" si="1"/>
        <v>1.24</v>
      </c>
      <c r="I15" s="1"/>
    </row>
    <row r="16" spans="1:9" x14ac:dyDescent="0.35">
      <c r="A16" s="25" t="s">
        <v>69</v>
      </c>
      <c r="B16" s="26" t="s">
        <v>80</v>
      </c>
      <c r="C16" s="20">
        <v>1.4999999999999999E-2</v>
      </c>
      <c r="D16" s="27"/>
      <c r="E16" s="27"/>
      <c r="F16" s="28">
        <f t="shared" si="0"/>
        <v>1.4999999999999999E-2</v>
      </c>
      <c r="G16" s="29" t="s">
        <v>81</v>
      </c>
      <c r="H16" s="24">
        <f t="shared" si="1"/>
        <v>1.8599999999999999</v>
      </c>
      <c r="I16" s="1"/>
    </row>
    <row r="17" spans="1:9" x14ac:dyDescent="0.35">
      <c r="A17" s="35" t="s">
        <v>69</v>
      </c>
      <c r="B17" s="36" t="s">
        <v>82</v>
      </c>
      <c r="C17" s="20">
        <v>3.0000000000000001E-3</v>
      </c>
      <c r="D17" s="37" t="s">
        <v>55</v>
      </c>
      <c r="E17" s="37" t="s">
        <v>83</v>
      </c>
      <c r="F17" s="38">
        <f t="shared" si="0"/>
        <v>3.0000000000000001E-3</v>
      </c>
      <c r="G17" s="39" t="s">
        <v>84</v>
      </c>
      <c r="H17" s="24">
        <f t="shared" si="1"/>
        <v>1.1854575163398691</v>
      </c>
      <c r="I17" s="1"/>
    </row>
    <row r="18" spans="1:9" x14ac:dyDescent="0.35">
      <c r="A18" s="30" t="s">
        <v>85</v>
      </c>
      <c r="B18" s="31" t="s">
        <v>86</v>
      </c>
      <c r="C18" s="20">
        <v>6.5000000000000002E-2</v>
      </c>
      <c r="D18" s="32"/>
      <c r="E18" s="32"/>
      <c r="F18" s="33">
        <f t="shared" si="0"/>
        <v>6.5000000000000002E-2</v>
      </c>
      <c r="G18" s="34" t="s">
        <v>87</v>
      </c>
      <c r="H18" s="24">
        <f t="shared" si="1"/>
        <v>1.4650000000000001</v>
      </c>
      <c r="I18" s="1"/>
    </row>
    <row r="19" spans="1:9" x14ac:dyDescent="0.35">
      <c r="A19" s="30" t="s">
        <v>85</v>
      </c>
      <c r="B19" s="31" t="s">
        <v>88</v>
      </c>
      <c r="C19" s="20">
        <v>2.5000000000000001E-2</v>
      </c>
      <c r="D19" s="32"/>
      <c r="E19" s="32"/>
      <c r="F19" s="33">
        <f t="shared" si="0"/>
        <v>2.5000000000000001E-2</v>
      </c>
      <c r="G19" s="34" t="s">
        <v>89</v>
      </c>
      <c r="H19" s="24">
        <f t="shared" si="1"/>
        <v>1.569</v>
      </c>
      <c r="I19" s="1"/>
    </row>
    <row r="20" spans="1:9" x14ac:dyDescent="0.35">
      <c r="A20" s="18" t="s">
        <v>85</v>
      </c>
      <c r="B20" s="19" t="s">
        <v>90</v>
      </c>
      <c r="C20" s="20">
        <v>0.02</v>
      </c>
      <c r="D20" s="21" t="s">
        <v>55</v>
      </c>
      <c r="E20" s="21"/>
      <c r="F20" s="22">
        <f t="shared" si="0"/>
        <v>0.02</v>
      </c>
      <c r="G20" s="23" t="s">
        <v>91</v>
      </c>
      <c r="H20" s="24">
        <f t="shared" si="1"/>
        <v>0.35333529411764714</v>
      </c>
      <c r="I20" s="1"/>
    </row>
    <row r="21" spans="1:9" x14ac:dyDescent="0.35">
      <c r="A21" s="18" t="s">
        <v>85</v>
      </c>
      <c r="B21" s="19" t="s">
        <v>92</v>
      </c>
      <c r="C21" s="20">
        <v>0.05</v>
      </c>
      <c r="D21" s="21"/>
      <c r="E21" s="21"/>
      <c r="F21" s="22">
        <f t="shared" si="0"/>
        <v>0.05</v>
      </c>
      <c r="G21" s="23" t="s">
        <v>93</v>
      </c>
      <c r="H21" s="24">
        <f t="shared" si="1"/>
        <v>0.3</v>
      </c>
      <c r="I21" s="1"/>
    </row>
    <row r="22" spans="1:9" x14ac:dyDescent="0.35">
      <c r="A22" s="18" t="s">
        <v>85</v>
      </c>
      <c r="B22" s="19" t="s">
        <v>94</v>
      </c>
      <c r="C22" s="20">
        <v>2.5000000000000001E-2</v>
      </c>
      <c r="D22" s="21"/>
      <c r="E22" s="21"/>
      <c r="F22" s="22">
        <f t="shared" si="0"/>
        <v>2.5000000000000001E-2</v>
      </c>
      <c r="G22" s="23" t="s">
        <v>95</v>
      </c>
      <c r="H22" s="24">
        <f t="shared" si="1"/>
        <v>3.75</v>
      </c>
      <c r="I22" s="1"/>
    </row>
    <row r="23" spans="1:9" x14ac:dyDescent="0.35">
      <c r="A23" s="18" t="s">
        <v>85</v>
      </c>
      <c r="B23" s="19" t="s">
        <v>96</v>
      </c>
      <c r="C23" s="20">
        <v>1.4999999999999999E-2</v>
      </c>
      <c r="D23" s="21" t="s">
        <v>55</v>
      </c>
      <c r="E23" s="21"/>
      <c r="F23" s="22">
        <f t="shared" si="0"/>
        <v>1.4999999999999999E-2</v>
      </c>
      <c r="G23" s="23" t="s">
        <v>97</v>
      </c>
      <c r="H23" s="24">
        <f t="shared" si="1"/>
        <v>0.23545751633986928</v>
      </c>
      <c r="I23" s="1"/>
    </row>
    <row r="24" spans="1:9" x14ac:dyDescent="0.35">
      <c r="A24" s="18" t="s">
        <v>85</v>
      </c>
      <c r="B24" s="19" t="s">
        <v>98</v>
      </c>
      <c r="C24" s="20">
        <v>7.4999999999999997E-2</v>
      </c>
      <c r="D24" s="21"/>
      <c r="E24" s="21"/>
      <c r="F24" s="22">
        <f t="shared" si="0"/>
        <v>7.4999999999999997E-2</v>
      </c>
      <c r="G24" s="23" t="s">
        <v>99</v>
      </c>
      <c r="H24" s="24">
        <f t="shared" si="1"/>
        <v>13.375</v>
      </c>
      <c r="I24" s="1"/>
    </row>
    <row r="25" spans="1:9" x14ac:dyDescent="0.35">
      <c r="A25" s="18" t="s">
        <v>85</v>
      </c>
      <c r="B25" s="19" t="s">
        <v>100</v>
      </c>
      <c r="C25" s="20">
        <v>9.5000000000000001E-2</v>
      </c>
      <c r="D25" s="21"/>
      <c r="E25" s="21"/>
      <c r="F25" s="22">
        <f t="shared" si="0"/>
        <v>9.5000000000000001E-2</v>
      </c>
      <c r="G25" s="23" t="s">
        <v>101</v>
      </c>
      <c r="H25" s="24">
        <f t="shared" si="1"/>
        <v>1.5111111111111111</v>
      </c>
      <c r="I25" s="1"/>
    </row>
    <row r="26" spans="1:9" x14ac:dyDescent="0.35">
      <c r="A26" s="18" t="s">
        <v>85</v>
      </c>
      <c r="B26" s="19" t="s">
        <v>102</v>
      </c>
      <c r="C26" s="20">
        <v>0.03</v>
      </c>
      <c r="D26" s="21"/>
      <c r="E26" s="21"/>
      <c r="F26" s="22">
        <f t="shared" si="0"/>
        <v>0.03</v>
      </c>
      <c r="G26" s="23" t="s">
        <v>103</v>
      </c>
      <c r="H26" s="24">
        <f t="shared" si="1"/>
        <v>6.206666666666667</v>
      </c>
      <c r="I26" s="1"/>
    </row>
    <row r="27" spans="1:9" x14ac:dyDescent="0.35">
      <c r="A27" s="18" t="s">
        <v>85</v>
      </c>
      <c r="B27" s="19" t="s">
        <v>104</v>
      </c>
      <c r="C27" s="20">
        <v>3.5000000000000003E-2</v>
      </c>
      <c r="D27" s="21"/>
      <c r="E27" s="21"/>
      <c r="F27" s="22">
        <f t="shared" si="0"/>
        <v>3.5000000000000003E-2</v>
      </c>
      <c r="G27" s="23" t="s">
        <v>105</v>
      </c>
      <c r="H27" s="24">
        <f t="shared" si="1"/>
        <v>2.6155555555555554</v>
      </c>
      <c r="I27" s="1"/>
    </row>
    <row r="28" spans="1:9" x14ac:dyDescent="0.35">
      <c r="A28" s="18" t="s">
        <v>85</v>
      </c>
      <c r="B28" s="19" t="s">
        <v>106</v>
      </c>
      <c r="C28" s="20">
        <v>7.4999999999999997E-2</v>
      </c>
      <c r="D28" s="21"/>
      <c r="E28" s="21"/>
      <c r="F28" s="22">
        <f t="shared" si="0"/>
        <v>7.4999999999999997E-2</v>
      </c>
      <c r="G28" s="23" t="s">
        <v>107</v>
      </c>
      <c r="H28" s="24">
        <f t="shared" si="1"/>
        <v>1.1233333333333333</v>
      </c>
      <c r="I28" s="1"/>
    </row>
    <row r="29" spans="1:9" x14ac:dyDescent="0.35">
      <c r="A29" s="30" t="s">
        <v>85</v>
      </c>
      <c r="B29" s="31" t="s">
        <v>108</v>
      </c>
      <c r="C29" s="20">
        <v>5.5E-2</v>
      </c>
      <c r="D29" s="32"/>
      <c r="E29" s="32"/>
      <c r="F29" s="33">
        <f t="shared" si="0"/>
        <v>5.5E-2</v>
      </c>
      <c r="G29" s="34" t="s">
        <v>109</v>
      </c>
      <c r="H29" s="24">
        <f t="shared" si="1"/>
        <v>1</v>
      </c>
      <c r="I29" s="1"/>
    </row>
    <row r="30" spans="1:9" x14ac:dyDescent="0.35">
      <c r="A30" s="30" t="s">
        <v>85</v>
      </c>
      <c r="B30" s="31" t="s">
        <v>110</v>
      </c>
      <c r="C30" s="20">
        <v>2.5000000000000001E-2</v>
      </c>
      <c r="D30" s="32"/>
      <c r="E30" s="32"/>
      <c r="F30" s="33">
        <f t="shared" si="0"/>
        <v>2.5000000000000001E-2</v>
      </c>
      <c r="G30" s="34" t="s">
        <v>111</v>
      </c>
      <c r="H30" s="24">
        <f t="shared" si="1"/>
        <v>3.0588888888888892</v>
      </c>
      <c r="I30" s="1"/>
    </row>
    <row r="31" spans="1:9" x14ac:dyDescent="0.35">
      <c r="A31" s="35" t="s">
        <v>85</v>
      </c>
      <c r="B31" s="36" t="s">
        <v>112</v>
      </c>
      <c r="C31" s="20">
        <v>5.0000000000000001E-3</v>
      </c>
      <c r="D31" s="37"/>
      <c r="E31" s="37" t="s">
        <v>83</v>
      </c>
      <c r="F31" s="38">
        <f t="shared" si="0"/>
        <v>5.0000000000000001E-3</v>
      </c>
      <c r="G31" s="39" t="s">
        <v>113</v>
      </c>
      <c r="H31" s="24">
        <f t="shared" si="1"/>
        <v>3.75</v>
      </c>
      <c r="I31" s="1"/>
    </row>
    <row r="32" spans="1:9" x14ac:dyDescent="0.35">
      <c r="A32" s="1"/>
      <c r="B32" s="1"/>
      <c r="C32" s="1"/>
      <c r="D32" s="1"/>
      <c r="E32" s="1"/>
      <c r="F32" s="1"/>
      <c r="G32" s="1"/>
      <c r="H32" s="1"/>
      <c r="I32" s="1"/>
    </row>
    <row r="33" spans="1:9" x14ac:dyDescent="0.35">
      <c r="A33" s="1"/>
      <c r="B33" s="40" t="s">
        <v>114</v>
      </c>
      <c r="C33" s="41">
        <f>SUM(C7:C31)</f>
        <v>1</v>
      </c>
      <c r="D33" s="1"/>
      <c r="E33" s="1"/>
      <c r="F33" s="41">
        <f>SUM(F7:F31)</f>
        <v>1</v>
      </c>
      <c r="G33" s="1"/>
      <c r="H33" s="1"/>
      <c r="I33" s="1"/>
    </row>
    <row r="34" spans="1:9" ht="20" customHeight="1" x14ac:dyDescent="0.35">
      <c r="A34" s="109" t="str">
        <f>IF(AND(ROUND(C33,6)=1,ROUND(F33,6)=1),"✓ BALANCED — input Σ = "&amp;TEXT(C33,"0.00%")&amp;"   ·   active Σ = "&amp;TEXT(F33,"0.00%"),"⚠ FORMULA DOES NOT SUM TO 100% — check the Input % column")</f>
        <v>✓ BALANCED — input Σ = 100.00%   ·   active Σ = 100.00%</v>
      </c>
      <c r="B34" s="89"/>
      <c r="C34" s="89"/>
      <c r="D34" s="89"/>
      <c r="E34" s="89"/>
      <c r="F34" s="89"/>
      <c r="G34" s="89"/>
      <c r="H34" s="89"/>
      <c r="I34" s="1"/>
    </row>
    <row r="35" spans="1:9" x14ac:dyDescent="0.35">
      <c r="A35" s="1"/>
      <c r="B35" s="1"/>
      <c r="C35" s="1"/>
      <c r="D35" s="1"/>
      <c r="E35" s="1"/>
      <c r="F35" s="1"/>
      <c r="G35" s="1"/>
      <c r="H35" s="1"/>
      <c r="I35" s="1"/>
    </row>
    <row r="36" spans="1:9" x14ac:dyDescent="0.35">
      <c r="A36" s="15" t="s">
        <v>115</v>
      </c>
      <c r="B36" s="35" t="s">
        <v>116</v>
      </c>
      <c r="C36" s="94" t="s">
        <v>117</v>
      </c>
      <c r="D36" s="89"/>
      <c r="E36" s="1"/>
      <c r="F36" s="1"/>
      <c r="G36" s="1"/>
      <c r="H36" s="1"/>
      <c r="I36" s="1"/>
    </row>
    <row r="37" spans="1:9" x14ac:dyDescent="0.35">
      <c r="A37" s="1"/>
      <c r="B37" s="30" t="s">
        <v>118</v>
      </c>
      <c r="C37" s="94" t="s">
        <v>119</v>
      </c>
      <c r="D37" s="89"/>
      <c r="E37" s="89"/>
      <c r="F37" s="89"/>
      <c r="G37" s="89"/>
      <c r="H37" s="1"/>
      <c r="I37" s="1"/>
    </row>
    <row r="38" spans="1:9" ht="24" customHeight="1" x14ac:dyDescent="0.35">
      <c r="A38" s="107" t="s">
        <v>120</v>
      </c>
      <c r="B38" s="89"/>
      <c r="C38" s="89"/>
      <c r="D38" s="89"/>
      <c r="E38" s="89"/>
      <c r="F38" s="89"/>
      <c r="G38" s="89"/>
      <c r="H38" s="89"/>
      <c r="I38" s="1"/>
    </row>
  </sheetData>
  <mergeCells count="7">
    <mergeCell ref="A4:B4"/>
    <mergeCell ref="A2:I2"/>
    <mergeCell ref="A38:H38"/>
    <mergeCell ref="A1:I1"/>
    <mergeCell ref="C36:D36"/>
    <mergeCell ref="C37:G37"/>
    <mergeCell ref="A34:H34"/>
  </mergeCells>
  <conditionalFormatting sqref="A34:H34">
    <cfRule type="expression" dxfId="10" priority="1" stopIfTrue="1">
      <formula>LEFT($A$34,1)="✓"</formula>
    </cfRule>
    <cfRule type="expression" dxfId="9" priority="2">
      <formula>LEFT($A$34,1)&lt;&gt;"✓"</formula>
    </cfRule>
  </conditionalFormatting>
  <dataValidations count="2">
    <dataValidation type="list" sqref="C4" xr:uid="{00000000-0002-0000-0200-000000000000}">
      <formula1>YesNoList</formula1>
    </dataValidation>
    <dataValidation type="decimal" error="Enter a fraction, e.g. 0.09 for 9%" sqref="C7:C31" xr:uid="{00000000-0002-0000-0200-000001000000}">
      <formula1>0</formula1>
      <formula2>1</formula2>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4A566"/>
    <pageSetUpPr fitToPage="1"/>
  </sheetPr>
  <dimension ref="A1:H76"/>
  <sheetViews>
    <sheetView showGridLines="0" workbookViewId="0">
      <pane ySplit="28" topLeftCell="A29" activePane="bottomLeft" state="frozen"/>
      <selection pane="bottomLeft"/>
    </sheetView>
  </sheetViews>
  <sheetFormatPr defaultRowHeight="14.5" x14ac:dyDescent="0.35"/>
  <cols>
    <col min="1" max="1" width="11" customWidth="1"/>
    <col min="2" max="2" width="14" customWidth="1"/>
    <col min="3" max="3" width="24" customWidth="1"/>
    <col min="4" max="5" width="12" customWidth="1"/>
    <col min="6" max="6" width="13" customWidth="1"/>
    <col min="7" max="7" width="11" customWidth="1"/>
    <col min="8" max="8" width="9" customWidth="1"/>
  </cols>
  <sheetData>
    <row r="1" spans="1:8" ht="28" customHeight="1" x14ac:dyDescent="0.35">
      <c r="A1" s="108" t="s">
        <v>121</v>
      </c>
      <c r="B1" s="89"/>
      <c r="C1" s="89"/>
      <c r="D1" s="89"/>
      <c r="E1" s="89"/>
      <c r="F1" s="89"/>
      <c r="G1" s="89"/>
      <c r="H1" s="89"/>
    </row>
    <row r="2" spans="1:8" x14ac:dyDescent="0.35">
      <c r="A2" s="105" t="s">
        <v>122</v>
      </c>
      <c r="B2" s="106"/>
      <c r="C2" s="106"/>
      <c r="D2" s="106"/>
      <c r="E2" s="106"/>
      <c r="F2" s="106"/>
      <c r="G2" s="106"/>
      <c r="H2" s="106"/>
    </row>
    <row r="3" spans="1:8" ht="18" customHeight="1" x14ac:dyDescent="0.35">
      <c r="A3" s="92" t="s">
        <v>123</v>
      </c>
      <c r="B3" s="93"/>
      <c r="C3" s="93"/>
      <c r="D3" s="93"/>
      <c r="E3" s="93"/>
      <c r="F3" s="93"/>
      <c r="G3" s="93"/>
      <c r="H3" s="93"/>
    </row>
    <row r="4" spans="1:8" x14ac:dyDescent="0.35">
      <c r="A4" s="104" t="s">
        <v>124</v>
      </c>
      <c r="B4" s="89"/>
      <c r="C4" s="16" t="s">
        <v>125</v>
      </c>
      <c r="D4" s="94" t="s">
        <v>126</v>
      </c>
      <c r="E4" s="89"/>
      <c r="F4" s="89"/>
      <c r="G4" s="89"/>
      <c r="H4" s="89"/>
    </row>
    <row r="5" spans="1:8" x14ac:dyDescent="0.35">
      <c r="A5" s="104" t="s">
        <v>127</v>
      </c>
      <c r="B5" s="89"/>
      <c r="C5" s="42">
        <v>50</v>
      </c>
      <c r="D5" s="94" t="s">
        <v>128</v>
      </c>
      <c r="E5" s="89"/>
      <c r="F5" s="89"/>
      <c r="G5" s="89"/>
      <c r="H5" s="89"/>
    </row>
    <row r="6" spans="1:8" x14ac:dyDescent="0.35">
      <c r="A6" s="104" t="s">
        <v>129</v>
      </c>
      <c r="B6" s="89"/>
      <c r="C6" s="16" t="s">
        <v>130</v>
      </c>
      <c r="D6" s="94" t="s">
        <v>131</v>
      </c>
      <c r="E6" s="89"/>
      <c r="F6" s="89"/>
      <c r="G6" s="89"/>
      <c r="H6" s="89"/>
    </row>
    <row r="7" spans="1:8" x14ac:dyDescent="0.35">
      <c r="A7" s="104" t="s">
        <v>132</v>
      </c>
      <c r="B7" s="89"/>
      <c r="C7" s="20">
        <v>0.28000000000000003</v>
      </c>
      <c r="D7" s="94" t="str">
        <f>"Suggested for this format: "&amp;TEXT(VLOOKUP(BatchFormat,FormatDefaults,2,FALSE),"0.0%")&amp;"   (range "&amp;TEXT(VLOOKUP(BatchFormat,FormatDefaults,3,FALSE),"0.0%")&amp;" – "&amp;TEXT(VLOOKUP(BatchFormat,FormatDefaults,4,FALSE),"0.0%")&amp;")"</f>
        <v>Suggested for this format: 28.0%   (range 20.0% – 35.0%)</v>
      </c>
      <c r="E7" s="89"/>
      <c r="F7" s="89"/>
      <c r="G7" s="89"/>
      <c r="H7" s="89"/>
    </row>
    <row r="8" spans="1:8" x14ac:dyDescent="0.35">
      <c r="A8" s="104" t="s">
        <v>133</v>
      </c>
      <c r="B8" s="89"/>
      <c r="C8" s="43">
        <v>0.85</v>
      </c>
      <c r="D8" s="94" t="str">
        <f>"Typical for this format: "&amp;TEXT(VLOOKUP(BatchFormat,FormatDefaults,5,FALSE),"0.00")&amp;" g/ml"</f>
        <v>Typical for this format: 0.85 g/ml</v>
      </c>
      <c r="E8" s="89"/>
      <c r="F8" s="89"/>
      <c r="G8" s="89"/>
      <c r="H8" s="89"/>
    </row>
    <row r="9" spans="1:8" x14ac:dyDescent="0.35">
      <c r="A9" s="104" t="s">
        <v>134</v>
      </c>
      <c r="B9" s="89"/>
      <c r="C9" s="44" t="str">
        <f>IncludeOptionals</f>
        <v>YES</v>
      </c>
      <c r="D9" s="94" t="s">
        <v>135</v>
      </c>
      <c r="E9" s="89"/>
      <c r="F9" s="89"/>
      <c r="G9" s="89"/>
      <c r="H9" s="89"/>
    </row>
    <row r="10" spans="1:8" x14ac:dyDescent="0.35">
      <c r="A10" s="1"/>
      <c r="B10" s="1"/>
      <c r="C10" s="1"/>
      <c r="D10" s="1"/>
      <c r="E10" s="1"/>
      <c r="F10" s="1"/>
      <c r="G10" s="1"/>
      <c r="H10" s="1"/>
    </row>
    <row r="11" spans="1:8" ht="18" customHeight="1" x14ac:dyDescent="0.35">
      <c r="A11" s="92" t="s">
        <v>136</v>
      </c>
      <c r="B11" s="93"/>
      <c r="C11" s="93"/>
      <c r="D11" s="93"/>
      <c r="E11" s="93"/>
      <c r="F11" s="93"/>
      <c r="G11" s="93"/>
      <c r="H11" s="93"/>
    </row>
    <row r="12" spans="1:8" x14ac:dyDescent="0.35">
      <c r="A12" s="90" t="s">
        <v>137</v>
      </c>
      <c r="B12" s="89"/>
      <c r="C12" s="20">
        <v>0</v>
      </c>
      <c r="D12" s="11" t="s">
        <v>138</v>
      </c>
      <c r="E12" s="121" t="s">
        <v>139</v>
      </c>
      <c r="F12" s="89"/>
      <c r="G12" s="89"/>
      <c r="H12" s="1"/>
    </row>
    <row r="13" spans="1:8" x14ac:dyDescent="0.35">
      <c r="A13" s="90" t="s">
        <v>140</v>
      </c>
      <c r="B13" s="89"/>
      <c r="C13" s="20">
        <v>0.02</v>
      </c>
      <c r="D13" s="11" t="s">
        <v>141</v>
      </c>
      <c r="E13" s="90" t="s">
        <v>142</v>
      </c>
      <c r="F13" s="89"/>
      <c r="G13" s="20">
        <v>0.03</v>
      </c>
      <c r="H13" s="1"/>
    </row>
    <row r="14" spans="1:8" x14ac:dyDescent="0.35">
      <c r="A14" s="90" t="s">
        <v>143</v>
      </c>
      <c r="B14" s="89"/>
      <c r="C14" s="20">
        <v>0.05</v>
      </c>
      <c r="D14" s="11" t="s">
        <v>144</v>
      </c>
      <c r="E14" s="90" t="s">
        <v>145</v>
      </c>
      <c r="F14" s="89"/>
      <c r="G14" s="20">
        <v>0.05</v>
      </c>
      <c r="H14" s="1"/>
    </row>
    <row r="15" spans="1:8" x14ac:dyDescent="0.35">
      <c r="A15" s="90" t="s">
        <v>146</v>
      </c>
      <c r="B15" s="89"/>
      <c r="C15" s="45">
        <v>4</v>
      </c>
      <c r="D15" s="11" t="s">
        <v>147</v>
      </c>
      <c r="E15" s="90" t="s">
        <v>148</v>
      </c>
      <c r="F15" s="89"/>
      <c r="G15" s="20">
        <v>0.02</v>
      </c>
      <c r="H15" s="1"/>
    </row>
    <row r="16" spans="1:8" x14ac:dyDescent="0.35">
      <c r="A16" s="90" t="s">
        <v>149</v>
      </c>
      <c r="B16" s="89"/>
      <c r="C16" s="20">
        <v>2.5000000000000001E-2</v>
      </c>
      <c r="D16" s="11" t="s">
        <v>150</v>
      </c>
      <c r="E16" s="90" t="s">
        <v>151</v>
      </c>
      <c r="F16" s="89"/>
      <c r="G16" s="20">
        <v>0.15</v>
      </c>
      <c r="H16" s="1"/>
    </row>
    <row r="17" spans="1:8" x14ac:dyDescent="0.35">
      <c r="A17" s="90" t="s">
        <v>152</v>
      </c>
      <c r="B17" s="89"/>
      <c r="C17" s="20">
        <v>8.0000000000000002E-3</v>
      </c>
      <c r="D17" s="11" t="s">
        <v>153</v>
      </c>
      <c r="E17" s="90" t="s">
        <v>154</v>
      </c>
      <c r="F17" s="89"/>
      <c r="G17" s="20">
        <v>0.05</v>
      </c>
      <c r="H17" s="1"/>
    </row>
    <row r="18" spans="1:8" x14ac:dyDescent="0.35">
      <c r="A18" s="90" t="s">
        <v>155</v>
      </c>
      <c r="B18" s="89"/>
      <c r="C18" s="20">
        <v>5.0000000000000001E-3</v>
      </c>
      <c r="D18" s="11" t="s">
        <v>156</v>
      </c>
      <c r="E18" s="90" t="s">
        <v>157</v>
      </c>
      <c r="F18" s="89"/>
      <c r="G18" s="20">
        <v>0.01</v>
      </c>
      <c r="H18" s="1"/>
    </row>
    <row r="19" spans="1:8" x14ac:dyDescent="0.35">
      <c r="A19" s="1"/>
      <c r="B19" s="1"/>
      <c r="C19" s="1"/>
      <c r="D19" s="1"/>
      <c r="E19" s="1"/>
      <c r="F19" s="1"/>
      <c r="G19" s="1"/>
      <c r="H19" s="1"/>
    </row>
    <row r="20" spans="1:8" ht="18" customHeight="1" x14ac:dyDescent="0.35">
      <c r="A20" s="92" t="s">
        <v>158</v>
      </c>
      <c r="B20" s="93"/>
      <c r="C20" s="93"/>
      <c r="D20" s="93"/>
      <c r="E20" s="93"/>
      <c r="F20" s="93"/>
      <c r="G20" s="93"/>
      <c r="H20" s="93"/>
    </row>
    <row r="21" spans="1:8" x14ac:dyDescent="0.35">
      <c r="A21" s="104" t="s">
        <v>159</v>
      </c>
      <c r="B21" s="89"/>
      <c r="C21" s="46">
        <f>IF(BatchUnit="g",BatchSize,BatchSize*FinishedDensity)</f>
        <v>42.5</v>
      </c>
      <c r="D21" s="94" t="s">
        <v>160</v>
      </c>
      <c r="E21" s="89"/>
      <c r="F21" s="89"/>
      <c r="G21" s="89"/>
      <c r="H21" s="89"/>
    </row>
    <row r="22" spans="1:8" x14ac:dyDescent="0.35">
      <c r="A22" s="104" t="s">
        <v>161</v>
      </c>
      <c r="B22" s="89"/>
      <c r="C22" s="46">
        <f>IF(BatchUnit="ml",BatchSize,BatchSize/FinishedDensity)</f>
        <v>50</v>
      </c>
      <c r="D22" s="94" t="s">
        <v>162</v>
      </c>
      <c r="E22" s="89"/>
      <c r="F22" s="89"/>
      <c r="G22" s="89"/>
      <c r="H22" s="89"/>
    </row>
    <row r="23" spans="1:8" x14ac:dyDescent="0.35">
      <c r="A23" s="104" t="s">
        <v>163</v>
      </c>
      <c r="B23" s="89"/>
      <c r="C23" s="46">
        <f>TotalMassG*ConcPct</f>
        <v>11.9</v>
      </c>
      <c r="D23" s="94" t="s">
        <v>164</v>
      </c>
      <c r="E23" s="89"/>
      <c r="F23" s="89"/>
      <c r="G23" s="89"/>
      <c r="H23" s="89"/>
    </row>
    <row r="24" spans="1:8" x14ac:dyDescent="0.35">
      <c r="A24" s="104" t="s">
        <v>165</v>
      </c>
      <c r="B24" s="89"/>
      <c r="C24" s="46">
        <f>ConcG*ConcCostPerGLoaded+SUMPRODUCT(AuxGrams,AuxCostPerG)</f>
        <v>41.564353833049331</v>
      </c>
      <c r="D24" s="94" t="s">
        <v>166</v>
      </c>
      <c r="E24" s="89"/>
      <c r="F24" s="89"/>
      <c r="G24" s="89"/>
      <c r="H24" s="89"/>
    </row>
    <row r="25" spans="1:8" x14ac:dyDescent="0.35">
      <c r="A25" s="104" t="s">
        <v>20</v>
      </c>
      <c r="B25" s="89"/>
      <c r="C25" s="46">
        <f>IF(BatchVolMl=0,"",BatchCostSAR/BatchVolMl)</f>
        <v>0.83128707666098667</v>
      </c>
      <c r="D25" s="94"/>
      <c r="E25" s="89"/>
      <c r="F25" s="89"/>
      <c r="G25" s="89"/>
      <c r="H25" s="89"/>
    </row>
    <row r="26" spans="1:8" x14ac:dyDescent="0.35">
      <c r="A26" s="1"/>
      <c r="B26" s="1"/>
      <c r="C26" s="1"/>
      <c r="D26" s="1"/>
      <c r="E26" s="1"/>
      <c r="F26" s="1"/>
      <c r="G26" s="1"/>
      <c r="H26" s="1"/>
    </row>
    <row r="27" spans="1:8" ht="18" customHeight="1" x14ac:dyDescent="0.35">
      <c r="A27" s="92" t="s">
        <v>167</v>
      </c>
      <c r="B27" s="93"/>
      <c r="C27" s="93"/>
      <c r="D27" s="93"/>
      <c r="E27" s="93"/>
      <c r="F27" s="93"/>
      <c r="G27" s="93"/>
      <c r="H27" s="93"/>
    </row>
    <row r="28" spans="1:8" ht="24" customHeight="1" x14ac:dyDescent="0.35">
      <c r="A28" s="17" t="s">
        <v>52</v>
      </c>
      <c r="B28" s="17" t="s">
        <v>53</v>
      </c>
      <c r="C28" s="17"/>
      <c r="D28" s="17" t="s">
        <v>168</v>
      </c>
      <c r="E28" s="17" t="s">
        <v>169</v>
      </c>
      <c r="F28" s="17" t="s">
        <v>170</v>
      </c>
      <c r="G28" s="17" t="s">
        <v>171</v>
      </c>
      <c r="H28" s="17" t="s">
        <v>172</v>
      </c>
    </row>
    <row r="29" spans="1:8" x14ac:dyDescent="0.35">
      <c r="A29" s="18" t="s">
        <v>85</v>
      </c>
      <c r="B29" s="112" t="s">
        <v>86</v>
      </c>
      <c r="C29" s="111"/>
      <c r="D29" s="22">
        <f t="shared" ref="D29:D53" si="0">INDEX(FM_Active,MATCH($B29,FM_Mat,0))</f>
        <v>6.5000000000000002E-2</v>
      </c>
      <c r="E29" s="10">
        <f t="shared" ref="E29:E53" si="1">ConcG*D29</f>
        <v>0.77350000000000008</v>
      </c>
      <c r="F29" s="18" t="str">
        <f t="shared" ref="F29:F53" si="2">IF(INDEX(FM_D10,MATCH($B29,FM_Mat,0))="D10","10% in DPG","neat")</f>
        <v>neat</v>
      </c>
      <c r="G29" s="47">
        <f t="shared" ref="G29:G53" si="3">E29*IF(INDEX(FM_D10,MATCH($B29,FM_Mat,0))="D10",0.1,1)</f>
        <v>0.77350000000000008</v>
      </c>
      <c r="H29" s="19"/>
    </row>
    <row r="30" spans="1:8" x14ac:dyDescent="0.35">
      <c r="A30" s="18" t="s">
        <v>85</v>
      </c>
      <c r="B30" s="112" t="s">
        <v>88</v>
      </c>
      <c r="C30" s="111"/>
      <c r="D30" s="22">
        <f t="shared" si="0"/>
        <v>2.5000000000000001E-2</v>
      </c>
      <c r="E30" s="10">
        <f t="shared" si="1"/>
        <v>0.29750000000000004</v>
      </c>
      <c r="F30" s="18" t="str">
        <f t="shared" si="2"/>
        <v>neat</v>
      </c>
      <c r="G30" s="47">
        <f t="shared" si="3"/>
        <v>0.29750000000000004</v>
      </c>
      <c r="H30" s="19"/>
    </row>
    <row r="31" spans="1:8" x14ac:dyDescent="0.35">
      <c r="A31" s="18" t="s">
        <v>85</v>
      </c>
      <c r="B31" s="112" t="s">
        <v>90</v>
      </c>
      <c r="C31" s="111"/>
      <c r="D31" s="22">
        <f t="shared" si="0"/>
        <v>0.02</v>
      </c>
      <c r="E31" s="10">
        <f t="shared" si="1"/>
        <v>0.23800000000000002</v>
      </c>
      <c r="F31" s="18" t="str">
        <f t="shared" si="2"/>
        <v>10% in DPG</v>
      </c>
      <c r="G31" s="47">
        <f t="shared" si="3"/>
        <v>2.3800000000000002E-2</v>
      </c>
      <c r="H31" s="19"/>
    </row>
    <row r="32" spans="1:8" x14ac:dyDescent="0.35">
      <c r="A32" s="18" t="s">
        <v>85</v>
      </c>
      <c r="B32" s="112" t="s">
        <v>92</v>
      </c>
      <c r="C32" s="111"/>
      <c r="D32" s="22">
        <f t="shared" si="0"/>
        <v>0.05</v>
      </c>
      <c r="E32" s="10">
        <f t="shared" si="1"/>
        <v>0.59500000000000008</v>
      </c>
      <c r="F32" s="18" t="str">
        <f t="shared" si="2"/>
        <v>neat</v>
      </c>
      <c r="G32" s="47">
        <f t="shared" si="3"/>
        <v>0.59500000000000008</v>
      </c>
      <c r="H32" s="19"/>
    </row>
    <row r="33" spans="1:8" x14ac:dyDescent="0.35">
      <c r="A33" s="18" t="s">
        <v>85</v>
      </c>
      <c r="B33" s="112" t="s">
        <v>94</v>
      </c>
      <c r="C33" s="111"/>
      <c r="D33" s="22">
        <f t="shared" si="0"/>
        <v>2.5000000000000001E-2</v>
      </c>
      <c r="E33" s="10">
        <f t="shared" si="1"/>
        <v>0.29750000000000004</v>
      </c>
      <c r="F33" s="18" t="str">
        <f t="shared" si="2"/>
        <v>neat</v>
      </c>
      <c r="G33" s="47">
        <f t="shared" si="3"/>
        <v>0.29750000000000004</v>
      </c>
      <c r="H33" s="19"/>
    </row>
    <row r="34" spans="1:8" x14ac:dyDescent="0.35">
      <c r="A34" s="18" t="s">
        <v>85</v>
      </c>
      <c r="B34" s="112" t="s">
        <v>96</v>
      </c>
      <c r="C34" s="111"/>
      <c r="D34" s="22">
        <f t="shared" si="0"/>
        <v>1.4999999999999999E-2</v>
      </c>
      <c r="E34" s="10">
        <f t="shared" si="1"/>
        <v>0.17849999999999999</v>
      </c>
      <c r="F34" s="18" t="str">
        <f t="shared" si="2"/>
        <v>10% in DPG</v>
      </c>
      <c r="G34" s="47">
        <f t="shared" si="3"/>
        <v>1.7850000000000001E-2</v>
      </c>
      <c r="H34" s="19"/>
    </row>
    <row r="35" spans="1:8" x14ac:dyDescent="0.35">
      <c r="A35" s="18" t="s">
        <v>85</v>
      </c>
      <c r="B35" s="112" t="s">
        <v>98</v>
      </c>
      <c r="C35" s="111"/>
      <c r="D35" s="22">
        <f t="shared" si="0"/>
        <v>7.4999999999999997E-2</v>
      </c>
      <c r="E35" s="10">
        <f t="shared" si="1"/>
        <v>0.89249999999999996</v>
      </c>
      <c r="F35" s="18" t="str">
        <f t="shared" si="2"/>
        <v>neat</v>
      </c>
      <c r="G35" s="47">
        <f t="shared" si="3"/>
        <v>0.89249999999999996</v>
      </c>
      <c r="H35" s="19"/>
    </row>
    <row r="36" spans="1:8" x14ac:dyDescent="0.35">
      <c r="A36" s="18" t="s">
        <v>85</v>
      </c>
      <c r="B36" s="112" t="s">
        <v>100</v>
      </c>
      <c r="C36" s="111"/>
      <c r="D36" s="22">
        <f t="shared" si="0"/>
        <v>9.5000000000000001E-2</v>
      </c>
      <c r="E36" s="10">
        <f t="shared" si="1"/>
        <v>1.1305000000000001</v>
      </c>
      <c r="F36" s="18" t="str">
        <f t="shared" si="2"/>
        <v>neat</v>
      </c>
      <c r="G36" s="47">
        <f t="shared" si="3"/>
        <v>1.1305000000000001</v>
      </c>
      <c r="H36" s="19"/>
    </row>
    <row r="37" spans="1:8" x14ac:dyDescent="0.35">
      <c r="A37" s="18" t="s">
        <v>85</v>
      </c>
      <c r="B37" s="112" t="s">
        <v>102</v>
      </c>
      <c r="C37" s="111"/>
      <c r="D37" s="22">
        <f t="shared" si="0"/>
        <v>0.03</v>
      </c>
      <c r="E37" s="10">
        <f t="shared" si="1"/>
        <v>0.35699999999999998</v>
      </c>
      <c r="F37" s="18" t="str">
        <f t="shared" si="2"/>
        <v>neat</v>
      </c>
      <c r="G37" s="47">
        <f t="shared" si="3"/>
        <v>0.35699999999999998</v>
      </c>
      <c r="H37" s="19"/>
    </row>
    <row r="38" spans="1:8" x14ac:dyDescent="0.35">
      <c r="A38" s="18" t="s">
        <v>85</v>
      </c>
      <c r="B38" s="112" t="s">
        <v>104</v>
      </c>
      <c r="C38" s="111"/>
      <c r="D38" s="22">
        <f t="shared" si="0"/>
        <v>3.5000000000000003E-2</v>
      </c>
      <c r="E38" s="10">
        <f t="shared" si="1"/>
        <v>0.41650000000000004</v>
      </c>
      <c r="F38" s="18" t="str">
        <f t="shared" si="2"/>
        <v>neat</v>
      </c>
      <c r="G38" s="47">
        <f t="shared" si="3"/>
        <v>0.41650000000000004</v>
      </c>
      <c r="H38" s="19"/>
    </row>
    <row r="39" spans="1:8" x14ac:dyDescent="0.35">
      <c r="A39" s="18" t="s">
        <v>85</v>
      </c>
      <c r="B39" s="112" t="s">
        <v>106</v>
      </c>
      <c r="C39" s="111"/>
      <c r="D39" s="22">
        <f t="shared" si="0"/>
        <v>7.4999999999999997E-2</v>
      </c>
      <c r="E39" s="10">
        <f t="shared" si="1"/>
        <v>0.89249999999999996</v>
      </c>
      <c r="F39" s="18" t="str">
        <f t="shared" si="2"/>
        <v>neat</v>
      </c>
      <c r="G39" s="47">
        <f t="shared" si="3"/>
        <v>0.89249999999999996</v>
      </c>
      <c r="H39" s="19"/>
    </row>
    <row r="40" spans="1:8" x14ac:dyDescent="0.35">
      <c r="A40" s="18" t="s">
        <v>85</v>
      </c>
      <c r="B40" s="112" t="s">
        <v>108</v>
      </c>
      <c r="C40" s="111"/>
      <c r="D40" s="22">
        <f t="shared" si="0"/>
        <v>5.5E-2</v>
      </c>
      <c r="E40" s="10">
        <f t="shared" si="1"/>
        <v>0.65449999999999997</v>
      </c>
      <c r="F40" s="18" t="str">
        <f t="shared" si="2"/>
        <v>neat</v>
      </c>
      <c r="G40" s="47">
        <f t="shared" si="3"/>
        <v>0.65449999999999997</v>
      </c>
      <c r="H40" s="19"/>
    </row>
    <row r="41" spans="1:8" x14ac:dyDescent="0.35">
      <c r="A41" s="18" t="s">
        <v>85</v>
      </c>
      <c r="B41" s="112" t="s">
        <v>110</v>
      </c>
      <c r="C41" s="111"/>
      <c r="D41" s="22">
        <f t="shared" si="0"/>
        <v>2.5000000000000001E-2</v>
      </c>
      <c r="E41" s="10">
        <f t="shared" si="1"/>
        <v>0.29750000000000004</v>
      </c>
      <c r="F41" s="18" t="str">
        <f t="shared" si="2"/>
        <v>neat</v>
      </c>
      <c r="G41" s="47">
        <f t="shared" si="3"/>
        <v>0.29750000000000004</v>
      </c>
      <c r="H41" s="19"/>
    </row>
    <row r="42" spans="1:8" x14ac:dyDescent="0.35">
      <c r="A42" s="18" t="s">
        <v>85</v>
      </c>
      <c r="B42" s="112" t="s">
        <v>112</v>
      </c>
      <c r="C42" s="111"/>
      <c r="D42" s="22">
        <f t="shared" si="0"/>
        <v>5.0000000000000001E-3</v>
      </c>
      <c r="E42" s="10">
        <f t="shared" si="1"/>
        <v>5.9500000000000004E-2</v>
      </c>
      <c r="F42" s="18" t="str">
        <f t="shared" si="2"/>
        <v>neat</v>
      </c>
      <c r="G42" s="47">
        <f t="shared" si="3"/>
        <v>5.9500000000000004E-2</v>
      </c>
      <c r="H42" s="19"/>
    </row>
    <row r="43" spans="1:8" x14ac:dyDescent="0.35">
      <c r="A43" s="25" t="s">
        <v>69</v>
      </c>
      <c r="B43" s="118" t="s">
        <v>70</v>
      </c>
      <c r="C43" s="111"/>
      <c r="D43" s="28">
        <f t="shared" si="0"/>
        <v>0.14699999999999999</v>
      </c>
      <c r="E43" s="48">
        <f t="shared" si="1"/>
        <v>1.7492999999999999</v>
      </c>
      <c r="F43" s="25" t="str">
        <f t="shared" si="2"/>
        <v>neat</v>
      </c>
      <c r="G43" s="49">
        <f t="shared" si="3"/>
        <v>1.7492999999999999</v>
      </c>
      <c r="H43" s="26"/>
    </row>
    <row r="44" spans="1:8" x14ac:dyDescent="0.35">
      <c r="A44" s="25" t="s">
        <v>69</v>
      </c>
      <c r="B44" s="118" t="s">
        <v>72</v>
      </c>
      <c r="C44" s="111"/>
      <c r="D44" s="28">
        <f t="shared" si="0"/>
        <v>0.03</v>
      </c>
      <c r="E44" s="48">
        <f t="shared" si="1"/>
        <v>0.35699999999999998</v>
      </c>
      <c r="F44" s="25" t="str">
        <f t="shared" si="2"/>
        <v>neat</v>
      </c>
      <c r="G44" s="49">
        <f t="shared" si="3"/>
        <v>0.35699999999999998</v>
      </c>
      <c r="H44" s="26"/>
    </row>
    <row r="45" spans="1:8" x14ac:dyDescent="0.35">
      <c r="A45" s="25" t="s">
        <v>69</v>
      </c>
      <c r="B45" s="118" t="s">
        <v>74</v>
      </c>
      <c r="C45" s="111"/>
      <c r="D45" s="28">
        <f t="shared" si="0"/>
        <v>1.4999999999999999E-2</v>
      </c>
      <c r="E45" s="48">
        <f t="shared" si="1"/>
        <v>0.17849999999999999</v>
      </c>
      <c r="F45" s="25" t="str">
        <f t="shared" si="2"/>
        <v>neat</v>
      </c>
      <c r="G45" s="49">
        <f t="shared" si="3"/>
        <v>0.17849999999999999</v>
      </c>
      <c r="H45" s="26"/>
    </row>
    <row r="46" spans="1:8" x14ac:dyDescent="0.35">
      <c r="A46" s="25" t="s">
        <v>69</v>
      </c>
      <c r="B46" s="118" t="s">
        <v>76</v>
      </c>
      <c r="C46" s="111"/>
      <c r="D46" s="28">
        <f t="shared" si="0"/>
        <v>0.04</v>
      </c>
      <c r="E46" s="48">
        <f t="shared" si="1"/>
        <v>0.47600000000000003</v>
      </c>
      <c r="F46" s="25" t="str">
        <f t="shared" si="2"/>
        <v>neat</v>
      </c>
      <c r="G46" s="49">
        <f t="shared" si="3"/>
        <v>0.47600000000000003</v>
      </c>
      <c r="H46" s="26"/>
    </row>
    <row r="47" spans="1:8" x14ac:dyDescent="0.35">
      <c r="A47" s="25" t="s">
        <v>69</v>
      </c>
      <c r="B47" s="118" t="s">
        <v>78</v>
      </c>
      <c r="C47" s="111"/>
      <c r="D47" s="28">
        <f t="shared" si="0"/>
        <v>7.0000000000000007E-2</v>
      </c>
      <c r="E47" s="48">
        <f t="shared" si="1"/>
        <v>0.83300000000000007</v>
      </c>
      <c r="F47" s="25" t="str">
        <f t="shared" si="2"/>
        <v>neat</v>
      </c>
      <c r="G47" s="49">
        <f t="shared" si="3"/>
        <v>0.83300000000000007</v>
      </c>
      <c r="H47" s="26"/>
    </row>
    <row r="48" spans="1:8" x14ac:dyDescent="0.35">
      <c r="A48" s="25" t="s">
        <v>69</v>
      </c>
      <c r="B48" s="118" t="s">
        <v>80</v>
      </c>
      <c r="C48" s="111"/>
      <c r="D48" s="28">
        <f t="shared" si="0"/>
        <v>1.4999999999999999E-2</v>
      </c>
      <c r="E48" s="48">
        <f t="shared" si="1"/>
        <v>0.17849999999999999</v>
      </c>
      <c r="F48" s="25" t="str">
        <f t="shared" si="2"/>
        <v>neat</v>
      </c>
      <c r="G48" s="49">
        <f t="shared" si="3"/>
        <v>0.17849999999999999</v>
      </c>
      <c r="H48" s="26"/>
    </row>
    <row r="49" spans="1:8" x14ac:dyDescent="0.35">
      <c r="A49" s="25" t="s">
        <v>69</v>
      </c>
      <c r="B49" s="118" t="s">
        <v>82</v>
      </c>
      <c r="C49" s="111"/>
      <c r="D49" s="28">
        <f t="shared" si="0"/>
        <v>3.0000000000000001E-3</v>
      </c>
      <c r="E49" s="48">
        <f t="shared" si="1"/>
        <v>3.5700000000000003E-2</v>
      </c>
      <c r="F49" s="25" t="str">
        <f t="shared" si="2"/>
        <v>10% in DPG</v>
      </c>
      <c r="G49" s="49">
        <f t="shared" si="3"/>
        <v>3.5700000000000003E-3</v>
      </c>
      <c r="H49" s="26"/>
    </row>
    <row r="50" spans="1:8" x14ac:dyDescent="0.35">
      <c r="A50" s="18" t="s">
        <v>60</v>
      </c>
      <c r="B50" s="112" t="s">
        <v>61</v>
      </c>
      <c r="C50" s="111"/>
      <c r="D50" s="22">
        <f t="shared" si="0"/>
        <v>4.4999999999999998E-2</v>
      </c>
      <c r="E50" s="10">
        <f t="shared" si="1"/>
        <v>0.53549999999999998</v>
      </c>
      <c r="F50" s="18" t="str">
        <f t="shared" si="2"/>
        <v>neat</v>
      </c>
      <c r="G50" s="47">
        <f t="shared" si="3"/>
        <v>0.53549999999999998</v>
      </c>
      <c r="H50" s="19"/>
    </row>
    <row r="51" spans="1:8" x14ac:dyDescent="0.35">
      <c r="A51" s="18" t="s">
        <v>60</v>
      </c>
      <c r="B51" s="112" t="s">
        <v>63</v>
      </c>
      <c r="C51" s="111"/>
      <c r="D51" s="22">
        <f t="shared" si="0"/>
        <v>0.01</v>
      </c>
      <c r="E51" s="10">
        <f t="shared" si="1"/>
        <v>0.11900000000000001</v>
      </c>
      <c r="F51" s="18" t="str">
        <f t="shared" si="2"/>
        <v>10% in DPG</v>
      </c>
      <c r="G51" s="47">
        <f t="shared" si="3"/>
        <v>1.1900000000000001E-2</v>
      </c>
      <c r="H51" s="19"/>
    </row>
    <row r="52" spans="1:8" x14ac:dyDescent="0.35">
      <c r="A52" s="18" t="s">
        <v>60</v>
      </c>
      <c r="B52" s="112" t="s">
        <v>65</v>
      </c>
      <c r="C52" s="111"/>
      <c r="D52" s="22">
        <f t="shared" si="0"/>
        <v>0.02</v>
      </c>
      <c r="E52" s="10">
        <f t="shared" si="1"/>
        <v>0.23800000000000002</v>
      </c>
      <c r="F52" s="18" t="str">
        <f t="shared" si="2"/>
        <v>neat</v>
      </c>
      <c r="G52" s="47">
        <f t="shared" si="3"/>
        <v>0.23800000000000002</v>
      </c>
      <c r="H52" s="19"/>
    </row>
    <row r="53" spans="1:8" x14ac:dyDescent="0.35">
      <c r="A53" s="18" t="s">
        <v>60</v>
      </c>
      <c r="B53" s="112" t="s">
        <v>67</v>
      </c>
      <c r="C53" s="111"/>
      <c r="D53" s="22">
        <f t="shared" si="0"/>
        <v>0.01</v>
      </c>
      <c r="E53" s="10">
        <f t="shared" si="1"/>
        <v>0.11900000000000001</v>
      </c>
      <c r="F53" s="18" t="str">
        <f t="shared" si="2"/>
        <v>neat</v>
      </c>
      <c r="G53" s="47">
        <f t="shared" si="3"/>
        <v>0.11900000000000001</v>
      </c>
      <c r="H53" s="19"/>
    </row>
    <row r="54" spans="1:8" x14ac:dyDescent="0.35">
      <c r="A54" s="117" t="s">
        <v>173</v>
      </c>
      <c r="B54" s="89"/>
      <c r="C54" s="89"/>
      <c r="D54" s="89"/>
      <c r="E54" s="50">
        <f>SUM(E29:E53)</f>
        <v>11.9</v>
      </c>
      <c r="F54" s="51" t="str">
        <f>IF(ABS(E54-ConcG)&lt;0.005,"✓","⚠")</f>
        <v>✓</v>
      </c>
      <c r="G54" s="52">
        <f>SUM(G29:G53)</f>
        <v>11.38592</v>
      </c>
      <c r="H54" s="1"/>
    </row>
    <row r="55" spans="1:8" x14ac:dyDescent="0.35">
      <c r="A55" s="1"/>
      <c r="B55" s="1"/>
      <c r="C55" s="1"/>
      <c r="D55" s="1"/>
      <c r="E55" s="1"/>
      <c r="F55" s="1"/>
      <c r="G55" s="1"/>
      <c r="H55" s="1"/>
    </row>
    <row r="56" spans="1:8" ht="18" customHeight="1" x14ac:dyDescent="0.35">
      <c r="A56" s="92" t="s">
        <v>174</v>
      </c>
      <c r="B56" s="93"/>
      <c r="C56" s="93"/>
      <c r="D56" s="93"/>
      <c r="E56" s="93"/>
      <c r="F56" s="93"/>
      <c r="G56" s="93"/>
      <c r="H56" s="93"/>
    </row>
    <row r="57" spans="1:8" ht="24" customHeight="1" x14ac:dyDescent="0.35">
      <c r="A57" s="113" t="s">
        <v>175</v>
      </c>
      <c r="B57" s="114"/>
      <c r="C57" s="115"/>
      <c r="D57" s="17" t="s">
        <v>176</v>
      </c>
      <c r="E57" s="113" t="s">
        <v>177</v>
      </c>
      <c r="F57" s="114"/>
      <c r="G57" s="114"/>
      <c r="H57" s="115"/>
    </row>
    <row r="58" spans="1:8" x14ac:dyDescent="0.35">
      <c r="A58" s="116" t="s">
        <v>178</v>
      </c>
      <c r="B58" s="111"/>
      <c r="C58" s="111"/>
      <c r="D58" s="10">
        <f>IF(OR(BatchFormat="Eau de Parfum",BatchFormat="Extrait de Parfum"),TotalMassG-ConcG-TotalMassG*WaterPct,IF(BatchFormat="Alcohol Body Mist",TotalMassG-ConcG-TotalMassG*MistGlyPct-TotalMassG*MistWaterPct,0))</f>
        <v>30.6</v>
      </c>
      <c r="E58" s="110" t="s">
        <v>179</v>
      </c>
      <c r="F58" s="111"/>
      <c r="G58" s="111"/>
      <c r="H58" s="111"/>
    </row>
    <row r="59" spans="1:8" x14ac:dyDescent="0.35">
      <c r="A59" s="116" t="s">
        <v>180</v>
      </c>
      <c r="B59" s="111"/>
      <c r="C59" s="111"/>
      <c r="D59" s="10">
        <f>IF(OR(BatchFormat="Eau de Parfum",BatchFormat="Extrait de Parfum"),TotalMassG*WaterPct,IF(BatchFormat="Alcohol Body Mist",TotalMassG*MistWaterPct,IF(BatchFormat="Water-Based Mist",TotalMassG-ConcG-ConcG*SolubRatio-TotalMassG*WMGlyPct-TotalMassG*WMPresPct,IF(BatchFormat="Cream Route 2 (from scratch)",TotalMassG-ConcG-TotalMassG*(CR2GlyPct+CR2EwaxPct+CR2CetPct+CR2OilPct+CR2ButterPct+CR2PresPct+VitEPct),0))))</f>
        <v>0</v>
      </c>
      <c r="E59" s="110" t="s">
        <v>181</v>
      </c>
      <c r="F59" s="111"/>
      <c r="G59" s="111"/>
      <c r="H59" s="111"/>
    </row>
    <row r="60" spans="1:8" x14ac:dyDescent="0.35">
      <c r="A60" s="116" t="s">
        <v>182</v>
      </c>
      <c r="B60" s="111"/>
      <c r="C60" s="111"/>
      <c r="D60" s="10">
        <f>IF(BatchFormat="Alcohol Body Mist",TotalMassG*MistGlyPct,IF(BatchFormat="Water-Based Mist",TotalMassG*WMGlyPct,IF(BatchFormat="Cream Route 2 (from scratch)",TotalMassG*CR2GlyPct,0)))</f>
        <v>0</v>
      </c>
      <c r="E60" s="110" t="s">
        <v>183</v>
      </c>
      <c r="F60" s="111"/>
      <c r="G60" s="111"/>
      <c r="H60" s="111"/>
    </row>
    <row r="61" spans="1:8" x14ac:dyDescent="0.35">
      <c r="A61" s="116" t="s">
        <v>184</v>
      </c>
      <c r="B61" s="111"/>
      <c r="C61" s="111"/>
      <c r="D61" s="10">
        <f>IF(BatchFormat="Water-Based Mist",ConcG*SolubRatio,0)</f>
        <v>0</v>
      </c>
      <c r="E61" s="110" t="s">
        <v>185</v>
      </c>
      <c r="F61" s="111"/>
      <c r="G61" s="111"/>
      <c r="H61" s="111"/>
    </row>
    <row r="62" spans="1:8" x14ac:dyDescent="0.35">
      <c r="A62" s="116" t="s">
        <v>186</v>
      </c>
      <c r="B62" s="111"/>
      <c r="C62" s="111"/>
      <c r="D62" s="10">
        <f>IF(BatchFormat="Water-Based Mist",TotalMassG*WMPresPct,IF(BatchFormat="Cream Route 2 (from scratch)",TotalMassG*CR2PresPct,0))</f>
        <v>0</v>
      </c>
      <c r="E62" s="110" t="s">
        <v>187</v>
      </c>
      <c r="F62" s="111"/>
      <c r="G62" s="111"/>
      <c r="H62" s="111"/>
    </row>
    <row r="63" spans="1:8" x14ac:dyDescent="0.35">
      <c r="A63" s="116" t="s">
        <v>188</v>
      </c>
      <c r="B63" s="111"/>
      <c r="C63" s="111"/>
      <c r="D63" s="10">
        <f>IF(BatchFormat="Cream Route 1 (scented base)",TotalMassG-ConcG,0)</f>
        <v>0</v>
      </c>
      <c r="E63" s="110" t="s">
        <v>189</v>
      </c>
      <c r="F63" s="111"/>
      <c r="G63" s="111"/>
      <c r="H63" s="111"/>
    </row>
    <row r="64" spans="1:8" x14ac:dyDescent="0.35">
      <c r="A64" s="116" t="s">
        <v>145</v>
      </c>
      <c r="B64" s="111"/>
      <c r="C64" s="111"/>
      <c r="D64" s="10">
        <f>IF(BatchFormat="Cream Route 2 (from scratch)",TotalMassG*CR2EwaxPct,0)</f>
        <v>0</v>
      </c>
      <c r="E64" s="110" t="s">
        <v>190</v>
      </c>
      <c r="F64" s="111"/>
      <c r="G64" s="111"/>
      <c r="H64" s="111"/>
    </row>
    <row r="65" spans="1:8" x14ac:dyDescent="0.35">
      <c r="A65" s="116" t="s">
        <v>148</v>
      </c>
      <c r="B65" s="111"/>
      <c r="C65" s="111"/>
      <c r="D65" s="10">
        <f>IF(BatchFormat="Cream Route 2 (from scratch)",TotalMassG*CR2CetPct,0)</f>
        <v>0</v>
      </c>
      <c r="E65" s="110" t="s">
        <v>191</v>
      </c>
      <c r="F65" s="111"/>
      <c r="G65" s="111"/>
      <c r="H65" s="111"/>
    </row>
    <row r="66" spans="1:8" x14ac:dyDescent="0.35">
      <c r="A66" s="116" t="s">
        <v>151</v>
      </c>
      <c r="B66" s="111"/>
      <c r="C66" s="111"/>
      <c r="D66" s="10">
        <f>IF(BatchFormat="Cream Route 2 (from scratch)",TotalMassG*CR2OilPct,0)</f>
        <v>0</v>
      </c>
      <c r="E66" s="110" t="s">
        <v>191</v>
      </c>
      <c r="F66" s="111"/>
      <c r="G66" s="111"/>
      <c r="H66" s="111"/>
    </row>
    <row r="67" spans="1:8" x14ac:dyDescent="0.35">
      <c r="A67" s="116" t="s">
        <v>154</v>
      </c>
      <c r="B67" s="111"/>
      <c r="C67" s="111"/>
      <c r="D67" s="10">
        <f>IF(BatchFormat="Cream Route 2 (from scratch)",TotalMassG*CR2ButterPct,0)</f>
        <v>0</v>
      </c>
      <c r="E67" s="110" t="s">
        <v>191</v>
      </c>
      <c r="F67" s="111"/>
      <c r="G67" s="111"/>
      <c r="H67" s="111"/>
    </row>
    <row r="68" spans="1:8" x14ac:dyDescent="0.35">
      <c r="A68" s="116" t="s">
        <v>192</v>
      </c>
      <c r="B68" s="111"/>
      <c r="C68" s="111"/>
      <c r="D68" s="10">
        <f>IF(BatchFormat="Cream Route 2 (from scratch)",TotalMassG*VitEPct,0)</f>
        <v>0</v>
      </c>
      <c r="E68" s="110" t="s">
        <v>193</v>
      </c>
      <c r="F68" s="111"/>
      <c r="G68" s="111"/>
      <c r="H68" s="111"/>
    </row>
    <row r="69" spans="1:8" x14ac:dyDescent="0.35">
      <c r="A69" s="117" t="s">
        <v>194</v>
      </c>
      <c r="B69" s="89"/>
      <c r="C69" s="89"/>
      <c r="D69" s="50">
        <f>ConcG+SUM(D58:D68)</f>
        <v>42.5</v>
      </c>
      <c r="E69" s="104" t="str">
        <f>IF(ABS(D69-TotalMassG)&lt;0.005,"✓ equals batch mass","⚠ mismatch — check inputs")</f>
        <v>✓ equals batch mass</v>
      </c>
      <c r="F69" s="89"/>
      <c r="G69" s="89"/>
      <c r="H69" s="89"/>
    </row>
    <row r="70" spans="1:8" x14ac:dyDescent="0.35">
      <c r="A70" s="1"/>
      <c r="B70" s="1"/>
      <c r="C70" s="1"/>
      <c r="D70" s="1"/>
      <c r="E70" s="1"/>
      <c r="F70" s="1"/>
      <c r="G70" s="1"/>
      <c r="H70" s="1"/>
    </row>
    <row r="71" spans="1:8" x14ac:dyDescent="0.35">
      <c r="A71" s="55" t="s">
        <v>195</v>
      </c>
      <c r="B71" s="56"/>
      <c r="C71" s="55" t="s">
        <v>196</v>
      </c>
      <c r="D71" s="56"/>
      <c r="E71" s="55" t="s">
        <v>197</v>
      </c>
      <c r="F71" s="56"/>
      <c r="G71" s="55" t="s">
        <v>198</v>
      </c>
      <c r="H71" s="56"/>
    </row>
    <row r="72" spans="1:8" x14ac:dyDescent="0.35">
      <c r="A72" s="1"/>
      <c r="B72" s="1"/>
      <c r="C72" s="1"/>
      <c r="D72" s="1"/>
      <c r="E72" s="1"/>
      <c r="F72" s="1"/>
      <c r="G72" s="1"/>
      <c r="H72" s="1"/>
    </row>
    <row r="73" spans="1:8" ht="18" customHeight="1" x14ac:dyDescent="0.35">
      <c r="A73" s="119" t="s">
        <v>199</v>
      </c>
      <c r="B73" s="120"/>
      <c r="C73" s="120"/>
      <c r="D73" s="120"/>
      <c r="E73" s="120"/>
      <c r="F73" s="120"/>
      <c r="G73" s="120"/>
      <c r="H73" s="120"/>
    </row>
    <row r="74" spans="1:8" x14ac:dyDescent="0.35">
      <c r="A74" s="90" t="s">
        <v>200</v>
      </c>
      <c r="B74" s="89"/>
      <c r="C74" s="89"/>
      <c r="D74" s="57">
        <f>50*0.85</f>
        <v>42.5</v>
      </c>
      <c r="E74" s="94" t="s">
        <v>201</v>
      </c>
      <c r="F74" s="89"/>
      <c r="G74" s="89"/>
      <c r="H74" s="89"/>
    </row>
    <row r="75" spans="1:8" x14ac:dyDescent="0.35">
      <c r="A75" s="90" t="s">
        <v>202</v>
      </c>
      <c r="B75" s="89"/>
      <c r="C75" s="89"/>
      <c r="D75" s="57">
        <f>50*0.85*0.28</f>
        <v>11.9</v>
      </c>
      <c r="E75" s="94" t="s">
        <v>203</v>
      </c>
      <c r="F75" s="89"/>
      <c r="G75" s="89"/>
      <c r="H75" s="89"/>
    </row>
    <row r="76" spans="1:8" x14ac:dyDescent="0.35">
      <c r="A76" s="90" t="s">
        <v>204</v>
      </c>
      <c r="B76" s="89"/>
      <c r="C76" s="89"/>
      <c r="D76" s="57">
        <f>50*0.85-50*0.85*0.28</f>
        <v>30.6</v>
      </c>
      <c r="E76" s="94" t="s">
        <v>205</v>
      </c>
      <c r="F76" s="89"/>
      <c r="G76" s="89"/>
      <c r="H76" s="89"/>
    </row>
  </sheetData>
  <mergeCells count="102">
    <mergeCell ref="A1:H1"/>
    <mergeCell ref="E17:F17"/>
    <mergeCell ref="D22:H22"/>
    <mergeCell ref="A6:B6"/>
    <mergeCell ref="B39:C39"/>
    <mergeCell ref="A76:C76"/>
    <mergeCell ref="A16:B16"/>
    <mergeCell ref="D6:H6"/>
    <mergeCell ref="B48:C48"/>
    <mergeCell ref="A25:B25"/>
    <mergeCell ref="E58:H58"/>
    <mergeCell ref="A18:B18"/>
    <mergeCell ref="A68:C68"/>
    <mergeCell ref="D4:H4"/>
    <mergeCell ref="E60:H60"/>
    <mergeCell ref="E69:H69"/>
    <mergeCell ref="D24:H24"/>
    <mergeCell ref="A13:B13"/>
    <mergeCell ref="B36:C36"/>
    <mergeCell ref="E59:H59"/>
    <mergeCell ref="B50:C50"/>
    <mergeCell ref="A65:C65"/>
    <mergeCell ref="E76:H76"/>
    <mergeCell ref="B43:C43"/>
    <mergeCell ref="E66:H66"/>
    <mergeCell ref="B52:C52"/>
    <mergeCell ref="D21:H21"/>
    <mergeCell ref="B42:C42"/>
    <mergeCell ref="A62:C62"/>
    <mergeCell ref="E13:F13"/>
    <mergeCell ref="E68:H68"/>
    <mergeCell ref="A56:H56"/>
    <mergeCell ref="A21:B21"/>
    <mergeCell ref="B44:C44"/>
    <mergeCell ref="E15:F15"/>
    <mergeCell ref="B34:C34"/>
    <mergeCell ref="A14:B14"/>
    <mergeCell ref="A23:B23"/>
    <mergeCell ref="A59:C59"/>
    <mergeCell ref="A64:C64"/>
    <mergeCell ref="B30:C30"/>
    <mergeCell ref="A61:C61"/>
    <mergeCell ref="B45:C45"/>
    <mergeCell ref="A24:B24"/>
    <mergeCell ref="B47:C47"/>
    <mergeCell ref="E57:H57"/>
    <mergeCell ref="A75:C75"/>
    <mergeCell ref="A73:H73"/>
    <mergeCell ref="E14:F14"/>
    <mergeCell ref="E75:H75"/>
    <mergeCell ref="A27:H27"/>
    <mergeCell ref="E67:H67"/>
    <mergeCell ref="B53:C53"/>
    <mergeCell ref="B29:C29"/>
    <mergeCell ref="A2:H2"/>
    <mergeCell ref="B37:C37"/>
    <mergeCell ref="A58:C58"/>
    <mergeCell ref="A67:C67"/>
    <mergeCell ref="A8:B8"/>
    <mergeCell ref="A60:C60"/>
    <mergeCell ref="D25:H25"/>
    <mergeCell ref="E16:F16"/>
    <mergeCell ref="A20:H20"/>
    <mergeCell ref="D5:H5"/>
    <mergeCell ref="E18:F18"/>
    <mergeCell ref="A12:B12"/>
    <mergeCell ref="D7:H7"/>
    <mergeCell ref="A5:B5"/>
    <mergeCell ref="E12:G12"/>
    <mergeCell ref="A4:B4"/>
    <mergeCell ref="E65:H65"/>
    <mergeCell ref="B51:C51"/>
    <mergeCell ref="E74:H74"/>
    <mergeCell ref="D23:H23"/>
    <mergeCell ref="B32:C32"/>
    <mergeCell ref="A69:C69"/>
    <mergeCell ref="B41:C41"/>
    <mergeCell ref="A9:B9"/>
    <mergeCell ref="B35:C35"/>
    <mergeCell ref="A66:C66"/>
    <mergeCell ref="A74:C74"/>
    <mergeCell ref="B46:C46"/>
    <mergeCell ref="A11:H11"/>
    <mergeCell ref="E64:H64"/>
    <mergeCell ref="A54:D54"/>
    <mergeCell ref="A17:B17"/>
    <mergeCell ref="B40:C40"/>
    <mergeCell ref="E63:H63"/>
    <mergeCell ref="B49:C49"/>
    <mergeCell ref="A22:B22"/>
    <mergeCell ref="D9:H9"/>
    <mergeCell ref="B33:C33"/>
    <mergeCell ref="A15:B15"/>
    <mergeCell ref="E61:H61"/>
    <mergeCell ref="B31:C31"/>
    <mergeCell ref="A57:C57"/>
    <mergeCell ref="A7:B7"/>
    <mergeCell ref="E62:H62"/>
    <mergeCell ref="A3:H3"/>
    <mergeCell ref="B38:C38"/>
    <mergeCell ref="A63:C63"/>
    <mergeCell ref="D8:H8"/>
  </mergeCells>
  <dataValidations count="7">
    <dataValidation type="list" sqref="C4" xr:uid="{00000000-0002-0000-0300-000000000000}">
      <formula1>FormatList</formula1>
    </dataValidation>
    <dataValidation type="list" sqref="C6" xr:uid="{00000000-0002-0000-0300-000001000000}">
      <formula1>UnitList</formula1>
    </dataValidation>
    <dataValidation type="decimal" sqref="C5" xr:uid="{00000000-0002-0000-0300-000002000000}">
      <formula1>1</formula1>
      <formula2>100000</formula2>
    </dataValidation>
    <dataValidation type="decimal" error="Enter a fraction between 0.5% and 35%, e.g. 0.20" sqref="C7" xr:uid="{00000000-0002-0000-0300-000003000000}">
      <formula1>0.005</formula1>
      <formula2>0.35</formula2>
    </dataValidation>
    <dataValidation type="decimal" sqref="C8" xr:uid="{00000000-0002-0000-0300-000004000000}">
      <formula1>0.5</formula1>
      <formula2>1.2</formula2>
    </dataValidation>
    <dataValidation type="decimal" sqref="C12:C14 C16:C18 G13:G18" xr:uid="{00000000-0002-0000-0300-000005000000}">
      <formula1>0</formula1>
      <formula2>0.2</formula2>
    </dataValidation>
    <dataValidation type="decimal" sqref="C15" xr:uid="{00000000-0002-0000-0300-000006000000}">
      <formula1>3</formula1>
      <formula2>6</formula2>
    </dataValidation>
  </dataValidations>
  <pageMargins left="0.75" right="0.75" top="1" bottom="1" header="0.5" footer="0.5"/>
  <pageSetup paperSize="9" orientation="portrait"/>
  <headerFooter>
    <oddFooter>&amp;C&amp;8 SAMR — Batch Sheet</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B3531"/>
  </sheetPr>
  <dimension ref="A1:H14"/>
  <sheetViews>
    <sheetView showGridLines="0" workbookViewId="0">
      <pane ySplit="4" topLeftCell="A5" activePane="bottomLeft" state="frozen"/>
      <selection pane="bottomLeft"/>
    </sheetView>
  </sheetViews>
  <sheetFormatPr defaultRowHeight="14.5" x14ac:dyDescent="0.35"/>
  <cols>
    <col min="1" max="1" width="26" customWidth="1"/>
    <col min="2" max="2" width="10" customWidth="1"/>
    <col min="3" max="3" width="11" customWidth="1"/>
    <col min="4" max="5" width="10" customWidth="1"/>
    <col min="6" max="7" width="12" customWidth="1"/>
    <col min="8" max="8" width="40" customWidth="1"/>
  </cols>
  <sheetData>
    <row r="1" spans="1:8" ht="28" customHeight="1" x14ac:dyDescent="0.35">
      <c r="A1" s="108" t="s">
        <v>206</v>
      </c>
      <c r="B1" s="89"/>
      <c r="C1" s="89"/>
      <c r="D1" s="89"/>
      <c r="E1" s="89"/>
      <c r="F1" s="89"/>
      <c r="G1" s="89"/>
      <c r="H1" s="89"/>
    </row>
    <row r="2" spans="1:8" x14ac:dyDescent="0.35">
      <c r="A2" s="105" t="s">
        <v>207</v>
      </c>
      <c r="B2" s="106"/>
      <c r="C2" s="106"/>
      <c r="D2" s="106"/>
      <c r="E2" s="106"/>
      <c r="F2" s="106"/>
      <c r="G2" s="106"/>
      <c r="H2" s="106"/>
    </row>
    <row r="3" spans="1:8" x14ac:dyDescent="0.35">
      <c r="A3" s="1"/>
      <c r="B3" s="1"/>
      <c r="C3" s="1"/>
      <c r="D3" s="1"/>
      <c r="E3" s="1"/>
      <c r="F3" s="1"/>
      <c r="G3" s="1"/>
      <c r="H3" s="1"/>
    </row>
    <row r="4" spans="1:8" ht="24" customHeight="1" x14ac:dyDescent="0.35">
      <c r="A4" s="17" t="s">
        <v>53</v>
      </c>
      <c r="B4" s="17" t="s">
        <v>208</v>
      </c>
      <c r="C4" s="17" t="s">
        <v>209</v>
      </c>
      <c r="D4" s="17" t="s">
        <v>171</v>
      </c>
      <c r="E4" s="17" t="s">
        <v>210</v>
      </c>
      <c r="F4" s="17" t="s">
        <v>211</v>
      </c>
      <c r="G4" s="17" t="s">
        <v>212</v>
      </c>
      <c r="H4" s="17" t="s">
        <v>213</v>
      </c>
    </row>
    <row r="5" spans="1:8" x14ac:dyDescent="0.35">
      <c r="A5" s="53" t="s">
        <v>63</v>
      </c>
      <c r="B5" s="20">
        <v>0.1</v>
      </c>
      <c r="C5" s="42">
        <v>10</v>
      </c>
      <c r="D5" s="57">
        <f>C5*B5</f>
        <v>1</v>
      </c>
      <c r="E5" s="57">
        <f>C5-D5</f>
        <v>9</v>
      </c>
      <c r="F5" s="58"/>
      <c r="G5" s="24"/>
      <c r="H5" s="54" t="str">
        <f>"SAMR · "&amp;A5&amp;" · 10% in DPG · "&amp;IF(F5="","(date)",TEXT(F5,"yyyy-mm-dd"))</f>
        <v>SAMR · Pink Peppercorn · 10% in DPG · (date)</v>
      </c>
    </row>
    <row r="6" spans="1:8" x14ac:dyDescent="0.35">
      <c r="A6" s="53" t="s">
        <v>82</v>
      </c>
      <c r="B6" s="20">
        <v>0.1</v>
      </c>
      <c r="C6" s="42">
        <v>10</v>
      </c>
      <c r="D6" s="57">
        <f>C6*B6</f>
        <v>1</v>
      </c>
      <c r="E6" s="57">
        <f>C6-D6</f>
        <v>9</v>
      </c>
      <c r="F6" s="58"/>
      <c r="G6" s="24"/>
      <c r="H6" s="54" t="str">
        <f>"SAMR · "&amp;A6&amp;" · 10% in DPG · "&amp;IF(F6="","(date)",TEXT(F6,"yyyy-mm-dd"))</f>
        <v>SAMR · Damascone Beta · 10% in DPG · (date)</v>
      </c>
    </row>
    <row r="7" spans="1:8" x14ac:dyDescent="0.35">
      <c r="A7" s="53" t="s">
        <v>90</v>
      </c>
      <c r="B7" s="20">
        <v>0.1</v>
      </c>
      <c r="C7" s="42">
        <v>10</v>
      </c>
      <c r="D7" s="57">
        <f>C7*B7</f>
        <v>1</v>
      </c>
      <c r="E7" s="57">
        <f>C7-D7</f>
        <v>9</v>
      </c>
      <c r="F7" s="58"/>
      <c r="G7" s="24"/>
      <c r="H7" s="54" t="str">
        <f>"SAMR · "&amp;A7&amp;" · 10% in DPG · "&amp;IF(F7="","(date)",TEXT(F7,"yyyy-mm-dd"))</f>
        <v>SAMR · Maltol (Crystals) · 10% in DPG · (date)</v>
      </c>
    </row>
    <row r="8" spans="1:8" x14ac:dyDescent="0.35">
      <c r="A8" s="53" t="s">
        <v>96</v>
      </c>
      <c r="B8" s="20">
        <v>0.1</v>
      </c>
      <c r="C8" s="42">
        <v>10</v>
      </c>
      <c r="D8" s="57">
        <f>C8*B8</f>
        <v>1</v>
      </c>
      <c r="E8" s="57">
        <f>C8-D8</f>
        <v>9</v>
      </c>
      <c r="F8" s="58"/>
      <c r="G8" s="24"/>
      <c r="H8" s="54" t="str">
        <f>"SAMR · "&amp;A8&amp;" · 10% in DPG · "&amp;IF(F8="","(date)",TEXT(F8,"yyyy-mm-dd"))</f>
        <v>SAMR · Aldehyde C-18 Coconut · 10% in DPG · (date)</v>
      </c>
    </row>
    <row r="9" spans="1:8" x14ac:dyDescent="0.35">
      <c r="A9" s="1"/>
      <c r="B9" s="1"/>
      <c r="C9" s="1"/>
      <c r="D9" s="1"/>
      <c r="E9" s="1"/>
      <c r="F9" s="1"/>
      <c r="G9" s="1"/>
      <c r="H9" s="1"/>
    </row>
    <row r="10" spans="1:8" x14ac:dyDescent="0.35">
      <c r="A10" s="1"/>
      <c r="B10" s="1"/>
      <c r="C10" s="1"/>
      <c r="D10" s="1"/>
      <c r="E10" s="1"/>
      <c r="F10" s="1"/>
      <c r="G10" s="1"/>
      <c r="H10" s="1"/>
    </row>
    <row r="11" spans="1:8" x14ac:dyDescent="0.35">
      <c r="A11" s="94" t="s">
        <v>214</v>
      </c>
      <c r="B11" s="89"/>
      <c r="C11" s="89"/>
      <c r="D11" s="89"/>
      <c r="E11" s="89"/>
      <c r="F11" s="89"/>
      <c r="G11" s="89"/>
      <c r="H11" s="89"/>
    </row>
    <row r="12" spans="1:8" x14ac:dyDescent="0.35">
      <c r="A12" s="94" t="s">
        <v>215</v>
      </c>
      <c r="B12" s="89"/>
      <c r="C12" s="89"/>
      <c r="D12" s="89"/>
      <c r="E12" s="89"/>
      <c r="F12" s="89"/>
      <c r="G12" s="89"/>
      <c r="H12" s="89"/>
    </row>
    <row r="13" spans="1:8" x14ac:dyDescent="0.35">
      <c r="A13" s="94" t="s">
        <v>216</v>
      </c>
      <c r="B13" s="89"/>
      <c r="C13" s="89"/>
      <c r="D13" s="89"/>
      <c r="E13" s="89"/>
      <c r="F13" s="89"/>
      <c r="G13" s="89"/>
      <c r="H13" s="89"/>
    </row>
    <row r="14" spans="1:8" x14ac:dyDescent="0.35">
      <c r="A14" s="94" t="s">
        <v>217</v>
      </c>
      <c r="B14" s="89"/>
      <c r="C14" s="89"/>
      <c r="D14" s="89"/>
      <c r="E14" s="89"/>
      <c r="F14" s="89"/>
      <c r="G14" s="89"/>
      <c r="H14" s="89"/>
    </row>
  </sheetData>
  <mergeCells count="6">
    <mergeCell ref="A1:H1"/>
    <mergeCell ref="A12:H12"/>
    <mergeCell ref="A2:H2"/>
    <mergeCell ref="A13:H13"/>
    <mergeCell ref="A11:H11"/>
    <mergeCell ref="A14:H14"/>
  </mergeCells>
  <dataValidations count="2">
    <dataValidation type="decimal" sqref="B5:B8" xr:uid="{00000000-0002-0000-0400-000000000000}">
      <formula1>0.05</formula1>
      <formula2>0.2</formula2>
    </dataValidation>
    <dataValidation type="decimal" sqref="C5:C8" xr:uid="{00000000-0002-0000-0400-000001000000}">
      <formula1>1</formula1>
      <formula2>100</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B3531"/>
  </sheetPr>
  <dimension ref="A1:Q31"/>
  <sheetViews>
    <sheetView showGridLines="0" workbookViewId="0">
      <pane xSplit="1" ySplit="3" topLeftCell="B4" activePane="bottomRight" state="frozen"/>
      <selection pane="topRight"/>
      <selection pane="bottomLeft"/>
      <selection pane="bottomRight"/>
    </sheetView>
  </sheetViews>
  <sheetFormatPr defaultRowHeight="14.5" x14ac:dyDescent="0.35"/>
  <cols>
    <col min="1" max="1" width="30" customWidth="1"/>
    <col min="2" max="2" width="9" customWidth="1"/>
    <col min="3" max="3" width="6" customWidth="1"/>
    <col min="4" max="4" width="7" customWidth="1"/>
    <col min="5" max="5" width="9" customWidth="1"/>
    <col min="6" max="8" width="11" customWidth="1"/>
    <col min="9" max="9" width="9" customWidth="1"/>
    <col min="10" max="10" width="10" customWidth="1"/>
    <col min="11" max="11" width="11" customWidth="1"/>
    <col min="12" max="12" width="10" customWidth="1"/>
    <col min="13" max="13" width="8" customWidth="1"/>
    <col min="14" max="14" width="13" customWidth="1"/>
    <col min="15" max="15" width="12" customWidth="1"/>
    <col min="16" max="17" width="4" hidden="1" customWidth="1"/>
  </cols>
  <sheetData>
    <row r="1" spans="1:17" ht="28" customHeight="1" x14ac:dyDescent="0.35">
      <c r="A1" s="108" t="s">
        <v>218</v>
      </c>
      <c r="B1" s="89"/>
      <c r="C1" s="89"/>
      <c r="D1" s="89"/>
      <c r="E1" s="89"/>
      <c r="F1" s="89"/>
      <c r="G1" s="89"/>
      <c r="H1" s="89"/>
      <c r="I1" s="89"/>
      <c r="J1" s="89"/>
      <c r="K1" s="89"/>
      <c r="L1" s="89"/>
      <c r="M1" s="89"/>
      <c r="N1" s="89"/>
      <c r="O1" s="89"/>
      <c r="P1" s="1"/>
      <c r="Q1" s="1"/>
    </row>
    <row r="2" spans="1:17" x14ac:dyDescent="0.35">
      <c r="A2" s="105" t="s">
        <v>219</v>
      </c>
      <c r="B2" s="106"/>
      <c r="C2" s="106"/>
      <c r="D2" s="106"/>
      <c r="E2" s="106"/>
      <c r="F2" s="122" t="s">
        <v>220</v>
      </c>
      <c r="G2" s="123"/>
      <c r="H2" s="59">
        <f>50*0.85*0.28</f>
        <v>11.9</v>
      </c>
      <c r="I2" s="122" t="s">
        <v>221</v>
      </c>
      <c r="J2" s="123"/>
      <c r="K2" s="59">
        <f>50*0.85*0.72</f>
        <v>30.599999999999998</v>
      </c>
      <c r="L2" s="12"/>
      <c r="M2" s="12"/>
      <c r="N2" s="12"/>
      <c r="O2" s="12"/>
      <c r="P2" s="1"/>
      <c r="Q2" s="1"/>
    </row>
    <row r="3" spans="1:17" ht="24" customHeight="1" x14ac:dyDescent="0.35">
      <c r="A3" s="17" t="s">
        <v>53</v>
      </c>
      <c r="B3" s="17" t="s">
        <v>222</v>
      </c>
      <c r="C3" s="17" t="s">
        <v>223</v>
      </c>
      <c r="D3" s="17" t="s">
        <v>224</v>
      </c>
      <c r="E3" s="17" t="s">
        <v>225</v>
      </c>
      <c r="F3" s="17" t="s">
        <v>226</v>
      </c>
      <c r="G3" s="17" t="s">
        <v>227</v>
      </c>
      <c r="H3" s="17" t="s">
        <v>228</v>
      </c>
      <c r="I3" s="17" t="s">
        <v>229</v>
      </c>
      <c r="J3" s="17" t="s">
        <v>230</v>
      </c>
      <c r="K3" s="17" t="s">
        <v>231</v>
      </c>
      <c r="L3" s="17" t="s">
        <v>232</v>
      </c>
      <c r="M3" s="17" t="s">
        <v>233</v>
      </c>
      <c r="N3" s="17" t="s">
        <v>234</v>
      </c>
      <c r="O3" s="17" t="s">
        <v>235</v>
      </c>
      <c r="P3" s="17"/>
      <c r="Q3" s="1"/>
    </row>
    <row r="4" spans="1:17" x14ac:dyDescent="0.35">
      <c r="A4" s="53" t="s">
        <v>61</v>
      </c>
      <c r="B4" s="60">
        <v>10</v>
      </c>
      <c r="C4" s="61" t="s">
        <v>130</v>
      </c>
      <c r="D4" s="60">
        <v>1</v>
      </c>
      <c r="E4" s="43">
        <v>0.9</v>
      </c>
      <c r="F4" s="24">
        <f t="shared" ref="F4:F30" si="0">IF(C4="ml",B4*D4*E4,B4*D4)</f>
        <v>9</v>
      </c>
      <c r="G4" s="42">
        <v>18.75</v>
      </c>
      <c r="H4" s="24">
        <f t="shared" ref="H4:H30" si="1">G4*D4</f>
        <v>18.75</v>
      </c>
      <c r="I4" s="24">
        <f t="shared" ref="I4:I30" si="2">IF(F4=0,0,H4/F4)</f>
        <v>2.0833333333333335</v>
      </c>
      <c r="J4" s="24">
        <f t="shared" ref="J4:J28" si="3">TotalConcUsedG*INDEX(FM_Active,MATCH($A4,FM_Mat,0))*IF(INDEX(FM_D10,MATCH($A4,FM_Mat,0))="D10",0.1,1)</f>
        <v>0</v>
      </c>
      <c r="K4" s="57">
        <f t="shared" ref="K4:K30" si="4">F4-J4</f>
        <v>9</v>
      </c>
      <c r="L4" s="24">
        <f t="shared" ref="L4:L28" si="5">2*DefaultBatchConcG*INDEX(FM_Active,MATCH($A4,FM_Mat,0))*IF(INDEX(FM_D10,MATCH($A4,FM_Mat,0))="D10",0.1,1)</f>
        <v>1.071</v>
      </c>
      <c r="M4" s="61" t="str">
        <f t="shared" ref="M4:M30" si="6">IF(K4&lt;L4,"LOW","OK")</f>
        <v>OK</v>
      </c>
      <c r="N4" s="62" t="s">
        <v>236</v>
      </c>
      <c r="O4" s="63">
        <f t="shared" ref="O4:O28" si="7">IFERROR(FLOOR((MAX(K4,0)/(INDEX(FM_Active,MATCH($A4,FM_Mat,0))*IF(INDEX(FM_D10,MATCH($A4,FM_Mat,0))="D10",0.1,1)))/(50*YC_Density*YC_ConcPct),1),"")</f>
        <v>16</v>
      </c>
      <c r="P4" s="11" t="str">
        <f t="shared" ref="P4:P30" si="8">IF(K4&lt;L4,A4,"")</f>
        <v/>
      </c>
      <c r="Q4" s="11" t="str">
        <f>P4</f>
        <v/>
      </c>
    </row>
    <row r="5" spans="1:17" x14ac:dyDescent="0.35">
      <c r="A5" s="53" t="s">
        <v>63</v>
      </c>
      <c r="B5" s="60">
        <v>10</v>
      </c>
      <c r="C5" s="61" t="s">
        <v>130</v>
      </c>
      <c r="D5" s="60">
        <v>1</v>
      </c>
      <c r="E5" s="43">
        <v>0.9</v>
      </c>
      <c r="F5" s="24">
        <f t="shared" si="0"/>
        <v>9</v>
      </c>
      <c r="G5" s="42">
        <v>141.25</v>
      </c>
      <c r="H5" s="24">
        <f t="shared" si="1"/>
        <v>141.25</v>
      </c>
      <c r="I5" s="24">
        <f t="shared" si="2"/>
        <v>15.694444444444445</v>
      </c>
      <c r="J5" s="24">
        <f t="shared" si="3"/>
        <v>0</v>
      </c>
      <c r="K5" s="57">
        <f t="shared" si="4"/>
        <v>9</v>
      </c>
      <c r="L5" s="24">
        <f t="shared" si="5"/>
        <v>2.3800000000000002E-2</v>
      </c>
      <c r="M5" s="61" t="str">
        <f t="shared" si="6"/>
        <v>OK</v>
      </c>
      <c r="N5" s="62" t="s">
        <v>236</v>
      </c>
      <c r="O5" s="63">
        <f t="shared" si="7"/>
        <v>756</v>
      </c>
      <c r="P5" s="11" t="str">
        <f t="shared" si="8"/>
        <v/>
      </c>
      <c r="Q5" s="11" t="str">
        <f t="shared" ref="Q5:Q30" si="9">IF(P5="",Q4,IF(Q4="",P5,Q4&amp;",  "&amp;P5))</f>
        <v/>
      </c>
    </row>
    <row r="6" spans="1:17" x14ac:dyDescent="0.35">
      <c r="A6" s="53" t="s">
        <v>65</v>
      </c>
      <c r="B6" s="60">
        <v>10</v>
      </c>
      <c r="C6" s="61" t="s">
        <v>130</v>
      </c>
      <c r="D6" s="60">
        <v>1</v>
      </c>
      <c r="E6" s="43">
        <v>0.9</v>
      </c>
      <c r="F6" s="24">
        <f t="shared" si="0"/>
        <v>9</v>
      </c>
      <c r="G6" s="42">
        <v>16.739999999999998</v>
      </c>
      <c r="H6" s="24">
        <f t="shared" si="1"/>
        <v>16.739999999999998</v>
      </c>
      <c r="I6" s="24">
        <f t="shared" si="2"/>
        <v>1.8599999999999999</v>
      </c>
      <c r="J6" s="24">
        <f t="shared" si="3"/>
        <v>0</v>
      </c>
      <c r="K6" s="57">
        <f t="shared" si="4"/>
        <v>9</v>
      </c>
      <c r="L6" s="24">
        <f t="shared" si="5"/>
        <v>0.47600000000000003</v>
      </c>
      <c r="M6" s="61" t="str">
        <f t="shared" si="6"/>
        <v>OK</v>
      </c>
      <c r="N6" s="62" t="s">
        <v>236</v>
      </c>
      <c r="O6" s="63">
        <f t="shared" si="7"/>
        <v>37</v>
      </c>
      <c r="P6" s="11" t="str">
        <f t="shared" si="8"/>
        <v/>
      </c>
      <c r="Q6" s="11" t="str">
        <f t="shared" si="9"/>
        <v/>
      </c>
    </row>
    <row r="7" spans="1:17" x14ac:dyDescent="0.35">
      <c r="A7" s="53" t="s">
        <v>67</v>
      </c>
      <c r="B7" s="60">
        <v>10</v>
      </c>
      <c r="C7" s="61" t="s">
        <v>130</v>
      </c>
      <c r="D7" s="60">
        <v>1</v>
      </c>
      <c r="E7" s="43">
        <v>0.9</v>
      </c>
      <c r="F7" s="24">
        <f t="shared" si="0"/>
        <v>9</v>
      </c>
      <c r="G7" s="42">
        <v>22.5</v>
      </c>
      <c r="H7" s="24">
        <f t="shared" si="1"/>
        <v>22.5</v>
      </c>
      <c r="I7" s="24">
        <f t="shared" si="2"/>
        <v>2.5</v>
      </c>
      <c r="J7" s="24">
        <f t="shared" si="3"/>
        <v>0</v>
      </c>
      <c r="K7" s="57">
        <f t="shared" si="4"/>
        <v>9</v>
      </c>
      <c r="L7" s="24">
        <f t="shared" si="5"/>
        <v>0.23800000000000002</v>
      </c>
      <c r="M7" s="61" t="str">
        <f t="shared" si="6"/>
        <v>OK</v>
      </c>
      <c r="N7" s="62" t="s">
        <v>236</v>
      </c>
      <c r="O7" s="63">
        <f t="shared" si="7"/>
        <v>75</v>
      </c>
      <c r="P7" s="11" t="str">
        <f t="shared" si="8"/>
        <v/>
      </c>
      <c r="Q7" s="11" t="str">
        <f t="shared" si="9"/>
        <v/>
      </c>
    </row>
    <row r="8" spans="1:17" x14ac:dyDescent="0.35">
      <c r="A8" s="53" t="s">
        <v>70</v>
      </c>
      <c r="B8" s="60">
        <v>30</v>
      </c>
      <c r="C8" s="61" t="s">
        <v>130</v>
      </c>
      <c r="D8" s="60">
        <v>1</v>
      </c>
      <c r="E8" s="43">
        <v>0.9</v>
      </c>
      <c r="F8" s="24">
        <f t="shared" si="0"/>
        <v>27</v>
      </c>
      <c r="G8" s="42">
        <v>23.9</v>
      </c>
      <c r="H8" s="24">
        <f t="shared" si="1"/>
        <v>23.9</v>
      </c>
      <c r="I8" s="24">
        <f t="shared" si="2"/>
        <v>0.88518518518518519</v>
      </c>
      <c r="J8" s="24">
        <f t="shared" si="3"/>
        <v>0</v>
      </c>
      <c r="K8" s="57">
        <f t="shared" si="4"/>
        <v>27</v>
      </c>
      <c r="L8" s="24">
        <f t="shared" si="5"/>
        <v>3.4985999999999997</v>
      </c>
      <c r="M8" s="61" t="str">
        <f t="shared" si="6"/>
        <v>OK</v>
      </c>
      <c r="N8" s="62" t="s">
        <v>236</v>
      </c>
      <c r="O8" s="63">
        <f t="shared" si="7"/>
        <v>15</v>
      </c>
      <c r="P8" s="11" t="str">
        <f t="shared" si="8"/>
        <v/>
      </c>
      <c r="Q8" s="11" t="str">
        <f t="shared" si="9"/>
        <v/>
      </c>
    </row>
    <row r="9" spans="1:17" x14ac:dyDescent="0.35">
      <c r="A9" s="53" t="s">
        <v>72</v>
      </c>
      <c r="B9" s="60">
        <v>10</v>
      </c>
      <c r="C9" s="61" t="s">
        <v>130</v>
      </c>
      <c r="D9" s="60">
        <v>1</v>
      </c>
      <c r="E9" s="43">
        <v>0.9</v>
      </c>
      <c r="F9" s="24">
        <f t="shared" si="0"/>
        <v>9</v>
      </c>
      <c r="G9" s="42">
        <v>45</v>
      </c>
      <c r="H9" s="24">
        <f t="shared" si="1"/>
        <v>45</v>
      </c>
      <c r="I9" s="24">
        <f t="shared" si="2"/>
        <v>5</v>
      </c>
      <c r="J9" s="24">
        <f t="shared" si="3"/>
        <v>0</v>
      </c>
      <c r="K9" s="57">
        <f t="shared" si="4"/>
        <v>9</v>
      </c>
      <c r="L9" s="24">
        <f t="shared" si="5"/>
        <v>0.71399999999999997</v>
      </c>
      <c r="M9" s="61" t="str">
        <f t="shared" si="6"/>
        <v>OK</v>
      </c>
      <c r="N9" s="62" t="s">
        <v>236</v>
      </c>
      <c r="O9" s="63">
        <f t="shared" si="7"/>
        <v>25</v>
      </c>
      <c r="P9" s="11" t="str">
        <f t="shared" si="8"/>
        <v/>
      </c>
      <c r="Q9" s="11" t="str">
        <f t="shared" si="9"/>
        <v/>
      </c>
    </row>
    <row r="10" spans="1:17" x14ac:dyDescent="0.35">
      <c r="A10" s="53" t="s">
        <v>74</v>
      </c>
      <c r="B10" s="60">
        <v>10</v>
      </c>
      <c r="C10" s="61" t="s">
        <v>130</v>
      </c>
      <c r="D10" s="60">
        <v>1</v>
      </c>
      <c r="E10" s="43">
        <v>0.9</v>
      </c>
      <c r="F10" s="24">
        <f t="shared" si="0"/>
        <v>9</v>
      </c>
      <c r="G10" s="42">
        <v>35.630000000000003</v>
      </c>
      <c r="H10" s="24">
        <f t="shared" si="1"/>
        <v>35.630000000000003</v>
      </c>
      <c r="I10" s="24">
        <f t="shared" si="2"/>
        <v>3.9588888888888891</v>
      </c>
      <c r="J10" s="24">
        <f t="shared" si="3"/>
        <v>0</v>
      </c>
      <c r="K10" s="57">
        <f t="shared" si="4"/>
        <v>9</v>
      </c>
      <c r="L10" s="24">
        <f t="shared" si="5"/>
        <v>0.35699999999999998</v>
      </c>
      <c r="M10" s="61" t="str">
        <f t="shared" si="6"/>
        <v>OK</v>
      </c>
      <c r="N10" s="62" t="s">
        <v>236</v>
      </c>
      <c r="O10" s="63">
        <f t="shared" si="7"/>
        <v>50</v>
      </c>
      <c r="P10" s="11" t="str">
        <f t="shared" si="8"/>
        <v/>
      </c>
      <c r="Q10" s="11" t="str">
        <f t="shared" si="9"/>
        <v/>
      </c>
    </row>
    <row r="11" spans="1:17" x14ac:dyDescent="0.35">
      <c r="A11" s="53" t="s">
        <v>76</v>
      </c>
      <c r="B11" s="60">
        <v>10</v>
      </c>
      <c r="C11" s="61" t="s">
        <v>130</v>
      </c>
      <c r="D11" s="60">
        <v>1</v>
      </c>
      <c r="E11" s="43">
        <v>0.9</v>
      </c>
      <c r="F11" s="24">
        <f t="shared" si="0"/>
        <v>9</v>
      </c>
      <c r="G11" s="42">
        <v>17.46</v>
      </c>
      <c r="H11" s="24">
        <f t="shared" si="1"/>
        <v>17.46</v>
      </c>
      <c r="I11" s="24">
        <f t="shared" si="2"/>
        <v>1.9400000000000002</v>
      </c>
      <c r="J11" s="24">
        <f t="shared" si="3"/>
        <v>0</v>
      </c>
      <c r="K11" s="57">
        <f t="shared" si="4"/>
        <v>9</v>
      </c>
      <c r="L11" s="24">
        <f t="shared" si="5"/>
        <v>0.95200000000000007</v>
      </c>
      <c r="M11" s="61" t="str">
        <f t="shared" si="6"/>
        <v>OK</v>
      </c>
      <c r="N11" s="62" t="s">
        <v>236</v>
      </c>
      <c r="O11" s="63">
        <f t="shared" si="7"/>
        <v>18</v>
      </c>
      <c r="P11" s="11" t="str">
        <f t="shared" si="8"/>
        <v/>
      </c>
      <c r="Q11" s="11" t="str">
        <f t="shared" si="9"/>
        <v/>
      </c>
    </row>
    <row r="12" spans="1:17" x14ac:dyDescent="0.35">
      <c r="A12" s="53" t="s">
        <v>78</v>
      </c>
      <c r="B12" s="60">
        <v>10</v>
      </c>
      <c r="C12" s="61" t="s">
        <v>130</v>
      </c>
      <c r="D12" s="60">
        <v>1</v>
      </c>
      <c r="E12" s="43">
        <v>0.9</v>
      </c>
      <c r="F12" s="24">
        <f t="shared" si="0"/>
        <v>9</v>
      </c>
      <c r="G12" s="42">
        <v>11.16</v>
      </c>
      <c r="H12" s="24">
        <f t="shared" si="1"/>
        <v>11.16</v>
      </c>
      <c r="I12" s="24">
        <f t="shared" si="2"/>
        <v>1.24</v>
      </c>
      <c r="J12" s="24">
        <f t="shared" si="3"/>
        <v>0</v>
      </c>
      <c r="K12" s="57">
        <f t="shared" si="4"/>
        <v>9</v>
      </c>
      <c r="L12" s="24">
        <f t="shared" si="5"/>
        <v>1.6660000000000001</v>
      </c>
      <c r="M12" s="61" t="str">
        <f t="shared" si="6"/>
        <v>OK</v>
      </c>
      <c r="N12" s="62" t="s">
        <v>236</v>
      </c>
      <c r="O12" s="63">
        <f t="shared" si="7"/>
        <v>10</v>
      </c>
      <c r="P12" s="11" t="str">
        <f t="shared" si="8"/>
        <v/>
      </c>
      <c r="Q12" s="11" t="str">
        <f t="shared" si="9"/>
        <v/>
      </c>
    </row>
    <row r="13" spans="1:17" x14ac:dyDescent="0.35">
      <c r="A13" s="53" t="s">
        <v>80</v>
      </c>
      <c r="B13" s="60">
        <v>10</v>
      </c>
      <c r="C13" s="61" t="s">
        <v>130</v>
      </c>
      <c r="D13" s="60">
        <v>1</v>
      </c>
      <c r="E13" s="43">
        <v>0.9</v>
      </c>
      <c r="F13" s="24">
        <f t="shared" si="0"/>
        <v>9</v>
      </c>
      <c r="G13" s="42">
        <v>16.739999999999998</v>
      </c>
      <c r="H13" s="24">
        <f t="shared" si="1"/>
        <v>16.739999999999998</v>
      </c>
      <c r="I13" s="24">
        <f t="shared" si="2"/>
        <v>1.8599999999999999</v>
      </c>
      <c r="J13" s="24">
        <f t="shared" si="3"/>
        <v>0</v>
      </c>
      <c r="K13" s="57">
        <f t="shared" si="4"/>
        <v>9</v>
      </c>
      <c r="L13" s="24">
        <f t="shared" si="5"/>
        <v>0.35699999999999998</v>
      </c>
      <c r="M13" s="61" t="str">
        <f t="shared" si="6"/>
        <v>OK</v>
      </c>
      <c r="N13" s="62" t="s">
        <v>236</v>
      </c>
      <c r="O13" s="63">
        <f t="shared" si="7"/>
        <v>50</v>
      </c>
      <c r="P13" s="11" t="str">
        <f t="shared" si="8"/>
        <v/>
      </c>
      <c r="Q13" s="11" t="str">
        <f t="shared" si="9"/>
        <v/>
      </c>
    </row>
    <row r="14" spans="1:17" x14ac:dyDescent="0.35">
      <c r="A14" s="53" t="s">
        <v>82</v>
      </c>
      <c r="B14" s="60">
        <v>10</v>
      </c>
      <c r="C14" s="61" t="s">
        <v>130</v>
      </c>
      <c r="D14" s="60">
        <v>1</v>
      </c>
      <c r="E14" s="43">
        <v>0.9</v>
      </c>
      <c r="F14" s="24">
        <f t="shared" si="0"/>
        <v>9</v>
      </c>
      <c r="G14" s="42">
        <v>98.75</v>
      </c>
      <c r="H14" s="24">
        <f t="shared" si="1"/>
        <v>98.75</v>
      </c>
      <c r="I14" s="24">
        <f t="shared" si="2"/>
        <v>10.972222222222221</v>
      </c>
      <c r="J14" s="24">
        <f t="shared" si="3"/>
        <v>0</v>
      </c>
      <c r="K14" s="57">
        <f t="shared" si="4"/>
        <v>9</v>
      </c>
      <c r="L14" s="24">
        <f t="shared" si="5"/>
        <v>7.1400000000000005E-3</v>
      </c>
      <c r="M14" s="61" t="str">
        <f t="shared" si="6"/>
        <v>OK</v>
      </c>
      <c r="N14" s="62" t="s">
        <v>236</v>
      </c>
      <c r="O14" s="63">
        <f t="shared" si="7"/>
        <v>2521</v>
      </c>
      <c r="P14" s="11" t="str">
        <f t="shared" si="8"/>
        <v/>
      </c>
      <c r="Q14" s="11" t="str">
        <f t="shared" si="9"/>
        <v/>
      </c>
    </row>
    <row r="15" spans="1:17" x14ac:dyDescent="0.35">
      <c r="A15" s="53" t="s">
        <v>86</v>
      </c>
      <c r="B15" s="60">
        <v>10</v>
      </c>
      <c r="C15" s="61" t="s">
        <v>237</v>
      </c>
      <c r="D15" s="60">
        <v>1</v>
      </c>
      <c r="E15" s="61"/>
      <c r="F15" s="24">
        <f t="shared" si="0"/>
        <v>10</v>
      </c>
      <c r="G15" s="42">
        <v>14.65</v>
      </c>
      <c r="H15" s="24">
        <f t="shared" si="1"/>
        <v>14.65</v>
      </c>
      <c r="I15" s="24">
        <f t="shared" si="2"/>
        <v>1.4650000000000001</v>
      </c>
      <c r="J15" s="24">
        <f t="shared" si="3"/>
        <v>0</v>
      </c>
      <c r="K15" s="57">
        <f t="shared" si="4"/>
        <v>10</v>
      </c>
      <c r="L15" s="24">
        <f t="shared" si="5"/>
        <v>1.5470000000000002</v>
      </c>
      <c r="M15" s="61" t="str">
        <f t="shared" si="6"/>
        <v>OK</v>
      </c>
      <c r="N15" s="62" t="s">
        <v>236</v>
      </c>
      <c r="O15" s="63">
        <f t="shared" si="7"/>
        <v>12</v>
      </c>
      <c r="P15" s="11" t="str">
        <f t="shared" si="8"/>
        <v/>
      </c>
      <c r="Q15" s="11" t="str">
        <f t="shared" si="9"/>
        <v/>
      </c>
    </row>
    <row r="16" spans="1:17" x14ac:dyDescent="0.35">
      <c r="A16" s="53" t="s">
        <v>88</v>
      </c>
      <c r="B16" s="60">
        <v>10</v>
      </c>
      <c r="C16" s="61" t="s">
        <v>237</v>
      </c>
      <c r="D16" s="60">
        <v>1</v>
      </c>
      <c r="E16" s="61"/>
      <c r="F16" s="24">
        <f t="shared" si="0"/>
        <v>10</v>
      </c>
      <c r="G16" s="42">
        <v>15.69</v>
      </c>
      <c r="H16" s="24">
        <f t="shared" si="1"/>
        <v>15.69</v>
      </c>
      <c r="I16" s="24">
        <f t="shared" si="2"/>
        <v>1.569</v>
      </c>
      <c r="J16" s="24">
        <f t="shared" si="3"/>
        <v>0</v>
      </c>
      <c r="K16" s="57">
        <f t="shared" si="4"/>
        <v>10</v>
      </c>
      <c r="L16" s="24">
        <f t="shared" si="5"/>
        <v>0.59500000000000008</v>
      </c>
      <c r="M16" s="61" t="str">
        <f t="shared" si="6"/>
        <v>OK</v>
      </c>
      <c r="N16" s="62" t="s">
        <v>236</v>
      </c>
      <c r="O16" s="63">
        <f t="shared" si="7"/>
        <v>33</v>
      </c>
      <c r="P16" s="11" t="str">
        <f t="shared" si="8"/>
        <v/>
      </c>
      <c r="Q16" s="11" t="str">
        <f t="shared" si="9"/>
        <v/>
      </c>
    </row>
    <row r="17" spans="1:17" x14ac:dyDescent="0.35">
      <c r="A17" s="53" t="s">
        <v>90</v>
      </c>
      <c r="B17" s="60">
        <v>10</v>
      </c>
      <c r="C17" s="61" t="s">
        <v>237</v>
      </c>
      <c r="D17" s="60">
        <v>1</v>
      </c>
      <c r="E17" s="61"/>
      <c r="F17" s="24">
        <f t="shared" si="0"/>
        <v>10</v>
      </c>
      <c r="G17" s="42">
        <v>26.51</v>
      </c>
      <c r="H17" s="24">
        <f t="shared" si="1"/>
        <v>26.51</v>
      </c>
      <c r="I17" s="24">
        <f t="shared" si="2"/>
        <v>2.6510000000000002</v>
      </c>
      <c r="J17" s="24">
        <f t="shared" si="3"/>
        <v>0</v>
      </c>
      <c r="K17" s="57">
        <f t="shared" si="4"/>
        <v>10</v>
      </c>
      <c r="L17" s="24">
        <f t="shared" si="5"/>
        <v>4.7600000000000003E-2</v>
      </c>
      <c r="M17" s="61" t="str">
        <f t="shared" si="6"/>
        <v>OK</v>
      </c>
      <c r="N17" s="62" t="s">
        <v>236</v>
      </c>
      <c r="O17" s="63">
        <f t="shared" si="7"/>
        <v>420</v>
      </c>
      <c r="P17" s="11" t="str">
        <f t="shared" si="8"/>
        <v/>
      </c>
      <c r="Q17" s="11" t="str">
        <f t="shared" si="9"/>
        <v/>
      </c>
    </row>
    <row r="18" spans="1:17" x14ac:dyDescent="0.35">
      <c r="A18" s="53" t="s">
        <v>92</v>
      </c>
      <c r="B18" s="60">
        <v>500</v>
      </c>
      <c r="C18" s="61" t="s">
        <v>237</v>
      </c>
      <c r="D18" s="60">
        <v>1</v>
      </c>
      <c r="E18" s="61"/>
      <c r="F18" s="24">
        <f t="shared" si="0"/>
        <v>500</v>
      </c>
      <c r="G18" s="42">
        <v>150</v>
      </c>
      <c r="H18" s="24">
        <f t="shared" si="1"/>
        <v>150</v>
      </c>
      <c r="I18" s="24">
        <f t="shared" si="2"/>
        <v>0.3</v>
      </c>
      <c r="J18" s="24">
        <f t="shared" si="3"/>
        <v>0</v>
      </c>
      <c r="K18" s="57">
        <f t="shared" si="4"/>
        <v>500</v>
      </c>
      <c r="L18" s="24">
        <f t="shared" si="5"/>
        <v>1.1900000000000002</v>
      </c>
      <c r="M18" s="61" t="str">
        <f t="shared" si="6"/>
        <v>OK</v>
      </c>
      <c r="N18" s="62" t="s">
        <v>236</v>
      </c>
      <c r="O18" s="63">
        <f t="shared" si="7"/>
        <v>840</v>
      </c>
      <c r="P18" s="11" t="str">
        <f t="shared" si="8"/>
        <v/>
      </c>
      <c r="Q18" s="11" t="str">
        <f t="shared" si="9"/>
        <v/>
      </c>
    </row>
    <row r="19" spans="1:17" x14ac:dyDescent="0.35">
      <c r="A19" s="53" t="s">
        <v>94</v>
      </c>
      <c r="B19" s="60">
        <v>10</v>
      </c>
      <c r="C19" s="61" t="s">
        <v>130</v>
      </c>
      <c r="D19" s="60">
        <v>1</v>
      </c>
      <c r="E19" s="43">
        <v>0.9</v>
      </c>
      <c r="F19" s="24">
        <f t="shared" si="0"/>
        <v>9</v>
      </c>
      <c r="G19" s="42">
        <v>33.75</v>
      </c>
      <c r="H19" s="24">
        <f t="shared" si="1"/>
        <v>33.75</v>
      </c>
      <c r="I19" s="24">
        <f t="shared" si="2"/>
        <v>3.75</v>
      </c>
      <c r="J19" s="24">
        <f t="shared" si="3"/>
        <v>0</v>
      </c>
      <c r="K19" s="57">
        <f t="shared" si="4"/>
        <v>9</v>
      </c>
      <c r="L19" s="24">
        <f t="shared" si="5"/>
        <v>0.59500000000000008</v>
      </c>
      <c r="M19" s="61" t="str">
        <f t="shared" si="6"/>
        <v>OK</v>
      </c>
      <c r="N19" s="62" t="s">
        <v>236</v>
      </c>
      <c r="O19" s="63">
        <f t="shared" si="7"/>
        <v>30</v>
      </c>
      <c r="P19" s="11" t="str">
        <f t="shared" si="8"/>
        <v/>
      </c>
      <c r="Q19" s="11" t="str">
        <f t="shared" si="9"/>
        <v/>
      </c>
    </row>
    <row r="20" spans="1:17" x14ac:dyDescent="0.35">
      <c r="A20" s="53" t="s">
        <v>96</v>
      </c>
      <c r="B20" s="60">
        <v>10</v>
      </c>
      <c r="C20" s="61" t="s">
        <v>130</v>
      </c>
      <c r="D20" s="60">
        <v>1</v>
      </c>
      <c r="E20" s="43">
        <v>0.9</v>
      </c>
      <c r="F20" s="24">
        <f t="shared" si="0"/>
        <v>9</v>
      </c>
      <c r="G20" s="42">
        <v>13.25</v>
      </c>
      <c r="H20" s="24">
        <f t="shared" si="1"/>
        <v>13.25</v>
      </c>
      <c r="I20" s="24">
        <f t="shared" si="2"/>
        <v>1.4722222222222223</v>
      </c>
      <c r="J20" s="24">
        <f t="shared" si="3"/>
        <v>0</v>
      </c>
      <c r="K20" s="57">
        <f t="shared" si="4"/>
        <v>9</v>
      </c>
      <c r="L20" s="24">
        <f t="shared" si="5"/>
        <v>3.5700000000000003E-2</v>
      </c>
      <c r="M20" s="61" t="str">
        <f t="shared" si="6"/>
        <v>OK</v>
      </c>
      <c r="N20" s="62" t="s">
        <v>236</v>
      </c>
      <c r="O20" s="63">
        <f t="shared" si="7"/>
        <v>504</v>
      </c>
      <c r="P20" s="11" t="str">
        <f t="shared" si="8"/>
        <v/>
      </c>
      <c r="Q20" s="11" t="str">
        <f t="shared" si="9"/>
        <v/>
      </c>
    </row>
    <row r="21" spans="1:17" x14ac:dyDescent="0.35">
      <c r="A21" s="53" t="s">
        <v>98</v>
      </c>
      <c r="B21" s="60">
        <v>10</v>
      </c>
      <c r="C21" s="61" t="s">
        <v>237</v>
      </c>
      <c r="D21" s="60">
        <v>1</v>
      </c>
      <c r="E21" s="61"/>
      <c r="F21" s="24">
        <f t="shared" si="0"/>
        <v>10</v>
      </c>
      <c r="G21" s="42">
        <v>133.75</v>
      </c>
      <c r="H21" s="24">
        <f t="shared" si="1"/>
        <v>133.75</v>
      </c>
      <c r="I21" s="24">
        <f t="shared" si="2"/>
        <v>13.375</v>
      </c>
      <c r="J21" s="24">
        <f t="shared" si="3"/>
        <v>0</v>
      </c>
      <c r="K21" s="57">
        <f t="shared" si="4"/>
        <v>10</v>
      </c>
      <c r="L21" s="24">
        <f t="shared" si="5"/>
        <v>1.7849999999999999</v>
      </c>
      <c r="M21" s="61" t="str">
        <f t="shared" si="6"/>
        <v>OK</v>
      </c>
      <c r="N21" s="62" t="s">
        <v>236</v>
      </c>
      <c r="O21" s="63">
        <f t="shared" si="7"/>
        <v>11</v>
      </c>
      <c r="P21" s="11" t="str">
        <f t="shared" si="8"/>
        <v/>
      </c>
      <c r="Q21" s="11" t="str">
        <f t="shared" si="9"/>
        <v/>
      </c>
    </row>
    <row r="22" spans="1:17" x14ac:dyDescent="0.35">
      <c r="A22" s="53" t="s">
        <v>100</v>
      </c>
      <c r="B22" s="60">
        <v>10</v>
      </c>
      <c r="C22" s="61" t="s">
        <v>130</v>
      </c>
      <c r="D22" s="60">
        <v>1</v>
      </c>
      <c r="E22" s="43">
        <v>0.9</v>
      </c>
      <c r="F22" s="24">
        <f t="shared" si="0"/>
        <v>9</v>
      </c>
      <c r="G22" s="42">
        <v>13.6</v>
      </c>
      <c r="H22" s="24">
        <f t="shared" si="1"/>
        <v>13.6</v>
      </c>
      <c r="I22" s="24">
        <f t="shared" si="2"/>
        <v>1.5111111111111111</v>
      </c>
      <c r="J22" s="24">
        <f t="shared" si="3"/>
        <v>0</v>
      </c>
      <c r="K22" s="57">
        <f t="shared" si="4"/>
        <v>9</v>
      </c>
      <c r="L22" s="24">
        <f t="shared" si="5"/>
        <v>2.2610000000000001</v>
      </c>
      <c r="M22" s="61" t="str">
        <f t="shared" si="6"/>
        <v>OK</v>
      </c>
      <c r="N22" s="62" t="s">
        <v>236</v>
      </c>
      <c r="O22" s="63">
        <f t="shared" si="7"/>
        <v>7</v>
      </c>
      <c r="P22" s="11" t="str">
        <f t="shared" si="8"/>
        <v/>
      </c>
      <c r="Q22" s="11" t="str">
        <f t="shared" si="9"/>
        <v/>
      </c>
    </row>
    <row r="23" spans="1:17" x14ac:dyDescent="0.35">
      <c r="A23" s="53" t="s">
        <v>102</v>
      </c>
      <c r="B23" s="60">
        <v>10</v>
      </c>
      <c r="C23" s="61" t="s">
        <v>130</v>
      </c>
      <c r="D23" s="60">
        <v>1</v>
      </c>
      <c r="E23" s="43">
        <v>0.9</v>
      </c>
      <c r="F23" s="24">
        <f t="shared" si="0"/>
        <v>9</v>
      </c>
      <c r="G23" s="42">
        <v>55.86</v>
      </c>
      <c r="H23" s="24">
        <f t="shared" si="1"/>
        <v>55.86</v>
      </c>
      <c r="I23" s="24">
        <f t="shared" si="2"/>
        <v>6.206666666666667</v>
      </c>
      <c r="J23" s="24">
        <f t="shared" si="3"/>
        <v>0</v>
      </c>
      <c r="K23" s="57">
        <f t="shared" si="4"/>
        <v>9</v>
      </c>
      <c r="L23" s="24">
        <f t="shared" si="5"/>
        <v>0.71399999999999997</v>
      </c>
      <c r="M23" s="61" t="str">
        <f t="shared" si="6"/>
        <v>OK</v>
      </c>
      <c r="N23" s="62" t="s">
        <v>236</v>
      </c>
      <c r="O23" s="63">
        <f t="shared" si="7"/>
        <v>25</v>
      </c>
      <c r="P23" s="11" t="str">
        <f t="shared" si="8"/>
        <v/>
      </c>
      <c r="Q23" s="11" t="str">
        <f t="shared" si="9"/>
        <v/>
      </c>
    </row>
    <row r="24" spans="1:17" x14ac:dyDescent="0.35">
      <c r="A24" s="53" t="s">
        <v>104</v>
      </c>
      <c r="B24" s="60">
        <v>10</v>
      </c>
      <c r="C24" s="61" t="s">
        <v>130</v>
      </c>
      <c r="D24" s="60">
        <v>1</v>
      </c>
      <c r="E24" s="43">
        <v>0.9</v>
      </c>
      <c r="F24" s="24">
        <f t="shared" si="0"/>
        <v>9</v>
      </c>
      <c r="G24" s="42">
        <v>23.54</v>
      </c>
      <c r="H24" s="24">
        <f t="shared" si="1"/>
        <v>23.54</v>
      </c>
      <c r="I24" s="24">
        <f t="shared" si="2"/>
        <v>2.6155555555555554</v>
      </c>
      <c r="J24" s="24">
        <f t="shared" si="3"/>
        <v>0</v>
      </c>
      <c r="K24" s="57">
        <f t="shared" si="4"/>
        <v>9</v>
      </c>
      <c r="L24" s="24">
        <f t="shared" si="5"/>
        <v>0.83300000000000007</v>
      </c>
      <c r="M24" s="61" t="str">
        <f t="shared" si="6"/>
        <v>OK</v>
      </c>
      <c r="N24" s="62" t="s">
        <v>236</v>
      </c>
      <c r="O24" s="63">
        <f t="shared" si="7"/>
        <v>21</v>
      </c>
      <c r="P24" s="11" t="str">
        <f t="shared" si="8"/>
        <v/>
      </c>
      <c r="Q24" s="11" t="str">
        <f t="shared" si="9"/>
        <v/>
      </c>
    </row>
    <row r="25" spans="1:17" x14ac:dyDescent="0.35">
      <c r="A25" s="53" t="s">
        <v>106</v>
      </c>
      <c r="B25" s="60">
        <v>10</v>
      </c>
      <c r="C25" s="61" t="s">
        <v>130</v>
      </c>
      <c r="D25" s="60">
        <v>1</v>
      </c>
      <c r="E25" s="43">
        <v>0.9</v>
      </c>
      <c r="F25" s="24">
        <f t="shared" si="0"/>
        <v>9</v>
      </c>
      <c r="G25" s="42">
        <v>10.11</v>
      </c>
      <c r="H25" s="24">
        <f t="shared" si="1"/>
        <v>10.11</v>
      </c>
      <c r="I25" s="24">
        <f t="shared" si="2"/>
        <v>1.1233333333333333</v>
      </c>
      <c r="J25" s="24">
        <f t="shared" si="3"/>
        <v>0</v>
      </c>
      <c r="K25" s="57">
        <f t="shared" si="4"/>
        <v>9</v>
      </c>
      <c r="L25" s="24">
        <f t="shared" si="5"/>
        <v>1.7849999999999999</v>
      </c>
      <c r="M25" s="61" t="str">
        <f t="shared" si="6"/>
        <v>OK</v>
      </c>
      <c r="N25" s="62" t="s">
        <v>236</v>
      </c>
      <c r="O25" s="63">
        <f t="shared" si="7"/>
        <v>10</v>
      </c>
      <c r="P25" s="11" t="str">
        <f t="shared" si="8"/>
        <v/>
      </c>
      <c r="Q25" s="11" t="str">
        <f t="shared" si="9"/>
        <v/>
      </c>
    </row>
    <row r="26" spans="1:17" x14ac:dyDescent="0.35">
      <c r="A26" s="53" t="s">
        <v>108</v>
      </c>
      <c r="B26" s="60">
        <v>30</v>
      </c>
      <c r="C26" s="61" t="s">
        <v>130</v>
      </c>
      <c r="D26" s="60">
        <v>1</v>
      </c>
      <c r="E26" s="43">
        <v>0.9</v>
      </c>
      <c r="F26" s="24">
        <f t="shared" si="0"/>
        <v>27</v>
      </c>
      <c r="G26" s="42">
        <v>27</v>
      </c>
      <c r="H26" s="24">
        <f t="shared" si="1"/>
        <v>27</v>
      </c>
      <c r="I26" s="24">
        <f t="shared" si="2"/>
        <v>1</v>
      </c>
      <c r="J26" s="24">
        <f t="shared" si="3"/>
        <v>0</v>
      </c>
      <c r="K26" s="57">
        <f t="shared" si="4"/>
        <v>27</v>
      </c>
      <c r="L26" s="24">
        <f t="shared" si="5"/>
        <v>1.3089999999999999</v>
      </c>
      <c r="M26" s="61" t="str">
        <f t="shared" si="6"/>
        <v>OK</v>
      </c>
      <c r="N26" s="62" t="s">
        <v>236</v>
      </c>
      <c r="O26" s="63">
        <f t="shared" si="7"/>
        <v>41</v>
      </c>
      <c r="P26" s="11" t="str">
        <f t="shared" si="8"/>
        <v/>
      </c>
      <c r="Q26" s="11" t="str">
        <f t="shared" si="9"/>
        <v/>
      </c>
    </row>
    <row r="27" spans="1:17" x14ac:dyDescent="0.35">
      <c r="A27" s="53" t="s">
        <v>110</v>
      </c>
      <c r="B27" s="60">
        <v>10</v>
      </c>
      <c r="C27" s="61" t="s">
        <v>130</v>
      </c>
      <c r="D27" s="60">
        <v>1</v>
      </c>
      <c r="E27" s="43">
        <v>0.9</v>
      </c>
      <c r="F27" s="24">
        <f t="shared" si="0"/>
        <v>9</v>
      </c>
      <c r="G27" s="42">
        <v>27.53</v>
      </c>
      <c r="H27" s="24">
        <f t="shared" si="1"/>
        <v>27.53</v>
      </c>
      <c r="I27" s="24">
        <f t="shared" si="2"/>
        <v>3.0588888888888892</v>
      </c>
      <c r="J27" s="24">
        <f t="shared" si="3"/>
        <v>0</v>
      </c>
      <c r="K27" s="57">
        <f t="shared" si="4"/>
        <v>9</v>
      </c>
      <c r="L27" s="24">
        <f t="shared" si="5"/>
        <v>0.59500000000000008</v>
      </c>
      <c r="M27" s="61" t="str">
        <f t="shared" si="6"/>
        <v>OK</v>
      </c>
      <c r="N27" s="62" t="s">
        <v>236</v>
      </c>
      <c r="O27" s="63">
        <f t="shared" si="7"/>
        <v>30</v>
      </c>
      <c r="P27" s="11" t="str">
        <f t="shared" si="8"/>
        <v/>
      </c>
      <c r="Q27" s="11" t="str">
        <f t="shared" si="9"/>
        <v/>
      </c>
    </row>
    <row r="28" spans="1:17" x14ac:dyDescent="0.35">
      <c r="A28" s="53" t="s">
        <v>112</v>
      </c>
      <c r="B28" s="60">
        <v>10</v>
      </c>
      <c r="C28" s="61" t="s">
        <v>130</v>
      </c>
      <c r="D28" s="60">
        <v>1</v>
      </c>
      <c r="E28" s="43">
        <v>0.9</v>
      </c>
      <c r="F28" s="24">
        <f t="shared" si="0"/>
        <v>9</v>
      </c>
      <c r="G28" s="42">
        <v>33.75</v>
      </c>
      <c r="H28" s="24">
        <f t="shared" si="1"/>
        <v>33.75</v>
      </c>
      <c r="I28" s="24">
        <f t="shared" si="2"/>
        <v>3.75</v>
      </c>
      <c r="J28" s="24">
        <f t="shared" si="3"/>
        <v>0</v>
      </c>
      <c r="K28" s="57">
        <f t="shared" si="4"/>
        <v>9</v>
      </c>
      <c r="L28" s="24">
        <f t="shared" si="5"/>
        <v>0.11900000000000001</v>
      </c>
      <c r="M28" s="61" t="str">
        <f t="shared" si="6"/>
        <v>OK</v>
      </c>
      <c r="N28" s="62" t="s">
        <v>236</v>
      </c>
      <c r="O28" s="63">
        <f t="shared" si="7"/>
        <v>151</v>
      </c>
      <c r="P28" s="11" t="str">
        <f t="shared" si="8"/>
        <v/>
      </c>
      <c r="Q28" s="11" t="str">
        <f t="shared" si="9"/>
        <v/>
      </c>
    </row>
    <row r="29" spans="1:17" x14ac:dyDescent="0.35">
      <c r="A29" s="53" t="s">
        <v>238</v>
      </c>
      <c r="B29" s="60">
        <v>500</v>
      </c>
      <c r="C29" s="61" t="s">
        <v>130</v>
      </c>
      <c r="D29" s="60">
        <v>1</v>
      </c>
      <c r="E29" s="43">
        <v>1.02</v>
      </c>
      <c r="F29" s="24">
        <f t="shared" si="0"/>
        <v>510</v>
      </c>
      <c r="G29" s="42">
        <v>50</v>
      </c>
      <c r="H29" s="24">
        <f t="shared" si="1"/>
        <v>50</v>
      </c>
      <c r="I29" s="24">
        <f t="shared" si="2"/>
        <v>9.8039215686274508E-2</v>
      </c>
      <c r="J29" s="24">
        <f>TotalConcUsedG*D10ActivePct*0.9</f>
        <v>0</v>
      </c>
      <c r="K29" s="57">
        <f t="shared" si="4"/>
        <v>510</v>
      </c>
      <c r="L29" s="24">
        <f>2*DefaultBatchConcG*D10ActivePct*0.9</f>
        <v>1.0281600000000002</v>
      </c>
      <c r="M29" s="61" t="str">
        <f t="shared" si="6"/>
        <v>OK</v>
      </c>
      <c r="N29" s="62" t="s">
        <v>236</v>
      </c>
      <c r="O29" s="63">
        <f>IFERROR(FLOOR((MAX(K29,0)/(D10ActivePct*0.9))/(50*YC_Density*YC_ConcPct),1),"")</f>
        <v>992</v>
      </c>
      <c r="P29" s="11" t="str">
        <f t="shared" si="8"/>
        <v/>
      </c>
      <c r="Q29" s="11" t="str">
        <f t="shared" si="9"/>
        <v/>
      </c>
    </row>
    <row r="30" spans="1:17" x14ac:dyDescent="0.35">
      <c r="A30" s="53" t="s">
        <v>178</v>
      </c>
      <c r="B30" s="60">
        <v>5000</v>
      </c>
      <c r="C30" s="61" t="s">
        <v>130</v>
      </c>
      <c r="D30" s="60">
        <v>1</v>
      </c>
      <c r="E30" s="43">
        <v>0.81</v>
      </c>
      <c r="F30" s="24">
        <f t="shared" si="0"/>
        <v>4050.0000000000005</v>
      </c>
      <c r="G30" s="42">
        <v>150</v>
      </c>
      <c r="H30" s="24">
        <f t="shared" si="1"/>
        <v>150</v>
      </c>
      <c r="I30" s="24">
        <f t="shared" si="2"/>
        <v>3.7037037037037035E-2</v>
      </c>
      <c r="J30" s="24">
        <f>AlcoholUsedG</f>
        <v>0</v>
      </c>
      <c r="K30" s="57">
        <f t="shared" si="4"/>
        <v>4050.0000000000005</v>
      </c>
      <c r="L30" s="24">
        <f>2*DefaultBatchAlcG</f>
        <v>61.199999999999996</v>
      </c>
      <c r="M30" s="61" t="str">
        <f t="shared" si="6"/>
        <v>OK</v>
      </c>
      <c r="N30" s="62" t="s">
        <v>236</v>
      </c>
      <c r="O30" s="63">
        <f>IFERROR(FLOOR(MAX(K30,0)/(50*YC_Density*(1-YC_ConcPct)),1),"")</f>
        <v>132</v>
      </c>
      <c r="P30" s="11" t="str">
        <f t="shared" si="8"/>
        <v/>
      </c>
      <c r="Q30" s="11" t="str">
        <f t="shared" si="9"/>
        <v/>
      </c>
    </row>
    <row r="31" spans="1:17" x14ac:dyDescent="0.35">
      <c r="A31" s="117" t="s">
        <v>239</v>
      </c>
      <c r="B31" s="89"/>
      <c r="C31" s="89"/>
      <c r="D31" s="89"/>
      <c r="E31" s="89"/>
      <c r="F31" s="89"/>
      <c r="G31" s="89"/>
      <c r="H31" s="64">
        <f>SUM(H4:H30)</f>
        <v>1226.8699999999999</v>
      </c>
      <c r="I31" s="1"/>
      <c r="J31" s="1"/>
      <c r="K31" s="1"/>
      <c r="L31" s="1"/>
      <c r="M31" s="1"/>
      <c r="N31" s="1"/>
      <c r="O31" s="1"/>
      <c r="P31" s="1"/>
      <c r="Q31" s="1"/>
    </row>
  </sheetData>
  <mergeCells count="5">
    <mergeCell ref="F2:G2"/>
    <mergeCell ref="A2:E2"/>
    <mergeCell ref="A31:G31"/>
    <mergeCell ref="I2:J2"/>
    <mergeCell ref="A1:O1"/>
  </mergeCells>
  <conditionalFormatting sqref="A4:O30">
    <cfRule type="expression" dxfId="8" priority="1">
      <formula>AND($F4&gt;0,$K4&lt;$L4)</formula>
    </cfRule>
  </conditionalFormatting>
  <dataValidations count="2">
    <dataValidation type="decimal" sqref="E4:E30" xr:uid="{00000000-0002-0000-0500-000000000000}">
      <formula1>0.5</formula1>
      <formula2>1.2</formula2>
    </dataValidation>
    <dataValidation type="whole" sqref="D4:D30" xr:uid="{00000000-0002-0000-0500-000001000000}">
      <formula1>0</formula1>
      <formula2>99</formula2>
    </dataValidation>
  </dataValidations>
  <hyperlinks>
    <hyperlink ref="N4" r:id="rId1" xr:uid="{00000000-0004-0000-0500-000000000000}"/>
    <hyperlink ref="N5" r:id="rId2" xr:uid="{00000000-0004-0000-0500-000001000000}"/>
    <hyperlink ref="N6" r:id="rId3" xr:uid="{00000000-0004-0000-0500-000002000000}"/>
    <hyperlink ref="N7" r:id="rId4" xr:uid="{00000000-0004-0000-0500-000003000000}"/>
    <hyperlink ref="N8" r:id="rId5" xr:uid="{00000000-0004-0000-0500-000004000000}"/>
    <hyperlink ref="N9" r:id="rId6" xr:uid="{00000000-0004-0000-0500-000005000000}"/>
    <hyperlink ref="N10" r:id="rId7" xr:uid="{00000000-0004-0000-0500-000006000000}"/>
    <hyperlink ref="N11" r:id="rId8" xr:uid="{00000000-0004-0000-0500-000007000000}"/>
    <hyperlink ref="N12" r:id="rId9" xr:uid="{00000000-0004-0000-0500-000008000000}"/>
    <hyperlink ref="N13" r:id="rId10" xr:uid="{00000000-0004-0000-0500-000009000000}"/>
    <hyperlink ref="N14" r:id="rId11" xr:uid="{00000000-0004-0000-0500-00000A000000}"/>
    <hyperlink ref="N15" r:id="rId12" xr:uid="{00000000-0004-0000-0500-00000B000000}"/>
    <hyperlink ref="N16" r:id="rId13" xr:uid="{00000000-0004-0000-0500-00000C000000}"/>
    <hyperlink ref="N17" r:id="rId14" xr:uid="{00000000-0004-0000-0500-00000D000000}"/>
    <hyperlink ref="N18" r:id="rId15" xr:uid="{00000000-0004-0000-0500-00000E000000}"/>
    <hyperlink ref="N19" r:id="rId16" xr:uid="{00000000-0004-0000-0500-00000F000000}"/>
    <hyperlink ref="N20" r:id="rId17" xr:uid="{00000000-0004-0000-0500-000010000000}"/>
    <hyperlink ref="N21" r:id="rId18" xr:uid="{00000000-0004-0000-0500-000011000000}"/>
    <hyperlink ref="N22" r:id="rId19" xr:uid="{00000000-0004-0000-0500-000012000000}"/>
    <hyperlink ref="N23" r:id="rId20" xr:uid="{00000000-0004-0000-0500-000013000000}"/>
    <hyperlink ref="N24" r:id="rId21" xr:uid="{00000000-0004-0000-0500-000014000000}"/>
    <hyperlink ref="N25" r:id="rId22" xr:uid="{00000000-0004-0000-0500-000015000000}"/>
    <hyperlink ref="N26" r:id="rId23" xr:uid="{00000000-0004-0000-0500-000016000000}"/>
    <hyperlink ref="N27" r:id="rId24" xr:uid="{00000000-0004-0000-0500-000017000000}"/>
    <hyperlink ref="N28" r:id="rId25" xr:uid="{00000000-0004-0000-0500-000018000000}"/>
    <hyperlink ref="N29" r:id="rId26" xr:uid="{00000000-0004-0000-0500-000019000000}"/>
    <hyperlink ref="N30" r:id="rId27" xr:uid="{00000000-0004-0000-0500-00001A000000}"/>
  </hyperlinks>
  <pageMargins left="0.75" right="0.75" top="1" bottom="1" header="0.5" footer="0.5"/>
  <legacyDrawing r:id="rId2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4A566"/>
  </sheetPr>
  <dimension ref="A1:Y33"/>
  <sheetViews>
    <sheetView showGridLines="0" workbookViewId="0">
      <pane ySplit="6" topLeftCell="A7" activePane="bottomLeft" state="frozen"/>
      <selection pane="bottomLeft"/>
    </sheetView>
  </sheetViews>
  <sheetFormatPr defaultRowHeight="14.5" x14ac:dyDescent="0.35"/>
  <cols>
    <col min="1" max="1" width="29" customWidth="1"/>
    <col min="2" max="2" width="8" customWidth="1"/>
    <col min="3" max="3" width="6" customWidth="1"/>
    <col min="4" max="4" width="8" customWidth="1"/>
    <col min="5" max="5" width="10" customWidth="1"/>
    <col min="6" max="6" width="9" customWidth="1"/>
    <col min="7" max="7" width="11" customWidth="1"/>
    <col min="8" max="8" width="12" customWidth="1"/>
    <col min="9" max="9" width="10" customWidth="1"/>
    <col min="10" max="10" width="11" customWidth="1"/>
    <col min="11" max="22" width="8" customWidth="1"/>
    <col min="23" max="23" width="11" customWidth="1"/>
    <col min="24" max="24" width="19" customWidth="1"/>
    <col min="25" max="25" width="12" customWidth="1"/>
  </cols>
  <sheetData>
    <row r="1" spans="1:25" ht="28" customHeight="1" x14ac:dyDescent="0.35">
      <c r="A1" s="108" t="s">
        <v>240</v>
      </c>
      <c r="B1" s="89"/>
      <c r="C1" s="89"/>
      <c r="D1" s="89"/>
      <c r="E1" s="89"/>
      <c r="F1" s="89"/>
      <c r="G1" s="89"/>
      <c r="H1" s="89"/>
      <c r="I1" s="89"/>
      <c r="J1" s="89"/>
      <c r="K1" s="89"/>
      <c r="L1" s="89"/>
      <c r="M1" s="89"/>
      <c r="N1" s="89"/>
      <c r="O1" s="89"/>
      <c r="P1" s="89"/>
      <c r="Q1" s="89"/>
      <c r="R1" s="89"/>
      <c r="S1" s="89"/>
      <c r="T1" s="89"/>
      <c r="U1" s="89"/>
      <c r="V1" s="89"/>
      <c r="W1" s="89"/>
      <c r="X1" s="89"/>
      <c r="Y1" s="89"/>
    </row>
    <row r="2" spans="1:25" x14ac:dyDescent="0.35">
      <c r="A2" s="105" t="s">
        <v>241</v>
      </c>
      <c r="B2" s="106"/>
      <c r="C2" s="106"/>
      <c r="D2" s="106"/>
      <c r="E2" s="106"/>
      <c r="F2" s="106"/>
      <c r="G2" s="106"/>
      <c r="H2" s="106"/>
      <c r="I2" s="106"/>
      <c r="J2" s="106"/>
      <c r="K2" s="106"/>
      <c r="L2" s="106"/>
      <c r="M2" s="106"/>
      <c r="N2" s="106"/>
      <c r="O2" s="106"/>
      <c r="P2" s="106"/>
      <c r="Q2" s="106"/>
      <c r="R2" s="106"/>
      <c r="S2" s="106"/>
      <c r="T2" s="106"/>
      <c r="U2" s="106"/>
      <c r="V2" s="106"/>
      <c r="W2" s="106"/>
      <c r="X2" s="106"/>
      <c r="Y2" s="106"/>
    </row>
    <row r="3" spans="1:25" x14ac:dyDescent="0.35">
      <c r="A3" s="124" t="s">
        <v>242</v>
      </c>
      <c r="B3" s="66">
        <v>10</v>
      </c>
      <c r="C3" s="66">
        <v>20</v>
      </c>
      <c r="D3" s="66">
        <v>30</v>
      </c>
      <c r="E3" s="66">
        <v>50</v>
      </c>
      <c r="F3" s="66">
        <v>70</v>
      </c>
      <c r="G3" s="66">
        <v>100</v>
      </c>
      <c r="H3" s="65" t="s">
        <v>243</v>
      </c>
      <c r="I3" s="107" t="s">
        <v>244</v>
      </c>
      <c r="J3" s="89"/>
      <c r="K3" s="89"/>
      <c r="L3" s="89"/>
      <c r="M3" s="89"/>
      <c r="N3" s="89"/>
      <c r="O3" s="89"/>
      <c r="P3" s="89"/>
      <c r="Q3" s="89"/>
      <c r="R3" s="89"/>
      <c r="S3" s="89"/>
      <c r="T3" s="89"/>
      <c r="U3" s="89"/>
      <c r="V3" s="89"/>
      <c r="W3" s="89"/>
      <c r="X3" s="89"/>
      <c r="Y3" s="89"/>
    </row>
    <row r="4" spans="1:25" ht="18" x14ac:dyDescent="0.35">
      <c r="A4" s="89"/>
      <c r="B4" s="67">
        <f t="shared" ref="B4:G4" si="0">MIN(K7:K33)</f>
        <v>39</v>
      </c>
      <c r="C4" s="67">
        <f t="shared" si="0"/>
        <v>19</v>
      </c>
      <c r="D4" s="67">
        <f t="shared" si="0"/>
        <v>13</v>
      </c>
      <c r="E4" s="67">
        <f t="shared" si="0"/>
        <v>7</v>
      </c>
      <c r="F4" s="67">
        <f t="shared" si="0"/>
        <v>5</v>
      </c>
      <c r="G4" s="67">
        <f t="shared" si="0"/>
        <v>3</v>
      </c>
      <c r="H4" s="65" t="s">
        <v>245</v>
      </c>
      <c r="I4" s="89"/>
      <c r="J4" s="89"/>
      <c r="K4" s="89"/>
      <c r="L4" s="89"/>
      <c r="M4" s="89"/>
      <c r="N4" s="89"/>
      <c r="O4" s="89"/>
      <c r="P4" s="89"/>
      <c r="Q4" s="89"/>
      <c r="R4" s="89"/>
      <c r="S4" s="89"/>
      <c r="T4" s="89"/>
      <c r="U4" s="89"/>
      <c r="V4" s="89"/>
      <c r="W4" s="89"/>
      <c r="X4" s="89"/>
      <c r="Y4" s="89"/>
    </row>
    <row r="5" spans="1:25" ht="18" x14ac:dyDescent="0.35">
      <c r="A5" s="89"/>
      <c r="B5" s="68">
        <f t="shared" ref="B5:G5" si="1">MIN(Q7:Q33)</f>
        <v>39</v>
      </c>
      <c r="C5" s="68">
        <f t="shared" si="1"/>
        <v>19</v>
      </c>
      <c r="D5" s="68">
        <f t="shared" si="1"/>
        <v>13</v>
      </c>
      <c r="E5" s="68">
        <f t="shared" si="1"/>
        <v>7</v>
      </c>
      <c r="F5" s="68">
        <f t="shared" si="1"/>
        <v>5</v>
      </c>
      <c r="G5" s="68">
        <f t="shared" si="1"/>
        <v>3</v>
      </c>
      <c r="H5" s="1"/>
      <c r="I5" s="89"/>
      <c r="J5" s="89"/>
      <c r="K5" s="89"/>
      <c r="L5" s="89"/>
      <c r="M5" s="89"/>
      <c r="N5" s="89"/>
      <c r="O5" s="89"/>
      <c r="P5" s="89"/>
      <c r="Q5" s="89"/>
      <c r="R5" s="89"/>
      <c r="S5" s="89"/>
      <c r="T5" s="89"/>
      <c r="U5" s="89"/>
      <c r="V5" s="89"/>
      <c r="W5" s="89"/>
      <c r="X5" s="89"/>
      <c r="Y5" s="89"/>
    </row>
    <row r="6" spans="1:25" ht="24" customHeight="1" x14ac:dyDescent="0.35">
      <c r="A6" s="17" t="s">
        <v>53</v>
      </c>
      <c r="B6" s="17" t="s">
        <v>222</v>
      </c>
      <c r="C6" s="17" t="s">
        <v>223</v>
      </c>
      <c r="D6" s="17" t="s">
        <v>224</v>
      </c>
      <c r="E6" s="17" t="s">
        <v>246</v>
      </c>
      <c r="F6" s="17" t="s">
        <v>247</v>
      </c>
      <c r="G6" s="17" t="s">
        <v>248</v>
      </c>
      <c r="H6" s="17" t="s">
        <v>249</v>
      </c>
      <c r="I6" s="17" t="s">
        <v>57</v>
      </c>
      <c r="J6" s="17" t="s">
        <v>250</v>
      </c>
      <c r="K6" s="17" t="s">
        <v>251</v>
      </c>
      <c r="L6" s="17" t="s">
        <v>252</v>
      </c>
      <c r="M6" s="17" t="s">
        <v>253</v>
      </c>
      <c r="N6" s="17" t="s">
        <v>254</v>
      </c>
      <c r="O6" s="17" t="s">
        <v>255</v>
      </c>
      <c r="P6" s="17" t="s">
        <v>256</v>
      </c>
      <c r="Q6" s="17" t="s">
        <v>257</v>
      </c>
      <c r="R6" s="17" t="s">
        <v>258</v>
      </c>
      <c r="S6" s="17" t="s">
        <v>259</v>
      </c>
      <c r="T6" s="17" t="s">
        <v>260</v>
      </c>
      <c r="U6" s="17" t="s">
        <v>261</v>
      </c>
      <c r="V6" s="17" t="s">
        <v>262</v>
      </c>
      <c r="W6" s="17" t="s">
        <v>263</v>
      </c>
      <c r="X6" s="17" t="s">
        <v>264</v>
      </c>
      <c r="Y6" s="17" t="s">
        <v>265</v>
      </c>
    </row>
    <row r="7" spans="1:25" x14ac:dyDescent="0.35">
      <c r="A7" s="53" t="str">
        <f>Inventory!A4</f>
        <v>Bergamot Accord</v>
      </c>
      <c r="B7" s="69">
        <f>Inventory!B4</f>
        <v>10</v>
      </c>
      <c r="C7" s="61" t="str">
        <f>Inventory!C4</f>
        <v>ml</v>
      </c>
      <c r="D7" s="69">
        <f>Inventory!D4</f>
        <v>1</v>
      </c>
      <c r="E7" s="60">
        <v>0</v>
      </c>
      <c r="F7" s="70">
        <f>Inventory!E4</f>
        <v>0.9</v>
      </c>
      <c r="G7" s="24">
        <f>Inventory!K4</f>
        <v>9</v>
      </c>
      <c r="H7" s="57">
        <f t="shared" ref="H7:H33" si="2">G7+E7*IF(C7="ml",B7*F7,B7)</f>
        <v>9</v>
      </c>
      <c r="I7" s="71">
        <f t="shared" ref="I7:I33" si="3">IF(A7="DPG (Dipropylene Glycol)",D10ActivePct,IFERROR(INDEX(FM_Active,MATCH(A7,FM_Mat,0)),""))</f>
        <v>4.4999999999999998E-2</v>
      </c>
      <c r="J7" s="72">
        <f t="shared" ref="J7:J33" si="4">IF(A7="DPG (Dipropylene Glycol)",D10ActivePct*0.9,IF(A7="Alcohol 190 proof SDA 40B","",IFERROR(I7*IF(INDEX(FM_D10,MATCH(A7,FM_Mat,0))="D10",0.1,1),"")))</f>
        <v>4.4999999999999998E-2</v>
      </c>
      <c r="K7" s="69">
        <f t="shared" ref="K7:K33" si="5">IF($A7="","",IF($A7="DPG (Dipropylene Glycol)",IFERROR(FLOOR((MAX($G7,0)/(D10ActivePct*0.9))/(10*YC_Density*YC_ConcPct),1),""),IF($A7="Alcohol 190 proof SDA 40B",IFERROR(FLOOR(MAX($G7,0)/(10*YC_Density*(1-YC_ConcPct)),1),""),IFERROR(FLOOR((MAX($G7,0)/(INDEX(FM_Active,MATCH($A7,FM_Mat,0))*IF(INDEX(FM_D10,MATCH($A7,FM_Mat,0))="D10",0.1,1)))/(10*YC_Density*YC_ConcPct),1),""))))</f>
        <v>84</v>
      </c>
      <c r="L7" s="69">
        <f t="shared" ref="L7:L33" si="6">IF($A7="","",IF($A7="DPG (Dipropylene Glycol)",IFERROR(FLOOR((MAX($G7,0)/(D10ActivePct*0.9))/(20*YC_Density*YC_ConcPct),1),""),IF($A7="Alcohol 190 proof SDA 40B",IFERROR(FLOOR(MAX($G7,0)/(20*YC_Density*(1-YC_ConcPct)),1),""),IFERROR(FLOOR((MAX($G7,0)/(INDEX(FM_Active,MATCH($A7,FM_Mat,0))*IF(INDEX(FM_D10,MATCH($A7,FM_Mat,0))="D10",0.1,1)))/(20*YC_Density*YC_ConcPct),1),""))))</f>
        <v>42</v>
      </c>
      <c r="M7" s="69">
        <f t="shared" ref="M7:M33" si="7">IF($A7="","",IF($A7="DPG (Dipropylene Glycol)",IFERROR(FLOOR((MAX($G7,0)/(D10ActivePct*0.9))/(30*YC_Density*YC_ConcPct),1),""),IF($A7="Alcohol 190 proof SDA 40B",IFERROR(FLOOR(MAX($G7,0)/(30*YC_Density*(1-YC_ConcPct)),1),""),IFERROR(FLOOR((MAX($G7,0)/(INDEX(FM_Active,MATCH($A7,FM_Mat,0))*IF(INDEX(FM_D10,MATCH($A7,FM_Mat,0))="D10",0.1,1)))/(30*YC_Density*YC_ConcPct),1),""))))</f>
        <v>28</v>
      </c>
      <c r="N7" s="69">
        <f t="shared" ref="N7:N33" si="8">IF($A7="","",IF($A7="DPG (Dipropylene Glycol)",IFERROR(FLOOR((MAX($G7,0)/(D10ActivePct*0.9))/(50*YC_Density*YC_ConcPct),1),""),IF($A7="Alcohol 190 proof SDA 40B",IFERROR(FLOOR(MAX($G7,0)/(50*YC_Density*(1-YC_ConcPct)),1),""),IFERROR(FLOOR((MAX($G7,0)/(INDEX(FM_Active,MATCH($A7,FM_Mat,0))*IF(INDEX(FM_D10,MATCH($A7,FM_Mat,0))="D10",0.1,1)))/(50*YC_Density*YC_ConcPct),1),""))))</f>
        <v>16</v>
      </c>
      <c r="O7" s="69">
        <f t="shared" ref="O7:O33" si="9">IF($A7="","",IF($A7="DPG (Dipropylene Glycol)",IFERROR(FLOOR((MAX($G7,0)/(D10ActivePct*0.9))/(70*YC_Density*YC_ConcPct),1),""),IF($A7="Alcohol 190 proof SDA 40B",IFERROR(FLOOR(MAX($G7,0)/(70*YC_Density*(1-YC_ConcPct)),1),""),IFERROR(FLOOR((MAX($G7,0)/(INDEX(FM_Active,MATCH($A7,FM_Mat,0))*IF(INDEX(FM_D10,MATCH($A7,FM_Mat,0))="D10",0.1,1)))/(70*YC_Density*YC_ConcPct),1),""))))</f>
        <v>12</v>
      </c>
      <c r="P7" s="69">
        <f t="shared" ref="P7:P33" si="10">IF($A7="","",IF($A7="DPG (Dipropylene Glycol)",IFERROR(FLOOR((MAX($G7,0)/(D10ActivePct*0.9))/(100*YC_Density*YC_ConcPct),1),""),IF($A7="Alcohol 190 proof SDA 40B",IFERROR(FLOOR(MAX($G7,0)/(100*YC_Density*(1-YC_ConcPct)),1),""),IFERROR(FLOOR((MAX($G7,0)/(INDEX(FM_Active,MATCH($A7,FM_Mat,0))*IF(INDEX(FM_D10,MATCH($A7,FM_Mat,0))="D10",0.1,1)))/(100*YC_Density*YC_ConcPct),1),""))))</f>
        <v>8</v>
      </c>
      <c r="Q7" s="63">
        <f t="shared" ref="Q7:Q33" si="11">IF($A7="","",IF($A7="DPG (Dipropylene Glycol)",IFERROR(FLOOR((MAX($H7,0)/(D10ActivePct*0.9))/(10*YC_Density*YC_ConcPct),1),""),IF($A7="Alcohol 190 proof SDA 40B",IFERROR(FLOOR(MAX($H7,0)/(10*YC_Density*(1-YC_ConcPct)),1),""),IFERROR(FLOOR((MAX($H7,0)/(INDEX(FM_Active,MATCH($A7,FM_Mat,0))*IF(INDEX(FM_D10,MATCH($A7,FM_Mat,0))="D10",0.1,1)))/(10*YC_Density*YC_ConcPct),1),""))))</f>
        <v>84</v>
      </c>
      <c r="R7" s="63">
        <f t="shared" ref="R7:R33" si="12">IF($A7="","",IF($A7="DPG (Dipropylene Glycol)",IFERROR(FLOOR((MAX($H7,0)/(D10ActivePct*0.9))/(20*YC_Density*YC_ConcPct),1),""),IF($A7="Alcohol 190 proof SDA 40B",IFERROR(FLOOR(MAX($H7,0)/(20*YC_Density*(1-YC_ConcPct)),1),""),IFERROR(FLOOR((MAX($H7,0)/(INDEX(FM_Active,MATCH($A7,FM_Mat,0))*IF(INDEX(FM_D10,MATCH($A7,FM_Mat,0))="D10",0.1,1)))/(20*YC_Density*YC_ConcPct),1),""))))</f>
        <v>42</v>
      </c>
      <c r="S7" s="63">
        <f t="shared" ref="S7:S33" si="13">IF($A7="","",IF($A7="DPG (Dipropylene Glycol)",IFERROR(FLOOR((MAX($H7,0)/(D10ActivePct*0.9))/(30*YC_Density*YC_ConcPct),1),""),IF($A7="Alcohol 190 proof SDA 40B",IFERROR(FLOOR(MAX($H7,0)/(30*YC_Density*(1-YC_ConcPct)),1),""),IFERROR(FLOOR((MAX($H7,0)/(INDEX(FM_Active,MATCH($A7,FM_Mat,0))*IF(INDEX(FM_D10,MATCH($A7,FM_Mat,0))="D10",0.1,1)))/(30*YC_Density*YC_ConcPct),1),""))))</f>
        <v>28</v>
      </c>
      <c r="T7" s="63">
        <f t="shared" ref="T7:T33" si="14">IF($A7="","",IF($A7="DPG (Dipropylene Glycol)",IFERROR(FLOOR((MAX($H7,0)/(D10ActivePct*0.9))/(50*YC_Density*YC_ConcPct),1),""),IF($A7="Alcohol 190 proof SDA 40B",IFERROR(FLOOR(MAX($H7,0)/(50*YC_Density*(1-YC_ConcPct)),1),""),IFERROR(FLOOR((MAX($H7,0)/(INDEX(FM_Active,MATCH($A7,FM_Mat,0))*IF(INDEX(FM_D10,MATCH($A7,FM_Mat,0))="D10",0.1,1)))/(50*YC_Density*YC_ConcPct),1),""))))</f>
        <v>16</v>
      </c>
      <c r="U7" s="63">
        <f t="shared" ref="U7:U33" si="15">IF($A7="","",IF($A7="DPG (Dipropylene Glycol)",IFERROR(FLOOR((MAX($H7,0)/(D10ActivePct*0.9))/(70*YC_Density*YC_ConcPct),1),""),IF($A7="Alcohol 190 proof SDA 40B",IFERROR(FLOOR(MAX($H7,0)/(70*YC_Density*(1-YC_ConcPct)),1),""),IFERROR(FLOOR((MAX($H7,0)/(INDEX(FM_Active,MATCH($A7,FM_Mat,0))*IF(INDEX(FM_D10,MATCH($A7,FM_Mat,0))="D10",0.1,1)))/(70*YC_Density*YC_ConcPct),1),""))))</f>
        <v>12</v>
      </c>
      <c r="V7" s="63">
        <f t="shared" ref="V7:V33" si="16">IF($A7="","",IF($A7="DPG (Dipropylene Glycol)",IFERROR(FLOOR((MAX($H7,0)/(D10ActivePct*0.9))/(100*YC_Density*YC_ConcPct),1),""),IF($A7="Alcohol 190 proof SDA 40B",IFERROR(FLOOR(MAX($H7,0)/(100*YC_Density*(1-YC_ConcPct)),1),""),IFERROR(FLOOR((MAX($H7,0)/(INDEX(FM_Active,MATCH($A7,FM_Mat,0))*IF(INDEX(FM_D10,MATCH($A7,FM_Mat,0))="D10",0.1,1)))/(100*YC_Density*YC_ConcPct),1),""))))</f>
        <v>8</v>
      </c>
      <c r="W7" s="63">
        <f>IF($N7="","",MAX(0,MIN(IF($A7="","",IF($A7="DPG (Dipropylene Glycol)",IFERROR(FLOOR((MAX(($G7+IF($C7="ml",$B7*$F7,$B7)),0)/(D10ActivePct*0.9))/(50*YC_Density*YC_ConcPct),1),""),IF($A7="Alcohol 190 proof SDA 40B",IFERROR(FLOOR(MAX(($G7+IF($C7="ml",$B7*$F7,$B7)),0)/(50*YC_Density*(1-YC_ConcPct)),1),""),IFERROR(FLOOR((MAX(($G7+IF($C7="ml",$B7*$F7,$B7)),0)/(INDEX(FM_Active,MATCH($A7,FM_Mat,0))*IF(INDEX(FM_D10,MATCH($A7,FM_Mat,0))="D10",0.1,1)))/(50*YC_Density*YC_ConcPct),1),"")))),MIN($N$8:$N$33))-$E$4))</f>
        <v>0</v>
      </c>
      <c r="X7" s="61" t="str">
        <f t="shared" ref="X7:X33" si="17">IF(AND(ISNUMBER(W7),W7&gt;0),"BUY MORE - raises output",IF(AND(ISNUMBER(N7),N7=$E$4),"CURRENT BOTTLENECK",IF(AND(ISNUMBER(N7),N7&lt;=$E$4+2),"NEXT LIMIT","")))</f>
        <v/>
      </c>
      <c r="Y7" s="62" t="s">
        <v>266</v>
      </c>
    </row>
    <row r="8" spans="1:25" x14ac:dyDescent="0.35">
      <c r="A8" s="53" t="str">
        <f>Inventory!A5</f>
        <v>Pink Peppercorn</v>
      </c>
      <c r="B8" s="69">
        <f>Inventory!B5</f>
        <v>10</v>
      </c>
      <c r="C8" s="61" t="str">
        <f>Inventory!C5</f>
        <v>ml</v>
      </c>
      <c r="D8" s="69">
        <f>Inventory!D5</f>
        <v>1</v>
      </c>
      <c r="E8" s="60">
        <v>0</v>
      </c>
      <c r="F8" s="70">
        <f>Inventory!E5</f>
        <v>0.9</v>
      </c>
      <c r="G8" s="24">
        <f>Inventory!K5</f>
        <v>9</v>
      </c>
      <c r="H8" s="57">
        <f t="shared" si="2"/>
        <v>9</v>
      </c>
      <c r="I8" s="71">
        <f t="shared" si="3"/>
        <v>0.01</v>
      </c>
      <c r="J8" s="72">
        <f t="shared" si="4"/>
        <v>1E-3</v>
      </c>
      <c r="K8" s="69">
        <f t="shared" si="5"/>
        <v>3781</v>
      </c>
      <c r="L8" s="69">
        <f t="shared" si="6"/>
        <v>1890</v>
      </c>
      <c r="M8" s="69">
        <f t="shared" si="7"/>
        <v>1260</v>
      </c>
      <c r="N8" s="69">
        <f t="shared" si="8"/>
        <v>756</v>
      </c>
      <c r="O8" s="69">
        <f t="shared" si="9"/>
        <v>540</v>
      </c>
      <c r="P8" s="69">
        <f t="shared" si="10"/>
        <v>378</v>
      </c>
      <c r="Q8" s="63">
        <f t="shared" si="11"/>
        <v>3781</v>
      </c>
      <c r="R8" s="63">
        <f t="shared" si="12"/>
        <v>1890</v>
      </c>
      <c r="S8" s="63">
        <f t="shared" si="13"/>
        <v>1260</v>
      </c>
      <c r="T8" s="63">
        <f t="shared" si="14"/>
        <v>756</v>
      </c>
      <c r="U8" s="63">
        <f t="shared" si="15"/>
        <v>540</v>
      </c>
      <c r="V8" s="63">
        <f t="shared" si="16"/>
        <v>378</v>
      </c>
      <c r="W8" s="63">
        <f>IF($N8="","",MAX(0,MIN(IF($A8="","",IF($A8="DPG (Dipropylene Glycol)",IFERROR(FLOOR((MAX(($G8+IF($C8="ml",$B8*$F8,$B8)),0)/(D10ActivePct*0.9))/(50*YC_Density*YC_ConcPct),1),""),IF($A8="Alcohol 190 proof SDA 40B",IFERROR(FLOOR(MAX(($G8+IF($C8="ml",$B8*$F8,$B8)),0)/(50*YC_Density*(1-YC_ConcPct)),1),""),IFERROR(FLOOR((MAX(($G8+IF($C8="ml",$B8*$F8,$B8)),0)/(INDEX(FM_Active,MATCH($A8,FM_Mat,0))*IF(INDEX(FM_D10,MATCH($A8,FM_Mat,0))="D10",0.1,1)))/(50*YC_Density*YC_ConcPct),1),"")))),MIN($N$7:$N$7),MIN($N$9:$N$33))-$E$4))</f>
        <v>0</v>
      </c>
      <c r="X8" s="61" t="str">
        <f t="shared" si="17"/>
        <v/>
      </c>
      <c r="Y8" s="62" t="s">
        <v>266</v>
      </c>
    </row>
    <row r="9" spans="1:25" x14ac:dyDescent="0.35">
      <c r="A9" s="53" t="str">
        <f>Inventory!A6</f>
        <v>Aldehyde C-14 Peach</v>
      </c>
      <c r="B9" s="69">
        <f>Inventory!B6</f>
        <v>10</v>
      </c>
      <c r="C9" s="61" t="str">
        <f>Inventory!C6</f>
        <v>ml</v>
      </c>
      <c r="D9" s="69">
        <f>Inventory!D6</f>
        <v>1</v>
      </c>
      <c r="E9" s="60">
        <v>0</v>
      </c>
      <c r="F9" s="70">
        <f>Inventory!E6</f>
        <v>0.9</v>
      </c>
      <c r="G9" s="24">
        <f>Inventory!K6</f>
        <v>9</v>
      </c>
      <c r="H9" s="57">
        <f t="shared" si="2"/>
        <v>9</v>
      </c>
      <c r="I9" s="71">
        <f t="shared" si="3"/>
        <v>0.02</v>
      </c>
      <c r="J9" s="72">
        <f t="shared" si="4"/>
        <v>0.02</v>
      </c>
      <c r="K9" s="69">
        <f t="shared" si="5"/>
        <v>189</v>
      </c>
      <c r="L9" s="69">
        <f t="shared" si="6"/>
        <v>94</v>
      </c>
      <c r="M9" s="69">
        <f t="shared" si="7"/>
        <v>63</v>
      </c>
      <c r="N9" s="69">
        <f t="shared" si="8"/>
        <v>37</v>
      </c>
      <c r="O9" s="69">
        <f t="shared" si="9"/>
        <v>27</v>
      </c>
      <c r="P9" s="69">
        <f t="shared" si="10"/>
        <v>18</v>
      </c>
      <c r="Q9" s="63">
        <f t="shared" si="11"/>
        <v>189</v>
      </c>
      <c r="R9" s="63">
        <f t="shared" si="12"/>
        <v>94</v>
      </c>
      <c r="S9" s="63">
        <f t="shared" si="13"/>
        <v>63</v>
      </c>
      <c r="T9" s="63">
        <f t="shared" si="14"/>
        <v>37</v>
      </c>
      <c r="U9" s="63">
        <f t="shared" si="15"/>
        <v>27</v>
      </c>
      <c r="V9" s="63">
        <f t="shared" si="16"/>
        <v>18</v>
      </c>
      <c r="W9" s="63">
        <f>IF($N9="","",MAX(0,MIN(IF($A9="","",IF($A9="DPG (Dipropylene Glycol)",IFERROR(FLOOR((MAX(($G9+IF($C9="ml",$B9*$F9,$B9)),0)/(D10ActivePct*0.9))/(50*YC_Density*YC_ConcPct),1),""),IF($A9="Alcohol 190 proof SDA 40B",IFERROR(FLOOR(MAX(($G9+IF($C9="ml",$B9*$F9,$B9)),0)/(50*YC_Density*(1-YC_ConcPct)),1),""),IFERROR(FLOOR((MAX(($G9+IF($C9="ml",$B9*$F9,$B9)),0)/(INDEX(FM_Active,MATCH($A9,FM_Mat,0))*IF(INDEX(FM_D10,MATCH($A9,FM_Mat,0))="D10",0.1,1)))/(50*YC_Density*YC_ConcPct),1),"")))),MIN($N$7:$N$8),MIN($N$10:$N$33))-$E$4))</f>
        <v>0</v>
      </c>
      <c r="X9" s="61" t="str">
        <f t="shared" si="17"/>
        <v/>
      </c>
      <c r="Y9" s="62" t="s">
        <v>266</v>
      </c>
    </row>
    <row r="10" spans="1:25" x14ac:dyDescent="0.35">
      <c r="A10" s="53" t="str">
        <f>Inventory!A7</f>
        <v>Raspberry Accord</v>
      </c>
      <c r="B10" s="69">
        <f>Inventory!B7</f>
        <v>10</v>
      </c>
      <c r="C10" s="61" t="str">
        <f>Inventory!C7</f>
        <v>ml</v>
      </c>
      <c r="D10" s="69">
        <f>Inventory!D7</f>
        <v>1</v>
      </c>
      <c r="E10" s="60">
        <v>0</v>
      </c>
      <c r="F10" s="70">
        <f>Inventory!E7</f>
        <v>0.9</v>
      </c>
      <c r="G10" s="24">
        <f>Inventory!K7</f>
        <v>9</v>
      </c>
      <c r="H10" s="57">
        <f t="shared" si="2"/>
        <v>9</v>
      </c>
      <c r="I10" s="71">
        <f t="shared" si="3"/>
        <v>0.01</v>
      </c>
      <c r="J10" s="72">
        <f t="shared" si="4"/>
        <v>0.01</v>
      </c>
      <c r="K10" s="69">
        <f t="shared" si="5"/>
        <v>378</v>
      </c>
      <c r="L10" s="69">
        <f t="shared" si="6"/>
        <v>189</v>
      </c>
      <c r="M10" s="69">
        <f t="shared" si="7"/>
        <v>126</v>
      </c>
      <c r="N10" s="69">
        <f t="shared" si="8"/>
        <v>75</v>
      </c>
      <c r="O10" s="69">
        <f t="shared" si="9"/>
        <v>54</v>
      </c>
      <c r="P10" s="69">
        <f t="shared" si="10"/>
        <v>37</v>
      </c>
      <c r="Q10" s="63">
        <f t="shared" si="11"/>
        <v>378</v>
      </c>
      <c r="R10" s="63">
        <f t="shared" si="12"/>
        <v>189</v>
      </c>
      <c r="S10" s="63">
        <f t="shared" si="13"/>
        <v>126</v>
      </c>
      <c r="T10" s="63">
        <f t="shared" si="14"/>
        <v>75</v>
      </c>
      <c r="U10" s="63">
        <f t="shared" si="15"/>
        <v>54</v>
      </c>
      <c r="V10" s="63">
        <f t="shared" si="16"/>
        <v>37</v>
      </c>
      <c r="W10" s="63">
        <f>IF($N10="","",MAX(0,MIN(IF($A10="","",IF($A10="DPG (Dipropylene Glycol)",IFERROR(FLOOR((MAX(($G10+IF($C10="ml",$B10*$F10,$B10)),0)/(D10ActivePct*0.9))/(50*YC_Density*YC_ConcPct),1),""),IF($A10="Alcohol 190 proof SDA 40B",IFERROR(FLOOR(MAX(($G10+IF($C10="ml",$B10*$F10,$B10)),0)/(50*YC_Density*(1-YC_ConcPct)),1),""),IFERROR(FLOOR((MAX(($G10+IF($C10="ml",$B10*$F10,$B10)),0)/(INDEX(FM_Active,MATCH($A10,FM_Mat,0))*IF(INDEX(FM_D10,MATCH($A10,FM_Mat,0))="D10",0.1,1)))/(50*YC_Density*YC_ConcPct),1),"")))),MIN($N$7:$N$9),MIN($N$11:$N$33))-$E$4))</f>
        <v>0</v>
      </c>
      <c r="X10" s="61" t="str">
        <f t="shared" si="17"/>
        <v/>
      </c>
      <c r="Y10" s="62" t="s">
        <v>266</v>
      </c>
    </row>
    <row r="11" spans="1:25" x14ac:dyDescent="0.35">
      <c r="A11" s="53" t="str">
        <f>Inventory!A8</f>
        <v>Hedione (Firmenich)</v>
      </c>
      <c r="B11" s="69">
        <f>Inventory!B8</f>
        <v>30</v>
      </c>
      <c r="C11" s="61" t="str">
        <f>Inventory!C8</f>
        <v>ml</v>
      </c>
      <c r="D11" s="69">
        <f>Inventory!D8</f>
        <v>1</v>
      </c>
      <c r="E11" s="60">
        <v>0</v>
      </c>
      <c r="F11" s="70">
        <f>Inventory!E8</f>
        <v>0.9</v>
      </c>
      <c r="G11" s="24">
        <f>Inventory!K8</f>
        <v>27</v>
      </c>
      <c r="H11" s="57">
        <f t="shared" si="2"/>
        <v>27</v>
      </c>
      <c r="I11" s="71">
        <f t="shared" si="3"/>
        <v>0.14699999999999999</v>
      </c>
      <c r="J11" s="72">
        <f t="shared" si="4"/>
        <v>0.14699999999999999</v>
      </c>
      <c r="K11" s="69">
        <f t="shared" si="5"/>
        <v>77</v>
      </c>
      <c r="L11" s="69">
        <f t="shared" si="6"/>
        <v>38</v>
      </c>
      <c r="M11" s="69">
        <f t="shared" si="7"/>
        <v>25</v>
      </c>
      <c r="N11" s="69">
        <f t="shared" si="8"/>
        <v>15</v>
      </c>
      <c r="O11" s="69">
        <f t="shared" si="9"/>
        <v>11</v>
      </c>
      <c r="P11" s="69">
        <f t="shared" si="10"/>
        <v>7</v>
      </c>
      <c r="Q11" s="63">
        <f t="shared" si="11"/>
        <v>77</v>
      </c>
      <c r="R11" s="63">
        <f t="shared" si="12"/>
        <v>38</v>
      </c>
      <c r="S11" s="63">
        <f t="shared" si="13"/>
        <v>25</v>
      </c>
      <c r="T11" s="63">
        <f t="shared" si="14"/>
        <v>15</v>
      </c>
      <c r="U11" s="63">
        <f t="shared" si="15"/>
        <v>11</v>
      </c>
      <c r="V11" s="63">
        <f t="shared" si="16"/>
        <v>7</v>
      </c>
      <c r="W11" s="63">
        <f>IF($N11="","",MAX(0,MIN(IF($A11="","",IF($A11="DPG (Dipropylene Glycol)",IFERROR(FLOOR((MAX(($G11+IF($C11="ml",$B11*$F11,$B11)),0)/(D10ActivePct*0.9))/(50*YC_Density*YC_ConcPct),1),""),IF($A11="Alcohol 190 proof SDA 40B",IFERROR(FLOOR(MAX(($G11+IF($C11="ml",$B11*$F11,$B11)),0)/(50*YC_Density*(1-YC_ConcPct)),1),""),IFERROR(FLOOR((MAX(($G11+IF($C11="ml",$B11*$F11,$B11)),0)/(INDEX(FM_Active,MATCH($A11,FM_Mat,0))*IF(INDEX(FM_D10,MATCH($A11,FM_Mat,0))="D10",0.1,1)))/(50*YC_Density*YC_ConcPct),1),"")))),MIN($N$7:$N$10),MIN($N$12:$N$33))-$E$4))</f>
        <v>0</v>
      </c>
      <c r="X11" s="61" t="str">
        <f t="shared" si="17"/>
        <v/>
      </c>
      <c r="Y11" s="62" t="s">
        <v>266</v>
      </c>
    </row>
    <row r="12" spans="1:25" x14ac:dyDescent="0.35">
      <c r="A12" s="53" t="str">
        <f>Inventory!A9</f>
        <v>Jasmin Absolute Accord</v>
      </c>
      <c r="B12" s="69">
        <f>Inventory!B9</f>
        <v>10</v>
      </c>
      <c r="C12" s="61" t="str">
        <f>Inventory!C9</f>
        <v>ml</v>
      </c>
      <c r="D12" s="69">
        <f>Inventory!D9</f>
        <v>1</v>
      </c>
      <c r="E12" s="60">
        <v>0</v>
      </c>
      <c r="F12" s="70">
        <f>Inventory!E9</f>
        <v>0.9</v>
      </c>
      <c r="G12" s="24">
        <f>Inventory!K9</f>
        <v>9</v>
      </c>
      <c r="H12" s="57">
        <f t="shared" si="2"/>
        <v>9</v>
      </c>
      <c r="I12" s="71">
        <f t="shared" si="3"/>
        <v>0.03</v>
      </c>
      <c r="J12" s="72">
        <f t="shared" si="4"/>
        <v>0.03</v>
      </c>
      <c r="K12" s="69">
        <f t="shared" si="5"/>
        <v>126</v>
      </c>
      <c r="L12" s="69">
        <f t="shared" si="6"/>
        <v>63</v>
      </c>
      <c r="M12" s="69">
        <f t="shared" si="7"/>
        <v>42</v>
      </c>
      <c r="N12" s="69">
        <f t="shared" si="8"/>
        <v>25</v>
      </c>
      <c r="O12" s="69">
        <f t="shared" si="9"/>
        <v>18</v>
      </c>
      <c r="P12" s="69">
        <f t="shared" si="10"/>
        <v>12</v>
      </c>
      <c r="Q12" s="63">
        <f t="shared" si="11"/>
        <v>126</v>
      </c>
      <c r="R12" s="63">
        <f t="shared" si="12"/>
        <v>63</v>
      </c>
      <c r="S12" s="63">
        <f t="shared" si="13"/>
        <v>42</v>
      </c>
      <c r="T12" s="63">
        <f t="shared" si="14"/>
        <v>25</v>
      </c>
      <c r="U12" s="63">
        <f t="shared" si="15"/>
        <v>18</v>
      </c>
      <c r="V12" s="63">
        <f t="shared" si="16"/>
        <v>12</v>
      </c>
      <c r="W12" s="63">
        <f>IF($N12="","",MAX(0,MIN(IF($A12="","",IF($A12="DPG (Dipropylene Glycol)",IFERROR(FLOOR((MAX(($G12+IF($C12="ml",$B12*$F12,$B12)),0)/(D10ActivePct*0.9))/(50*YC_Density*YC_ConcPct),1),""),IF($A12="Alcohol 190 proof SDA 40B",IFERROR(FLOOR(MAX(($G12+IF($C12="ml",$B12*$F12,$B12)),0)/(50*YC_Density*(1-YC_ConcPct)),1),""),IFERROR(FLOOR((MAX(($G12+IF($C12="ml",$B12*$F12,$B12)),0)/(INDEX(FM_Active,MATCH($A12,FM_Mat,0))*IF(INDEX(FM_D10,MATCH($A12,FM_Mat,0))="D10",0.1,1)))/(50*YC_Density*YC_ConcPct),1),"")))),MIN($N$7:$N$11),MIN($N$13:$N$33))-$E$4))</f>
        <v>0</v>
      </c>
      <c r="X12" s="61" t="str">
        <f t="shared" si="17"/>
        <v/>
      </c>
      <c r="Y12" s="62" t="s">
        <v>266</v>
      </c>
    </row>
    <row r="13" spans="1:25" x14ac:dyDescent="0.35">
      <c r="A13" s="53" t="str">
        <f>Inventory!A10</f>
        <v>Tuberose Accord</v>
      </c>
      <c r="B13" s="69">
        <f>Inventory!B10</f>
        <v>10</v>
      </c>
      <c r="C13" s="61" t="str">
        <f>Inventory!C10</f>
        <v>ml</v>
      </c>
      <c r="D13" s="69">
        <f>Inventory!D10</f>
        <v>1</v>
      </c>
      <c r="E13" s="60">
        <v>0</v>
      </c>
      <c r="F13" s="70">
        <f>Inventory!E10</f>
        <v>0.9</v>
      </c>
      <c r="G13" s="24">
        <f>Inventory!K10</f>
        <v>9</v>
      </c>
      <c r="H13" s="57">
        <f t="shared" si="2"/>
        <v>9</v>
      </c>
      <c r="I13" s="71">
        <f t="shared" si="3"/>
        <v>1.4999999999999999E-2</v>
      </c>
      <c r="J13" s="72">
        <f t="shared" si="4"/>
        <v>1.4999999999999999E-2</v>
      </c>
      <c r="K13" s="69">
        <f t="shared" si="5"/>
        <v>252</v>
      </c>
      <c r="L13" s="69">
        <f t="shared" si="6"/>
        <v>126</v>
      </c>
      <c r="M13" s="69">
        <f t="shared" si="7"/>
        <v>84</v>
      </c>
      <c r="N13" s="69">
        <f t="shared" si="8"/>
        <v>50</v>
      </c>
      <c r="O13" s="69">
        <f t="shared" si="9"/>
        <v>36</v>
      </c>
      <c r="P13" s="69">
        <f t="shared" si="10"/>
        <v>25</v>
      </c>
      <c r="Q13" s="63">
        <f t="shared" si="11"/>
        <v>252</v>
      </c>
      <c r="R13" s="63">
        <f t="shared" si="12"/>
        <v>126</v>
      </c>
      <c r="S13" s="63">
        <f t="shared" si="13"/>
        <v>84</v>
      </c>
      <c r="T13" s="63">
        <f t="shared" si="14"/>
        <v>50</v>
      </c>
      <c r="U13" s="63">
        <f t="shared" si="15"/>
        <v>36</v>
      </c>
      <c r="V13" s="63">
        <f t="shared" si="16"/>
        <v>25</v>
      </c>
      <c r="W13" s="63">
        <f>IF($N13="","",MAX(0,MIN(IF($A13="","",IF($A13="DPG (Dipropylene Glycol)",IFERROR(FLOOR((MAX(($G13+IF($C13="ml",$B13*$F13,$B13)),0)/(D10ActivePct*0.9))/(50*YC_Density*YC_ConcPct),1),""),IF($A13="Alcohol 190 proof SDA 40B",IFERROR(FLOOR(MAX(($G13+IF($C13="ml",$B13*$F13,$B13)),0)/(50*YC_Density*(1-YC_ConcPct)),1),""),IFERROR(FLOOR((MAX(($G13+IF($C13="ml",$B13*$F13,$B13)),0)/(INDEX(FM_Active,MATCH($A13,FM_Mat,0))*IF(INDEX(FM_D10,MATCH($A13,FM_Mat,0))="D10",0.1,1)))/(50*YC_Density*YC_ConcPct),1),"")))),MIN($N$7:$N$12),MIN($N$14:$N$33))-$E$4))</f>
        <v>0</v>
      </c>
      <c r="X13" s="61" t="str">
        <f t="shared" si="17"/>
        <v/>
      </c>
      <c r="Y13" s="62" t="s">
        <v>266</v>
      </c>
    </row>
    <row r="14" spans="1:25" x14ac:dyDescent="0.35">
      <c r="A14" s="53" t="str">
        <f>Inventory!A11</f>
        <v>Methyl Alpha Ionone Iso</v>
      </c>
      <c r="B14" s="69">
        <f>Inventory!B11</f>
        <v>10</v>
      </c>
      <c r="C14" s="61" t="str">
        <f>Inventory!C11</f>
        <v>ml</v>
      </c>
      <c r="D14" s="69">
        <f>Inventory!D11</f>
        <v>1</v>
      </c>
      <c r="E14" s="60">
        <v>0</v>
      </c>
      <c r="F14" s="70">
        <f>Inventory!E11</f>
        <v>0.9</v>
      </c>
      <c r="G14" s="24">
        <f>Inventory!K11</f>
        <v>9</v>
      </c>
      <c r="H14" s="57">
        <f t="shared" si="2"/>
        <v>9</v>
      </c>
      <c r="I14" s="71">
        <f t="shared" si="3"/>
        <v>0.04</v>
      </c>
      <c r="J14" s="72">
        <f t="shared" si="4"/>
        <v>0.04</v>
      </c>
      <c r="K14" s="69">
        <f t="shared" si="5"/>
        <v>94</v>
      </c>
      <c r="L14" s="69">
        <f t="shared" si="6"/>
        <v>47</v>
      </c>
      <c r="M14" s="69">
        <f t="shared" si="7"/>
        <v>31</v>
      </c>
      <c r="N14" s="69">
        <f t="shared" si="8"/>
        <v>18</v>
      </c>
      <c r="O14" s="69">
        <f t="shared" si="9"/>
        <v>13</v>
      </c>
      <c r="P14" s="69">
        <f t="shared" si="10"/>
        <v>9</v>
      </c>
      <c r="Q14" s="63">
        <f t="shared" si="11"/>
        <v>94</v>
      </c>
      <c r="R14" s="63">
        <f t="shared" si="12"/>
        <v>47</v>
      </c>
      <c r="S14" s="63">
        <f t="shared" si="13"/>
        <v>31</v>
      </c>
      <c r="T14" s="63">
        <f t="shared" si="14"/>
        <v>18</v>
      </c>
      <c r="U14" s="63">
        <f t="shared" si="15"/>
        <v>13</v>
      </c>
      <c r="V14" s="63">
        <f t="shared" si="16"/>
        <v>9</v>
      </c>
      <c r="W14" s="63">
        <f>IF($N14="","",MAX(0,MIN(IF($A14="","",IF($A14="DPG (Dipropylene Glycol)",IFERROR(FLOOR((MAX(($G14+IF($C14="ml",$B14*$F14,$B14)),0)/(D10ActivePct*0.9))/(50*YC_Density*YC_ConcPct),1),""),IF($A14="Alcohol 190 proof SDA 40B",IFERROR(FLOOR(MAX(($G14+IF($C14="ml",$B14*$F14,$B14)),0)/(50*YC_Density*(1-YC_ConcPct)),1),""),IFERROR(FLOOR((MAX(($G14+IF($C14="ml",$B14*$F14,$B14)),0)/(INDEX(FM_Active,MATCH($A14,FM_Mat,0))*IF(INDEX(FM_D10,MATCH($A14,FM_Mat,0))="D10",0.1,1)))/(50*YC_Density*YC_ConcPct),1),"")))),MIN($N$7:$N$13),MIN($N$15:$N$33))-$E$4))</f>
        <v>0</v>
      </c>
      <c r="X14" s="61" t="str">
        <f t="shared" si="17"/>
        <v/>
      </c>
      <c r="Y14" s="62" t="s">
        <v>266</v>
      </c>
    </row>
    <row r="15" spans="1:25" x14ac:dyDescent="0.35">
      <c r="A15" s="53" t="str">
        <f>Inventory!A12</f>
        <v>Benzyl Salicylate</v>
      </c>
      <c r="B15" s="69">
        <f>Inventory!B12</f>
        <v>10</v>
      </c>
      <c r="C15" s="61" t="str">
        <f>Inventory!C12</f>
        <v>ml</v>
      </c>
      <c r="D15" s="69">
        <f>Inventory!D12</f>
        <v>1</v>
      </c>
      <c r="E15" s="60">
        <v>0</v>
      </c>
      <c r="F15" s="70">
        <f>Inventory!E12</f>
        <v>0.9</v>
      </c>
      <c r="G15" s="24">
        <f>Inventory!K12</f>
        <v>9</v>
      </c>
      <c r="H15" s="57">
        <f t="shared" si="2"/>
        <v>9</v>
      </c>
      <c r="I15" s="71">
        <f t="shared" si="3"/>
        <v>7.0000000000000007E-2</v>
      </c>
      <c r="J15" s="72">
        <f t="shared" si="4"/>
        <v>7.0000000000000007E-2</v>
      </c>
      <c r="K15" s="69">
        <f t="shared" si="5"/>
        <v>54</v>
      </c>
      <c r="L15" s="69">
        <f t="shared" si="6"/>
        <v>27</v>
      </c>
      <c r="M15" s="69">
        <f t="shared" si="7"/>
        <v>18</v>
      </c>
      <c r="N15" s="69">
        <f t="shared" si="8"/>
        <v>10</v>
      </c>
      <c r="O15" s="69">
        <f t="shared" si="9"/>
        <v>7</v>
      </c>
      <c r="P15" s="69">
        <f t="shared" si="10"/>
        <v>5</v>
      </c>
      <c r="Q15" s="63">
        <f t="shared" si="11"/>
        <v>54</v>
      </c>
      <c r="R15" s="63">
        <f t="shared" si="12"/>
        <v>27</v>
      </c>
      <c r="S15" s="63">
        <f t="shared" si="13"/>
        <v>18</v>
      </c>
      <c r="T15" s="63">
        <f t="shared" si="14"/>
        <v>10</v>
      </c>
      <c r="U15" s="63">
        <f t="shared" si="15"/>
        <v>7</v>
      </c>
      <c r="V15" s="63">
        <f t="shared" si="16"/>
        <v>5</v>
      </c>
      <c r="W15" s="63">
        <f>IF($N15="","",MAX(0,MIN(IF($A15="","",IF($A15="DPG (Dipropylene Glycol)",IFERROR(FLOOR((MAX(($G15+IF($C15="ml",$B15*$F15,$B15)),0)/(D10ActivePct*0.9))/(50*YC_Density*YC_ConcPct),1),""),IF($A15="Alcohol 190 proof SDA 40B",IFERROR(FLOOR(MAX(($G15+IF($C15="ml",$B15*$F15,$B15)),0)/(50*YC_Density*(1-YC_ConcPct)),1),""),IFERROR(FLOOR((MAX(($G15+IF($C15="ml",$B15*$F15,$B15)),0)/(INDEX(FM_Active,MATCH($A15,FM_Mat,0))*IF(INDEX(FM_D10,MATCH($A15,FM_Mat,0))="D10",0.1,1)))/(50*YC_Density*YC_ConcPct),1),"")))),MIN($N$7:$N$14),MIN($N$16:$N$33))-$E$4))</f>
        <v>0</v>
      </c>
      <c r="X15" s="61" t="str">
        <f t="shared" si="17"/>
        <v/>
      </c>
      <c r="Y15" s="62" t="s">
        <v>266</v>
      </c>
    </row>
    <row r="16" spans="1:25" x14ac:dyDescent="0.35">
      <c r="A16" s="53" t="str">
        <f>Inventory!A13</f>
        <v>Linalool</v>
      </c>
      <c r="B16" s="69">
        <f>Inventory!B13</f>
        <v>10</v>
      </c>
      <c r="C16" s="61" t="str">
        <f>Inventory!C13</f>
        <v>ml</v>
      </c>
      <c r="D16" s="69">
        <f>Inventory!D13</f>
        <v>1</v>
      </c>
      <c r="E16" s="60">
        <v>0</v>
      </c>
      <c r="F16" s="70">
        <f>Inventory!E13</f>
        <v>0.9</v>
      </c>
      <c r="G16" s="24">
        <f>Inventory!K13</f>
        <v>9</v>
      </c>
      <c r="H16" s="57">
        <f t="shared" si="2"/>
        <v>9</v>
      </c>
      <c r="I16" s="71">
        <f t="shared" si="3"/>
        <v>1.4999999999999999E-2</v>
      </c>
      <c r="J16" s="72">
        <f t="shared" si="4"/>
        <v>1.4999999999999999E-2</v>
      </c>
      <c r="K16" s="69">
        <f t="shared" si="5"/>
        <v>252</v>
      </c>
      <c r="L16" s="69">
        <f t="shared" si="6"/>
        <v>126</v>
      </c>
      <c r="M16" s="69">
        <f t="shared" si="7"/>
        <v>84</v>
      </c>
      <c r="N16" s="69">
        <f t="shared" si="8"/>
        <v>50</v>
      </c>
      <c r="O16" s="69">
        <f t="shared" si="9"/>
        <v>36</v>
      </c>
      <c r="P16" s="69">
        <f t="shared" si="10"/>
        <v>25</v>
      </c>
      <c r="Q16" s="63">
        <f t="shared" si="11"/>
        <v>252</v>
      </c>
      <c r="R16" s="63">
        <f t="shared" si="12"/>
        <v>126</v>
      </c>
      <c r="S16" s="63">
        <f t="shared" si="13"/>
        <v>84</v>
      </c>
      <c r="T16" s="63">
        <f t="shared" si="14"/>
        <v>50</v>
      </c>
      <c r="U16" s="63">
        <f t="shared" si="15"/>
        <v>36</v>
      </c>
      <c r="V16" s="63">
        <f t="shared" si="16"/>
        <v>25</v>
      </c>
      <c r="W16" s="63">
        <f>IF($N16="","",MAX(0,MIN(IF($A16="","",IF($A16="DPG (Dipropylene Glycol)",IFERROR(FLOOR((MAX(($G16+IF($C16="ml",$B16*$F16,$B16)),0)/(D10ActivePct*0.9))/(50*YC_Density*YC_ConcPct),1),""),IF($A16="Alcohol 190 proof SDA 40B",IFERROR(FLOOR(MAX(($G16+IF($C16="ml",$B16*$F16,$B16)),0)/(50*YC_Density*(1-YC_ConcPct)),1),""),IFERROR(FLOOR((MAX(($G16+IF($C16="ml",$B16*$F16,$B16)),0)/(INDEX(FM_Active,MATCH($A16,FM_Mat,0))*IF(INDEX(FM_D10,MATCH($A16,FM_Mat,0))="D10",0.1,1)))/(50*YC_Density*YC_ConcPct),1),"")))),MIN($N$7:$N$15),MIN($N$17:$N$33))-$E$4))</f>
        <v>0</v>
      </c>
      <c r="X16" s="61" t="str">
        <f t="shared" si="17"/>
        <v/>
      </c>
      <c r="Y16" s="62" t="s">
        <v>266</v>
      </c>
    </row>
    <row r="17" spans="1:25" x14ac:dyDescent="0.35">
      <c r="A17" s="53" t="str">
        <f>Inventory!A14</f>
        <v>Damascone Beta</v>
      </c>
      <c r="B17" s="69">
        <f>Inventory!B14</f>
        <v>10</v>
      </c>
      <c r="C17" s="61" t="str">
        <f>Inventory!C14</f>
        <v>ml</v>
      </c>
      <c r="D17" s="69">
        <f>Inventory!D14</f>
        <v>1</v>
      </c>
      <c r="E17" s="60">
        <v>0</v>
      </c>
      <c r="F17" s="70">
        <f>Inventory!E14</f>
        <v>0.9</v>
      </c>
      <c r="G17" s="24">
        <f>Inventory!K14</f>
        <v>9</v>
      </c>
      <c r="H17" s="57">
        <f t="shared" si="2"/>
        <v>9</v>
      </c>
      <c r="I17" s="71">
        <f t="shared" si="3"/>
        <v>3.0000000000000001E-3</v>
      </c>
      <c r="J17" s="72">
        <f t="shared" si="4"/>
        <v>3.0000000000000003E-4</v>
      </c>
      <c r="K17" s="69">
        <f t="shared" si="5"/>
        <v>12605</v>
      </c>
      <c r="L17" s="69">
        <f t="shared" si="6"/>
        <v>6302</v>
      </c>
      <c r="M17" s="69">
        <f t="shared" si="7"/>
        <v>4201</v>
      </c>
      <c r="N17" s="69">
        <f t="shared" si="8"/>
        <v>2521</v>
      </c>
      <c r="O17" s="69">
        <f t="shared" si="9"/>
        <v>1800</v>
      </c>
      <c r="P17" s="69">
        <f t="shared" si="10"/>
        <v>1260</v>
      </c>
      <c r="Q17" s="63">
        <f t="shared" si="11"/>
        <v>12605</v>
      </c>
      <c r="R17" s="63">
        <f t="shared" si="12"/>
        <v>6302</v>
      </c>
      <c r="S17" s="63">
        <f t="shared" si="13"/>
        <v>4201</v>
      </c>
      <c r="T17" s="63">
        <f t="shared" si="14"/>
        <v>2521</v>
      </c>
      <c r="U17" s="63">
        <f t="shared" si="15"/>
        <v>1800</v>
      </c>
      <c r="V17" s="63">
        <f t="shared" si="16"/>
        <v>1260</v>
      </c>
      <c r="W17" s="63">
        <f>IF($N17="","",MAX(0,MIN(IF($A17="","",IF($A17="DPG (Dipropylene Glycol)",IFERROR(FLOOR((MAX(($G17+IF($C17="ml",$B17*$F17,$B17)),0)/(D10ActivePct*0.9))/(50*YC_Density*YC_ConcPct),1),""),IF($A17="Alcohol 190 proof SDA 40B",IFERROR(FLOOR(MAX(($G17+IF($C17="ml",$B17*$F17,$B17)),0)/(50*YC_Density*(1-YC_ConcPct)),1),""),IFERROR(FLOOR((MAX(($G17+IF($C17="ml",$B17*$F17,$B17)),0)/(INDEX(FM_Active,MATCH($A17,FM_Mat,0))*IF(INDEX(FM_D10,MATCH($A17,FM_Mat,0))="D10",0.1,1)))/(50*YC_Density*YC_ConcPct),1),"")))),MIN($N$7:$N$16),MIN($N$18:$N$33))-$E$4))</f>
        <v>0</v>
      </c>
      <c r="X17" s="61" t="str">
        <f t="shared" si="17"/>
        <v/>
      </c>
      <c r="Y17" s="62" t="s">
        <v>266</v>
      </c>
    </row>
    <row r="18" spans="1:25" x14ac:dyDescent="0.35">
      <c r="A18" s="53" t="str">
        <f>Inventory!A15</f>
        <v>Vanillin Crystals</v>
      </c>
      <c r="B18" s="69">
        <f>Inventory!B15</f>
        <v>10</v>
      </c>
      <c r="C18" s="61" t="str">
        <f>Inventory!C15</f>
        <v>g</v>
      </c>
      <c r="D18" s="69">
        <f>Inventory!D15</f>
        <v>1</v>
      </c>
      <c r="E18" s="60">
        <v>0</v>
      </c>
      <c r="F18" s="70">
        <f>Inventory!E15</f>
        <v>0</v>
      </c>
      <c r="G18" s="24">
        <f>Inventory!K15</f>
        <v>10</v>
      </c>
      <c r="H18" s="57">
        <f t="shared" si="2"/>
        <v>10</v>
      </c>
      <c r="I18" s="71">
        <f t="shared" si="3"/>
        <v>6.5000000000000002E-2</v>
      </c>
      <c r="J18" s="72">
        <f t="shared" si="4"/>
        <v>6.5000000000000002E-2</v>
      </c>
      <c r="K18" s="69">
        <f t="shared" si="5"/>
        <v>64</v>
      </c>
      <c r="L18" s="69">
        <f t="shared" si="6"/>
        <v>32</v>
      </c>
      <c r="M18" s="69">
        <f t="shared" si="7"/>
        <v>21</v>
      </c>
      <c r="N18" s="69">
        <f t="shared" si="8"/>
        <v>12</v>
      </c>
      <c r="O18" s="69">
        <f t="shared" si="9"/>
        <v>9</v>
      </c>
      <c r="P18" s="69">
        <f t="shared" si="10"/>
        <v>6</v>
      </c>
      <c r="Q18" s="63">
        <f t="shared" si="11"/>
        <v>64</v>
      </c>
      <c r="R18" s="63">
        <f t="shared" si="12"/>
        <v>32</v>
      </c>
      <c r="S18" s="63">
        <f t="shared" si="13"/>
        <v>21</v>
      </c>
      <c r="T18" s="63">
        <f t="shared" si="14"/>
        <v>12</v>
      </c>
      <c r="U18" s="63">
        <f t="shared" si="15"/>
        <v>9</v>
      </c>
      <c r="V18" s="63">
        <f t="shared" si="16"/>
        <v>6</v>
      </c>
      <c r="W18" s="63">
        <f>IF($N18="","",MAX(0,MIN(IF($A18="","",IF($A18="DPG (Dipropylene Glycol)",IFERROR(FLOOR((MAX(($G18+IF($C18="ml",$B18*$F18,$B18)),0)/(D10ActivePct*0.9))/(50*YC_Density*YC_ConcPct),1),""),IF($A18="Alcohol 190 proof SDA 40B",IFERROR(FLOOR(MAX(($G18+IF($C18="ml",$B18*$F18,$B18)),0)/(50*YC_Density*(1-YC_ConcPct)),1),""),IFERROR(FLOOR((MAX(($G18+IF($C18="ml",$B18*$F18,$B18)),0)/(INDEX(FM_Active,MATCH($A18,FM_Mat,0))*IF(INDEX(FM_D10,MATCH($A18,FM_Mat,0))="D10",0.1,1)))/(50*YC_Density*YC_ConcPct),1),"")))),MIN($N$7:$N$17),MIN($N$19:$N$33))-$E$4))</f>
        <v>0</v>
      </c>
      <c r="X18" s="61" t="str">
        <f t="shared" si="17"/>
        <v/>
      </c>
      <c r="Y18" s="62" t="s">
        <v>266</v>
      </c>
    </row>
    <row r="19" spans="1:25" x14ac:dyDescent="0.35">
      <c r="A19" s="53" t="str">
        <f>Inventory!A16</f>
        <v>Ethyl Vanillin</v>
      </c>
      <c r="B19" s="69">
        <f>Inventory!B16</f>
        <v>10</v>
      </c>
      <c r="C19" s="61" t="str">
        <f>Inventory!C16</f>
        <v>g</v>
      </c>
      <c r="D19" s="69">
        <f>Inventory!D16</f>
        <v>1</v>
      </c>
      <c r="E19" s="60">
        <v>0</v>
      </c>
      <c r="F19" s="70">
        <f>Inventory!E16</f>
        <v>0</v>
      </c>
      <c r="G19" s="24">
        <f>Inventory!K16</f>
        <v>10</v>
      </c>
      <c r="H19" s="57">
        <f t="shared" si="2"/>
        <v>10</v>
      </c>
      <c r="I19" s="71">
        <f t="shared" si="3"/>
        <v>2.5000000000000001E-2</v>
      </c>
      <c r="J19" s="72">
        <f t="shared" si="4"/>
        <v>2.5000000000000001E-2</v>
      </c>
      <c r="K19" s="69">
        <f t="shared" si="5"/>
        <v>168</v>
      </c>
      <c r="L19" s="69">
        <f t="shared" si="6"/>
        <v>84</v>
      </c>
      <c r="M19" s="69">
        <f t="shared" si="7"/>
        <v>56</v>
      </c>
      <c r="N19" s="69">
        <f t="shared" si="8"/>
        <v>33</v>
      </c>
      <c r="O19" s="69">
        <f t="shared" si="9"/>
        <v>24</v>
      </c>
      <c r="P19" s="69">
        <f t="shared" si="10"/>
        <v>16</v>
      </c>
      <c r="Q19" s="63">
        <f t="shared" si="11"/>
        <v>168</v>
      </c>
      <c r="R19" s="63">
        <f t="shared" si="12"/>
        <v>84</v>
      </c>
      <c r="S19" s="63">
        <f t="shared" si="13"/>
        <v>56</v>
      </c>
      <c r="T19" s="63">
        <f t="shared" si="14"/>
        <v>33</v>
      </c>
      <c r="U19" s="63">
        <f t="shared" si="15"/>
        <v>24</v>
      </c>
      <c r="V19" s="63">
        <f t="shared" si="16"/>
        <v>16</v>
      </c>
      <c r="W19" s="63">
        <f>IF($N19="","",MAX(0,MIN(IF($A19="","",IF($A19="DPG (Dipropylene Glycol)",IFERROR(FLOOR((MAX(($G19+IF($C19="ml",$B19*$F19,$B19)),0)/(D10ActivePct*0.9))/(50*YC_Density*YC_ConcPct),1),""),IF($A19="Alcohol 190 proof SDA 40B",IFERROR(FLOOR(MAX(($G19+IF($C19="ml",$B19*$F19,$B19)),0)/(50*YC_Density*(1-YC_ConcPct)),1),""),IFERROR(FLOOR((MAX(($G19+IF($C19="ml",$B19*$F19,$B19)),0)/(INDEX(FM_Active,MATCH($A19,FM_Mat,0))*IF(INDEX(FM_D10,MATCH($A19,FM_Mat,0))="D10",0.1,1)))/(50*YC_Density*YC_ConcPct),1),"")))),MIN($N$7:$N$18),MIN($N$20:$N$33))-$E$4))</f>
        <v>0</v>
      </c>
      <c r="X19" s="61" t="str">
        <f t="shared" si="17"/>
        <v/>
      </c>
      <c r="Y19" s="62" t="s">
        <v>266</v>
      </c>
    </row>
    <row r="20" spans="1:25" x14ac:dyDescent="0.35">
      <c r="A20" s="53" t="str">
        <f>Inventory!A17</f>
        <v>Maltol (Crystals)</v>
      </c>
      <c r="B20" s="69">
        <f>Inventory!B17</f>
        <v>10</v>
      </c>
      <c r="C20" s="61" t="str">
        <f>Inventory!C17</f>
        <v>g</v>
      </c>
      <c r="D20" s="69">
        <f>Inventory!D17</f>
        <v>1</v>
      </c>
      <c r="E20" s="60">
        <v>0</v>
      </c>
      <c r="F20" s="70">
        <f>Inventory!E17</f>
        <v>0</v>
      </c>
      <c r="G20" s="24">
        <f>Inventory!K17</f>
        <v>10</v>
      </c>
      <c r="H20" s="57">
        <f t="shared" si="2"/>
        <v>10</v>
      </c>
      <c r="I20" s="71">
        <f t="shared" si="3"/>
        <v>0.02</v>
      </c>
      <c r="J20" s="72">
        <f t="shared" si="4"/>
        <v>2E-3</v>
      </c>
      <c r="K20" s="69">
        <f t="shared" si="5"/>
        <v>2100</v>
      </c>
      <c r="L20" s="69">
        <f t="shared" si="6"/>
        <v>1050</v>
      </c>
      <c r="M20" s="69">
        <f t="shared" si="7"/>
        <v>700</v>
      </c>
      <c r="N20" s="69">
        <f t="shared" si="8"/>
        <v>420</v>
      </c>
      <c r="O20" s="69">
        <f t="shared" si="9"/>
        <v>300</v>
      </c>
      <c r="P20" s="69">
        <f t="shared" si="10"/>
        <v>210</v>
      </c>
      <c r="Q20" s="63">
        <f t="shared" si="11"/>
        <v>2100</v>
      </c>
      <c r="R20" s="63">
        <f t="shared" si="12"/>
        <v>1050</v>
      </c>
      <c r="S20" s="63">
        <f t="shared" si="13"/>
        <v>700</v>
      </c>
      <c r="T20" s="63">
        <f t="shared" si="14"/>
        <v>420</v>
      </c>
      <c r="U20" s="63">
        <f t="shared" si="15"/>
        <v>300</v>
      </c>
      <c r="V20" s="63">
        <f t="shared" si="16"/>
        <v>210</v>
      </c>
      <c r="W20" s="63">
        <f>IF($N20="","",MAX(0,MIN(IF($A20="","",IF($A20="DPG (Dipropylene Glycol)",IFERROR(FLOOR((MAX(($G20+IF($C20="ml",$B20*$F20,$B20)),0)/(D10ActivePct*0.9))/(50*YC_Density*YC_ConcPct),1),""),IF($A20="Alcohol 190 proof SDA 40B",IFERROR(FLOOR(MAX(($G20+IF($C20="ml",$B20*$F20,$B20)),0)/(50*YC_Density*(1-YC_ConcPct)),1),""),IFERROR(FLOOR((MAX(($G20+IF($C20="ml",$B20*$F20,$B20)),0)/(INDEX(FM_Active,MATCH($A20,FM_Mat,0))*IF(INDEX(FM_D10,MATCH($A20,FM_Mat,0))="D10",0.1,1)))/(50*YC_Density*YC_ConcPct),1),"")))),MIN($N$7:$N$19),MIN($N$21:$N$33))-$E$4))</f>
        <v>0</v>
      </c>
      <c r="X20" s="61" t="str">
        <f t="shared" si="17"/>
        <v/>
      </c>
      <c r="Y20" s="62" t="s">
        <v>266</v>
      </c>
    </row>
    <row r="21" spans="1:25" x14ac:dyDescent="0.35">
      <c r="A21" s="53" t="str">
        <f>Inventory!A18</f>
        <v>Coumarin</v>
      </c>
      <c r="B21" s="69">
        <f>Inventory!B18</f>
        <v>500</v>
      </c>
      <c r="C21" s="61" t="str">
        <f>Inventory!C18</f>
        <v>g</v>
      </c>
      <c r="D21" s="69">
        <f>Inventory!D18</f>
        <v>1</v>
      </c>
      <c r="E21" s="60">
        <v>0</v>
      </c>
      <c r="F21" s="70">
        <f>Inventory!E18</f>
        <v>0</v>
      </c>
      <c r="G21" s="24">
        <f>Inventory!K18</f>
        <v>500</v>
      </c>
      <c r="H21" s="57">
        <f t="shared" si="2"/>
        <v>500</v>
      </c>
      <c r="I21" s="71">
        <f t="shared" si="3"/>
        <v>0.05</v>
      </c>
      <c r="J21" s="72">
        <f t="shared" si="4"/>
        <v>0.05</v>
      </c>
      <c r="K21" s="69">
        <f t="shared" si="5"/>
        <v>4201</v>
      </c>
      <c r="L21" s="69">
        <f t="shared" si="6"/>
        <v>2100</v>
      </c>
      <c r="M21" s="69">
        <f t="shared" si="7"/>
        <v>1400</v>
      </c>
      <c r="N21" s="69">
        <f t="shared" si="8"/>
        <v>840</v>
      </c>
      <c r="O21" s="69">
        <f t="shared" si="9"/>
        <v>600</v>
      </c>
      <c r="P21" s="69">
        <f t="shared" si="10"/>
        <v>420</v>
      </c>
      <c r="Q21" s="63">
        <f t="shared" si="11"/>
        <v>4201</v>
      </c>
      <c r="R21" s="63">
        <f t="shared" si="12"/>
        <v>2100</v>
      </c>
      <c r="S21" s="63">
        <f t="shared" si="13"/>
        <v>1400</v>
      </c>
      <c r="T21" s="63">
        <f t="shared" si="14"/>
        <v>840</v>
      </c>
      <c r="U21" s="63">
        <f t="shared" si="15"/>
        <v>600</v>
      </c>
      <c r="V21" s="63">
        <f t="shared" si="16"/>
        <v>420</v>
      </c>
      <c r="W21" s="63">
        <f>IF($N21="","",MAX(0,MIN(IF($A21="","",IF($A21="DPG (Dipropylene Glycol)",IFERROR(FLOOR((MAX(($G21+IF($C21="ml",$B21*$F21,$B21)),0)/(D10ActivePct*0.9))/(50*YC_Density*YC_ConcPct),1),""),IF($A21="Alcohol 190 proof SDA 40B",IFERROR(FLOOR(MAX(($G21+IF($C21="ml",$B21*$F21,$B21)),0)/(50*YC_Density*(1-YC_ConcPct)),1),""),IFERROR(FLOOR((MAX(($G21+IF($C21="ml",$B21*$F21,$B21)),0)/(INDEX(FM_Active,MATCH($A21,FM_Mat,0))*IF(INDEX(FM_D10,MATCH($A21,FM_Mat,0))="D10",0.1,1)))/(50*YC_Density*YC_ConcPct),1),"")))),MIN($N$7:$N$20),MIN($N$22:$N$33))-$E$4))</f>
        <v>0</v>
      </c>
      <c r="X21" s="61" t="str">
        <f t="shared" si="17"/>
        <v/>
      </c>
      <c r="Y21" s="62" t="s">
        <v>266</v>
      </c>
    </row>
    <row r="22" spans="1:25" x14ac:dyDescent="0.35">
      <c r="A22" s="53" t="str">
        <f>Inventory!A19</f>
        <v>Heliotrope Accord</v>
      </c>
      <c r="B22" s="69">
        <f>Inventory!B19</f>
        <v>10</v>
      </c>
      <c r="C22" s="61" t="str">
        <f>Inventory!C19</f>
        <v>ml</v>
      </c>
      <c r="D22" s="69">
        <f>Inventory!D19</f>
        <v>1</v>
      </c>
      <c r="E22" s="60">
        <v>0</v>
      </c>
      <c r="F22" s="70">
        <f>Inventory!E19</f>
        <v>0.9</v>
      </c>
      <c r="G22" s="24">
        <f>Inventory!K19</f>
        <v>9</v>
      </c>
      <c r="H22" s="57">
        <f t="shared" si="2"/>
        <v>9</v>
      </c>
      <c r="I22" s="71">
        <f t="shared" si="3"/>
        <v>2.5000000000000001E-2</v>
      </c>
      <c r="J22" s="72">
        <f t="shared" si="4"/>
        <v>2.5000000000000001E-2</v>
      </c>
      <c r="K22" s="69">
        <f t="shared" si="5"/>
        <v>151</v>
      </c>
      <c r="L22" s="69">
        <f t="shared" si="6"/>
        <v>75</v>
      </c>
      <c r="M22" s="69">
        <f t="shared" si="7"/>
        <v>50</v>
      </c>
      <c r="N22" s="69">
        <f t="shared" si="8"/>
        <v>30</v>
      </c>
      <c r="O22" s="69">
        <f t="shared" si="9"/>
        <v>21</v>
      </c>
      <c r="P22" s="69">
        <f t="shared" si="10"/>
        <v>15</v>
      </c>
      <c r="Q22" s="63">
        <f t="shared" si="11"/>
        <v>151</v>
      </c>
      <c r="R22" s="63">
        <f t="shared" si="12"/>
        <v>75</v>
      </c>
      <c r="S22" s="63">
        <f t="shared" si="13"/>
        <v>50</v>
      </c>
      <c r="T22" s="63">
        <f t="shared" si="14"/>
        <v>30</v>
      </c>
      <c r="U22" s="63">
        <f t="shared" si="15"/>
        <v>21</v>
      </c>
      <c r="V22" s="63">
        <f t="shared" si="16"/>
        <v>15</v>
      </c>
      <c r="W22" s="63">
        <f>IF($N22="","",MAX(0,MIN(IF($A22="","",IF($A22="DPG (Dipropylene Glycol)",IFERROR(FLOOR((MAX(($G22+IF($C22="ml",$B22*$F22,$B22)),0)/(D10ActivePct*0.9))/(50*YC_Density*YC_ConcPct),1),""),IF($A22="Alcohol 190 proof SDA 40B",IFERROR(FLOOR(MAX(($G22+IF($C22="ml",$B22*$F22,$B22)),0)/(50*YC_Density*(1-YC_ConcPct)),1),""),IFERROR(FLOOR((MAX(($G22+IF($C22="ml",$B22*$F22,$B22)),0)/(INDEX(FM_Active,MATCH($A22,FM_Mat,0))*IF(INDEX(FM_D10,MATCH($A22,FM_Mat,0))="D10",0.1,1)))/(50*YC_Density*YC_ConcPct),1),"")))),MIN($N$7:$N$21),MIN($N$23:$N$33))-$E$4))</f>
        <v>0</v>
      </c>
      <c r="X22" s="61" t="str">
        <f t="shared" si="17"/>
        <v/>
      </c>
      <c r="Y22" s="62" t="s">
        <v>266</v>
      </c>
    </row>
    <row r="23" spans="1:25" x14ac:dyDescent="0.35">
      <c r="A23" s="53" t="str">
        <f>Inventory!A20</f>
        <v>Aldehyde C-18 Coconut</v>
      </c>
      <c r="B23" s="69">
        <f>Inventory!B20</f>
        <v>10</v>
      </c>
      <c r="C23" s="61" t="str">
        <f>Inventory!C20</f>
        <v>ml</v>
      </c>
      <c r="D23" s="69">
        <f>Inventory!D20</f>
        <v>1</v>
      </c>
      <c r="E23" s="60">
        <v>0</v>
      </c>
      <c r="F23" s="70">
        <f>Inventory!E20</f>
        <v>0.9</v>
      </c>
      <c r="G23" s="24">
        <f>Inventory!K20</f>
        <v>9</v>
      </c>
      <c r="H23" s="57">
        <f t="shared" si="2"/>
        <v>9</v>
      </c>
      <c r="I23" s="71">
        <f t="shared" si="3"/>
        <v>1.4999999999999999E-2</v>
      </c>
      <c r="J23" s="72">
        <f t="shared" si="4"/>
        <v>1.5E-3</v>
      </c>
      <c r="K23" s="69">
        <f t="shared" si="5"/>
        <v>2521</v>
      </c>
      <c r="L23" s="69">
        <f t="shared" si="6"/>
        <v>1260</v>
      </c>
      <c r="M23" s="69">
        <f t="shared" si="7"/>
        <v>840</v>
      </c>
      <c r="N23" s="69">
        <f t="shared" si="8"/>
        <v>504</v>
      </c>
      <c r="O23" s="69">
        <f t="shared" si="9"/>
        <v>360</v>
      </c>
      <c r="P23" s="69">
        <f t="shared" si="10"/>
        <v>252</v>
      </c>
      <c r="Q23" s="63">
        <f t="shared" si="11"/>
        <v>2521</v>
      </c>
      <c r="R23" s="63">
        <f t="shared" si="12"/>
        <v>1260</v>
      </c>
      <c r="S23" s="63">
        <f t="shared" si="13"/>
        <v>840</v>
      </c>
      <c r="T23" s="63">
        <f t="shared" si="14"/>
        <v>504</v>
      </c>
      <c r="U23" s="63">
        <f t="shared" si="15"/>
        <v>360</v>
      </c>
      <c r="V23" s="63">
        <f t="shared" si="16"/>
        <v>252</v>
      </c>
      <c r="W23" s="63">
        <f>IF($N23="","",MAX(0,MIN(IF($A23="","",IF($A23="DPG (Dipropylene Glycol)",IFERROR(FLOOR((MAX(($G23+IF($C23="ml",$B23*$F23,$B23)),0)/(D10ActivePct*0.9))/(50*YC_Density*YC_ConcPct),1),""),IF($A23="Alcohol 190 proof SDA 40B",IFERROR(FLOOR(MAX(($G23+IF($C23="ml",$B23*$F23,$B23)),0)/(50*YC_Density*(1-YC_ConcPct)),1),""),IFERROR(FLOOR((MAX(($G23+IF($C23="ml",$B23*$F23,$B23)),0)/(INDEX(FM_Active,MATCH($A23,FM_Mat,0))*IF(INDEX(FM_D10,MATCH($A23,FM_Mat,0))="D10",0.1,1)))/(50*YC_Density*YC_ConcPct),1),"")))),MIN($N$7:$N$22),MIN($N$24:$N$33))-$E$4))</f>
        <v>0</v>
      </c>
      <c r="X23" s="61" t="str">
        <f t="shared" si="17"/>
        <v/>
      </c>
      <c r="Y23" s="62" t="s">
        <v>266</v>
      </c>
    </row>
    <row r="24" spans="1:25" x14ac:dyDescent="0.35">
      <c r="A24" s="53" t="str">
        <f>Inventory!A21</f>
        <v>Ambroxan</v>
      </c>
      <c r="B24" s="69">
        <f>Inventory!B21</f>
        <v>10</v>
      </c>
      <c r="C24" s="61" t="str">
        <f>Inventory!C21</f>
        <v>g</v>
      </c>
      <c r="D24" s="69">
        <f>Inventory!D21</f>
        <v>1</v>
      </c>
      <c r="E24" s="60">
        <v>0</v>
      </c>
      <c r="F24" s="70">
        <f>Inventory!E21</f>
        <v>0</v>
      </c>
      <c r="G24" s="24">
        <f>Inventory!K21</f>
        <v>10</v>
      </c>
      <c r="H24" s="57">
        <f t="shared" si="2"/>
        <v>10</v>
      </c>
      <c r="I24" s="71">
        <f t="shared" si="3"/>
        <v>7.4999999999999997E-2</v>
      </c>
      <c r="J24" s="72">
        <f t="shared" si="4"/>
        <v>7.4999999999999997E-2</v>
      </c>
      <c r="K24" s="69">
        <f t="shared" si="5"/>
        <v>56</v>
      </c>
      <c r="L24" s="69">
        <f t="shared" si="6"/>
        <v>28</v>
      </c>
      <c r="M24" s="69">
        <f t="shared" si="7"/>
        <v>18</v>
      </c>
      <c r="N24" s="69">
        <f t="shared" si="8"/>
        <v>11</v>
      </c>
      <c r="O24" s="69">
        <f t="shared" si="9"/>
        <v>8</v>
      </c>
      <c r="P24" s="69">
        <f t="shared" si="10"/>
        <v>5</v>
      </c>
      <c r="Q24" s="63">
        <f t="shared" si="11"/>
        <v>56</v>
      </c>
      <c r="R24" s="63">
        <f t="shared" si="12"/>
        <v>28</v>
      </c>
      <c r="S24" s="63">
        <f t="shared" si="13"/>
        <v>18</v>
      </c>
      <c r="T24" s="63">
        <f t="shared" si="14"/>
        <v>11</v>
      </c>
      <c r="U24" s="63">
        <f t="shared" si="15"/>
        <v>8</v>
      </c>
      <c r="V24" s="63">
        <f t="shared" si="16"/>
        <v>5</v>
      </c>
      <c r="W24" s="63">
        <f>IF($N24="","",MAX(0,MIN(IF($A24="","",IF($A24="DPG (Dipropylene Glycol)",IFERROR(FLOOR((MAX(($G24+IF($C24="ml",$B24*$F24,$B24)),0)/(D10ActivePct*0.9))/(50*YC_Density*YC_ConcPct),1),""),IF($A24="Alcohol 190 proof SDA 40B",IFERROR(FLOOR(MAX(($G24+IF($C24="ml",$B24*$F24,$B24)),0)/(50*YC_Density*(1-YC_ConcPct)),1),""),IFERROR(FLOOR((MAX(($G24+IF($C24="ml",$B24*$F24,$B24)),0)/(INDEX(FM_Active,MATCH($A24,FM_Mat,0))*IF(INDEX(FM_D10,MATCH($A24,FM_Mat,0))="D10",0.1,1)))/(50*YC_Density*YC_ConcPct),1),"")))),MIN($N$7:$N$23),MIN($N$25:$N$33))-$E$4))</f>
        <v>0</v>
      </c>
      <c r="X24" s="61" t="str">
        <f t="shared" si="17"/>
        <v/>
      </c>
      <c r="Y24" s="62" t="s">
        <v>266</v>
      </c>
    </row>
    <row r="25" spans="1:25" x14ac:dyDescent="0.35">
      <c r="A25" s="53" t="str">
        <f>Inventory!A22</f>
        <v>Iso E Super</v>
      </c>
      <c r="B25" s="69">
        <f>Inventory!B22</f>
        <v>10</v>
      </c>
      <c r="C25" s="61" t="str">
        <f>Inventory!C22</f>
        <v>ml</v>
      </c>
      <c r="D25" s="69">
        <f>Inventory!D22</f>
        <v>1</v>
      </c>
      <c r="E25" s="60">
        <v>0</v>
      </c>
      <c r="F25" s="70">
        <f>Inventory!E22</f>
        <v>0.9</v>
      </c>
      <c r="G25" s="24">
        <f>Inventory!K22</f>
        <v>9</v>
      </c>
      <c r="H25" s="57">
        <f t="shared" si="2"/>
        <v>9</v>
      </c>
      <c r="I25" s="71">
        <f t="shared" si="3"/>
        <v>9.5000000000000001E-2</v>
      </c>
      <c r="J25" s="72">
        <f t="shared" si="4"/>
        <v>9.5000000000000001E-2</v>
      </c>
      <c r="K25" s="69">
        <f t="shared" si="5"/>
        <v>39</v>
      </c>
      <c r="L25" s="69">
        <f t="shared" si="6"/>
        <v>19</v>
      </c>
      <c r="M25" s="69">
        <f t="shared" si="7"/>
        <v>13</v>
      </c>
      <c r="N25" s="69">
        <f t="shared" si="8"/>
        <v>7</v>
      </c>
      <c r="O25" s="69">
        <f t="shared" si="9"/>
        <v>5</v>
      </c>
      <c r="P25" s="69">
        <f t="shared" si="10"/>
        <v>3</v>
      </c>
      <c r="Q25" s="63">
        <f t="shared" si="11"/>
        <v>39</v>
      </c>
      <c r="R25" s="63">
        <f t="shared" si="12"/>
        <v>19</v>
      </c>
      <c r="S25" s="63">
        <f t="shared" si="13"/>
        <v>13</v>
      </c>
      <c r="T25" s="63">
        <f t="shared" si="14"/>
        <v>7</v>
      </c>
      <c r="U25" s="63">
        <f t="shared" si="15"/>
        <v>5</v>
      </c>
      <c r="V25" s="63">
        <f t="shared" si="16"/>
        <v>3</v>
      </c>
      <c r="W25" s="63">
        <f>IF($N25="","",MAX(0,MIN(IF($A25="","",IF($A25="DPG (Dipropylene Glycol)",IFERROR(FLOOR((MAX(($G25+IF($C25="ml",$B25*$F25,$B25)),0)/(D10ActivePct*0.9))/(50*YC_Density*YC_ConcPct),1),""),IF($A25="Alcohol 190 proof SDA 40B",IFERROR(FLOOR(MAX(($G25+IF($C25="ml",$B25*$F25,$B25)),0)/(50*YC_Density*(1-YC_ConcPct)),1),""),IFERROR(FLOOR((MAX(($G25+IF($C25="ml",$B25*$F25,$B25)),0)/(INDEX(FM_Active,MATCH($A25,FM_Mat,0))*IF(INDEX(FM_D10,MATCH($A25,FM_Mat,0))="D10",0.1,1)))/(50*YC_Density*YC_ConcPct),1),"")))),MIN($N$7:$N$24),MIN($N$26:$N$33))-$E$4))</f>
        <v>3</v>
      </c>
      <c r="X25" s="61" t="str">
        <f t="shared" si="17"/>
        <v>BUY MORE - raises output</v>
      </c>
      <c r="Y25" s="62" t="s">
        <v>266</v>
      </c>
    </row>
    <row r="26" spans="1:25" x14ac:dyDescent="0.35">
      <c r="A26" s="53" t="str">
        <f>Inventory!A23</f>
        <v>Cashmeran IFF</v>
      </c>
      <c r="B26" s="69">
        <f>Inventory!B23</f>
        <v>10</v>
      </c>
      <c r="C26" s="61" t="str">
        <f>Inventory!C23</f>
        <v>ml</v>
      </c>
      <c r="D26" s="69">
        <f>Inventory!D23</f>
        <v>1</v>
      </c>
      <c r="E26" s="60">
        <v>0</v>
      </c>
      <c r="F26" s="70">
        <f>Inventory!E23</f>
        <v>0.9</v>
      </c>
      <c r="G26" s="24">
        <f>Inventory!K23</f>
        <v>9</v>
      </c>
      <c r="H26" s="57">
        <f t="shared" si="2"/>
        <v>9</v>
      </c>
      <c r="I26" s="71">
        <f t="shared" si="3"/>
        <v>0.03</v>
      </c>
      <c r="J26" s="72">
        <f t="shared" si="4"/>
        <v>0.03</v>
      </c>
      <c r="K26" s="69">
        <f t="shared" si="5"/>
        <v>126</v>
      </c>
      <c r="L26" s="69">
        <f t="shared" si="6"/>
        <v>63</v>
      </c>
      <c r="M26" s="69">
        <f t="shared" si="7"/>
        <v>42</v>
      </c>
      <c r="N26" s="69">
        <f t="shared" si="8"/>
        <v>25</v>
      </c>
      <c r="O26" s="69">
        <f t="shared" si="9"/>
        <v>18</v>
      </c>
      <c r="P26" s="69">
        <f t="shared" si="10"/>
        <v>12</v>
      </c>
      <c r="Q26" s="63">
        <f t="shared" si="11"/>
        <v>126</v>
      </c>
      <c r="R26" s="63">
        <f t="shared" si="12"/>
        <v>63</v>
      </c>
      <c r="S26" s="63">
        <f t="shared" si="13"/>
        <v>42</v>
      </c>
      <c r="T26" s="63">
        <f t="shared" si="14"/>
        <v>25</v>
      </c>
      <c r="U26" s="63">
        <f t="shared" si="15"/>
        <v>18</v>
      </c>
      <c r="V26" s="63">
        <f t="shared" si="16"/>
        <v>12</v>
      </c>
      <c r="W26" s="63">
        <f>IF($N26="","",MAX(0,MIN(IF($A26="","",IF($A26="DPG (Dipropylene Glycol)",IFERROR(FLOOR((MAX(($G26+IF($C26="ml",$B26*$F26,$B26)),0)/(D10ActivePct*0.9))/(50*YC_Density*YC_ConcPct),1),""),IF($A26="Alcohol 190 proof SDA 40B",IFERROR(FLOOR(MAX(($G26+IF($C26="ml",$B26*$F26,$B26)),0)/(50*YC_Density*(1-YC_ConcPct)),1),""),IFERROR(FLOOR((MAX(($G26+IF($C26="ml",$B26*$F26,$B26)),0)/(INDEX(FM_Active,MATCH($A26,FM_Mat,0))*IF(INDEX(FM_D10,MATCH($A26,FM_Mat,0))="D10",0.1,1)))/(50*YC_Density*YC_ConcPct),1),"")))),MIN($N$7:$N$25),MIN($N$27:$N$33))-$E$4))</f>
        <v>0</v>
      </c>
      <c r="X26" s="61" t="str">
        <f t="shared" si="17"/>
        <v/>
      </c>
      <c r="Y26" s="62" t="s">
        <v>266</v>
      </c>
    </row>
    <row r="27" spans="1:25" x14ac:dyDescent="0.35">
      <c r="A27" s="53" t="str">
        <f>Inventory!A24</f>
        <v>Sandalore (Givaudan)</v>
      </c>
      <c r="B27" s="69">
        <f>Inventory!B24</f>
        <v>10</v>
      </c>
      <c r="C27" s="61" t="str">
        <f>Inventory!C24</f>
        <v>ml</v>
      </c>
      <c r="D27" s="69">
        <f>Inventory!D24</f>
        <v>1</v>
      </c>
      <c r="E27" s="60">
        <v>0</v>
      </c>
      <c r="F27" s="70">
        <f>Inventory!E24</f>
        <v>0.9</v>
      </c>
      <c r="G27" s="24">
        <f>Inventory!K24</f>
        <v>9</v>
      </c>
      <c r="H27" s="57">
        <f t="shared" si="2"/>
        <v>9</v>
      </c>
      <c r="I27" s="71">
        <f t="shared" si="3"/>
        <v>3.5000000000000003E-2</v>
      </c>
      <c r="J27" s="72">
        <f t="shared" si="4"/>
        <v>3.5000000000000003E-2</v>
      </c>
      <c r="K27" s="69">
        <f t="shared" si="5"/>
        <v>108</v>
      </c>
      <c r="L27" s="69">
        <f t="shared" si="6"/>
        <v>54</v>
      </c>
      <c r="M27" s="69">
        <f t="shared" si="7"/>
        <v>36</v>
      </c>
      <c r="N27" s="69">
        <f t="shared" si="8"/>
        <v>21</v>
      </c>
      <c r="O27" s="69">
        <f t="shared" si="9"/>
        <v>15</v>
      </c>
      <c r="P27" s="69">
        <f t="shared" si="10"/>
        <v>10</v>
      </c>
      <c r="Q27" s="63">
        <f t="shared" si="11"/>
        <v>108</v>
      </c>
      <c r="R27" s="63">
        <f t="shared" si="12"/>
        <v>54</v>
      </c>
      <c r="S27" s="63">
        <f t="shared" si="13"/>
        <v>36</v>
      </c>
      <c r="T27" s="63">
        <f t="shared" si="14"/>
        <v>21</v>
      </c>
      <c r="U27" s="63">
        <f t="shared" si="15"/>
        <v>15</v>
      </c>
      <c r="V27" s="63">
        <f t="shared" si="16"/>
        <v>10</v>
      </c>
      <c r="W27" s="63">
        <f>IF($N27="","",MAX(0,MIN(IF($A27="","",IF($A27="DPG (Dipropylene Glycol)",IFERROR(FLOOR((MAX(($G27+IF($C27="ml",$B27*$F27,$B27)),0)/(D10ActivePct*0.9))/(50*YC_Density*YC_ConcPct),1),""),IF($A27="Alcohol 190 proof SDA 40B",IFERROR(FLOOR(MAX(($G27+IF($C27="ml",$B27*$F27,$B27)),0)/(50*YC_Density*(1-YC_ConcPct)),1),""),IFERROR(FLOOR((MAX(($G27+IF($C27="ml",$B27*$F27,$B27)),0)/(INDEX(FM_Active,MATCH($A27,FM_Mat,0))*IF(INDEX(FM_D10,MATCH($A27,FM_Mat,0))="D10",0.1,1)))/(50*YC_Density*YC_ConcPct),1),"")))),MIN($N$7:$N$26),MIN($N$28:$N$33))-$E$4))</f>
        <v>0</v>
      </c>
      <c r="X27" s="61" t="str">
        <f t="shared" si="17"/>
        <v/>
      </c>
      <c r="Y27" s="62" t="s">
        <v>266</v>
      </c>
    </row>
    <row r="28" spans="1:25" x14ac:dyDescent="0.35">
      <c r="A28" s="53" t="str">
        <f>Inventory!A25</f>
        <v>Ethylene Brassylate</v>
      </c>
      <c r="B28" s="69">
        <f>Inventory!B25</f>
        <v>10</v>
      </c>
      <c r="C28" s="61" t="str">
        <f>Inventory!C25</f>
        <v>ml</v>
      </c>
      <c r="D28" s="69">
        <f>Inventory!D25</f>
        <v>1</v>
      </c>
      <c r="E28" s="60">
        <v>0</v>
      </c>
      <c r="F28" s="70">
        <f>Inventory!E25</f>
        <v>0.9</v>
      </c>
      <c r="G28" s="24">
        <f>Inventory!K25</f>
        <v>9</v>
      </c>
      <c r="H28" s="57">
        <f t="shared" si="2"/>
        <v>9</v>
      </c>
      <c r="I28" s="71">
        <f t="shared" si="3"/>
        <v>7.4999999999999997E-2</v>
      </c>
      <c r="J28" s="72">
        <f t="shared" si="4"/>
        <v>7.4999999999999997E-2</v>
      </c>
      <c r="K28" s="69">
        <f t="shared" si="5"/>
        <v>50</v>
      </c>
      <c r="L28" s="69">
        <f t="shared" si="6"/>
        <v>25</v>
      </c>
      <c r="M28" s="69">
        <f t="shared" si="7"/>
        <v>16</v>
      </c>
      <c r="N28" s="69">
        <f t="shared" si="8"/>
        <v>10</v>
      </c>
      <c r="O28" s="69">
        <f t="shared" si="9"/>
        <v>7</v>
      </c>
      <c r="P28" s="69">
        <f t="shared" si="10"/>
        <v>5</v>
      </c>
      <c r="Q28" s="63">
        <f t="shared" si="11"/>
        <v>50</v>
      </c>
      <c r="R28" s="63">
        <f t="shared" si="12"/>
        <v>25</v>
      </c>
      <c r="S28" s="63">
        <f t="shared" si="13"/>
        <v>16</v>
      </c>
      <c r="T28" s="63">
        <f t="shared" si="14"/>
        <v>10</v>
      </c>
      <c r="U28" s="63">
        <f t="shared" si="15"/>
        <v>7</v>
      </c>
      <c r="V28" s="63">
        <f t="shared" si="16"/>
        <v>5</v>
      </c>
      <c r="W28" s="63">
        <f>IF($N28="","",MAX(0,MIN(IF($A28="","",IF($A28="DPG (Dipropylene Glycol)",IFERROR(FLOOR((MAX(($G28+IF($C28="ml",$B28*$F28,$B28)),0)/(D10ActivePct*0.9))/(50*YC_Density*YC_ConcPct),1),""),IF($A28="Alcohol 190 proof SDA 40B",IFERROR(FLOOR(MAX(($G28+IF($C28="ml",$B28*$F28,$B28)),0)/(50*YC_Density*(1-YC_ConcPct)),1),""),IFERROR(FLOOR((MAX(($G28+IF($C28="ml",$B28*$F28,$B28)),0)/(INDEX(FM_Active,MATCH($A28,FM_Mat,0))*IF(INDEX(FM_D10,MATCH($A28,FM_Mat,0))="D10",0.1,1)))/(50*YC_Density*YC_ConcPct),1),"")))),MIN($N$7:$N$27),MIN($N$29:$N$33))-$E$4))</f>
        <v>0</v>
      </c>
      <c r="X28" s="61" t="str">
        <f t="shared" si="17"/>
        <v/>
      </c>
      <c r="Y28" s="62" t="s">
        <v>266</v>
      </c>
    </row>
    <row r="29" spans="1:25" x14ac:dyDescent="0.35">
      <c r="A29" s="53" t="str">
        <f>Inventory!A26</f>
        <v>Galaxolide</v>
      </c>
      <c r="B29" s="69">
        <f>Inventory!B26</f>
        <v>30</v>
      </c>
      <c r="C29" s="61" t="str">
        <f>Inventory!C26</f>
        <v>ml</v>
      </c>
      <c r="D29" s="69">
        <f>Inventory!D26</f>
        <v>1</v>
      </c>
      <c r="E29" s="60">
        <v>0</v>
      </c>
      <c r="F29" s="70">
        <f>Inventory!E26</f>
        <v>0.9</v>
      </c>
      <c r="G29" s="24">
        <f>Inventory!K26</f>
        <v>27</v>
      </c>
      <c r="H29" s="57">
        <f t="shared" si="2"/>
        <v>27</v>
      </c>
      <c r="I29" s="71">
        <f t="shared" si="3"/>
        <v>5.5E-2</v>
      </c>
      <c r="J29" s="72">
        <f t="shared" si="4"/>
        <v>5.5E-2</v>
      </c>
      <c r="K29" s="69">
        <f t="shared" si="5"/>
        <v>206</v>
      </c>
      <c r="L29" s="69">
        <f t="shared" si="6"/>
        <v>103</v>
      </c>
      <c r="M29" s="69">
        <f t="shared" si="7"/>
        <v>68</v>
      </c>
      <c r="N29" s="69">
        <f t="shared" si="8"/>
        <v>41</v>
      </c>
      <c r="O29" s="69">
        <f t="shared" si="9"/>
        <v>29</v>
      </c>
      <c r="P29" s="69">
        <f t="shared" si="10"/>
        <v>20</v>
      </c>
      <c r="Q29" s="63">
        <f t="shared" si="11"/>
        <v>206</v>
      </c>
      <c r="R29" s="63">
        <f t="shared" si="12"/>
        <v>103</v>
      </c>
      <c r="S29" s="63">
        <f t="shared" si="13"/>
        <v>68</v>
      </c>
      <c r="T29" s="63">
        <f t="shared" si="14"/>
        <v>41</v>
      </c>
      <c r="U29" s="63">
        <f t="shared" si="15"/>
        <v>29</v>
      </c>
      <c r="V29" s="63">
        <f t="shared" si="16"/>
        <v>20</v>
      </c>
      <c r="W29" s="63">
        <f>IF($N29="","",MAX(0,MIN(IF($A29="","",IF($A29="DPG (Dipropylene Glycol)",IFERROR(FLOOR((MAX(($G29+IF($C29="ml",$B29*$F29,$B29)),0)/(D10ActivePct*0.9))/(50*YC_Density*YC_ConcPct),1),""),IF($A29="Alcohol 190 proof SDA 40B",IFERROR(FLOOR(MAX(($G29+IF($C29="ml",$B29*$F29,$B29)),0)/(50*YC_Density*(1-YC_ConcPct)),1),""),IFERROR(FLOOR((MAX(($G29+IF($C29="ml",$B29*$F29,$B29)),0)/(INDEX(FM_Active,MATCH($A29,FM_Mat,0))*IF(INDEX(FM_D10,MATCH($A29,FM_Mat,0))="D10",0.1,1)))/(50*YC_Density*YC_ConcPct),1),"")))),MIN($N$7:$N$28),MIN($N$30:$N$33))-$E$4))</f>
        <v>0</v>
      </c>
      <c r="X29" s="61" t="str">
        <f t="shared" si="17"/>
        <v/>
      </c>
      <c r="Y29" s="62" t="s">
        <v>266</v>
      </c>
    </row>
    <row r="30" spans="1:25" x14ac:dyDescent="0.35">
      <c r="A30" s="53" t="str">
        <f>Inventory!A27</f>
        <v>Exaltolide Total (Firmenich)</v>
      </c>
      <c r="B30" s="69">
        <f>Inventory!B27</f>
        <v>10</v>
      </c>
      <c r="C30" s="61" t="str">
        <f>Inventory!C27</f>
        <v>ml</v>
      </c>
      <c r="D30" s="69">
        <f>Inventory!D27</f>
        <v>1</v>
      </c>
      <c r="E30" s="60">
        <v>0</v>
      </c>
      <c r="F30" s="70">
        <f>Inventory!E27</f>
        <v>0.9</v>
      </c>
      <c r="G30" s="24">
        <f>Inventory!K27</f>
        <v>9</v>
      </c>
      <c r="H30" s="57">
        <f t="shared" si="2"/>
        <v>9</v>
      </c>
      <c r="I30" s="71">
        <f t="shared" si="3"/>
        <v>2.5000000000000001E-2</v>
      </c>
      <c r="J30" s="72">
        <f t="shared" si="4"/>
        <v>2.5000000000000001E-2</v>
      </c>
      <c r="K30" s="69">
        <f t="shared" si="5"/>
        <v>151</v>
      </c>
      <c r="L30" s="69">
        <f t="shared" si="6"/>
        <v>75</v>
      </c>
      <c r="M30" s="69">
        <f t="shared" si="7"/>
        <v>50</v>
      </c>
      <c r="N30" s="69">
        <f t="shared" si="8"/>
        <v>30</v>
      </c>
      <c r="O30" s="69">
        <f t="shared" si="9"/>
        <v>21</v>
      </c>
      <c r="P30" s="69">
        <f t="shared" si="10"/>
        <v>15</v>
      </c>
      <c r="Q30" s="63">
        <f t="shared" si="11"/>
        <v>151</v>
      </c>
      <c r="R30" s="63">
        <f t="shared" si="12"/>
        <v>75</v>
      </c>
      <c r="S30" s="63">
        <f t="shared" si="13"/>
        <v>50</v>
      </c>
      <c r="T30" s="63">
        <f t="shared" si="14"/>
        <v>30</v>
      </c>
      <c r="U30" s="63">
        <f t="shared" si="15"/>
        <v>21</v>
      </c>
      <c r="V30" s="63">
        <f t="shared" si="16"/>
        <v>15</v>
      </c>
      <c r="W30" s="63">
        <f>IF($N30="","",MAX(0,MIN(IF($A30="","",IF($A30="DPG (Dipropylene Glycol)",IFERROR(FLOOR((MAX(($G30+IF($C30="ml",$B30*$F30,$B30)),0)/(D10ActivePct*0.9))/(50*YC_Density*YC_ConcPct),1),""),IF($A30="Alcohol 190 proof SDA 40B",IFERROR(FLOOR(MAX(($G30+IF($C30="ml",$B30*$F30,$B30)),0)/(50*YC_Density*(1-YC_ConcPct)),1),""),IFERROR(FLOOR((MAX(($G30+IF($C30="ml",$B30*$F30,$B30)),0)/(INDEX(FM_Active,MATCH($A30,FM_Mat,0))*IF(INDEX(FM_D10,MATCH($A30,FM_Mat,0))="D10",0.1,1)))/(50*YC_Density*YC_ConcPct),1),"")))),MIN($N$7:$N$29),MIN($N$31:$N$33))-$E$4))</f>
        <v>0</v>
      </c>
      <c r="X30" s="61" t="str">
        <f t="shared" si="17"/>
        <v/>
      </c>
      <c r="Y30" s="62" t="s">
        <v>266</v>
      </c>
    </row>
    <row r="31" spans="1:25" x14ac:dyDescent="0.35">
      <c r="A31" s="53" t="str">
        <f>Inventory!A28</f>
        <v>Saffron Accord</v>
      </c>
      <c r="B31" s="69">
        <f>Inventory!B28</f>
        <v>10</v>
      </c>
      <c r="C31" s="61" t="str">
        <f>Inventory!C28</f>
        <v>ml</v>
      </c>
      <c r="D31" s="69">
        <f>Inventory!D28</f>
        <v>1</v>
      </c>
      <c r="E31" s="60">
        <v>0</v>
      </c>
      <c r="F31" s="70">
        <f>Inventory!E28</f>
        <v>0.9</v>
      </c>
      <c r="G31" s="24">
        <f>Inventory!K28</f>
        <v>9</v>
      </c>
      <c r="H31" s="57">
        <f t="shared" si="2"/>
        <v>9</v>
      </c>
      <c r="I31" s="71">
        <f t="shared" si="3"/>
        <v>5.0000000000000001E-3</v>
      </c>
      <c r="J31" s="72">
        <f t="shared" si="4"/>
        <v>5.0000000000000001E-3</v>
      </c>
      <c r="K31" s="69">
        <f t="shared" si="5"/>
        <v>756</v>
      </c>
      <c r="L31" s="69">
        <f t="shared" si="6"/>
        <v>378</v>
      </c>
      <c r="M31" s="69">
        <f t="shared" si="7"/>
        <v>252</v>
      </c>
      <c r="N31" s="69">
        <f t="shared" si="8"/>
        <v>151</v>
      </c>
      <c r="O31" s="69">
        <f t="shared" si="9"/>
        <v>108</v>
      </c>
      <c r="P31" s="69">
        <f t="shared" si="10"/>
        <v>75</v>
      </c>
      <c r="Q31" s="63">
        <f t="shared" si="11"/>
        <v>756</v>
      </c>
      <c r="R31" s="63">
        <f t="shared" si="12"/>
        <v>378</v>
      </c>
      <c r="S31" s="63">
        <f t="shared" si="13"/>
        <v>252</v>
      </c>
      <c r="T31" s="63">
        <f t="shared" si="14"/>
        <v>151</v>
      </c>
      <c r="U31" s="63">
        <f t="shared" si="15"/>
        <v>108</v>
      </c>
      <c r="V31" s="63">
        <f t="shared" si="16"/>
        <v>75</v>
      </c>
      <c r="W31" s="63">
        <f>IF($N31="","",MAX(0,MIN(IF($A31="","",IF($A31="DPG (Dipropylene Glycol)",IFERROR(FLOOR((MAX(($G31+IF($C31="ml",$B31*$F31,$B31)),0)/(D10ActivePct*0.9))/(50*YC_Density*YC_ConcPct),1),""),IF($A31="Alcohol 190 proof SDA 40B",IFERROR(FLOOR(MAX(($G31+IF($C31="ml",$B31*$F31,$B31)),0)/(50*YC_Density*(1-YC_ConcPct)),1),""),IFERROR(FLOOR((MAX(($G31+IF($C31="ml",$B31*$F31,$B31)),0)/(INDEX(FM_Active,MATCH($A31,FM_Mat,0))*IF(INDEX(FM_D10,MATCH($A31,FM_Mat,0))="D10",0.1,1)))/(50*YC_Density*YC_ConcPct),1),"")))),MIN($N$7:$N$30),MIN($N$32:$N$33))-$E$4))</f>
        <v>0</v>
      </c>
      <c r="X31" s="61" t="str">
        <f t="shared" si="17"/>
        <v/>
      </c>
      <c r="Y31" s="62" t="s">
        <v>266</v>
      </c>
    </row>
    <row r="32" spans="1:25" x14ac:dyDescent="0.35">
      <c r="A32" s="53" t="str">
        <f>Inventory!A29</f>
        <v>DPG (Dipropylene Glycol)</v>
      </c>
      <c r="B32" s="69">
        <f>Inventory!B29</f>
        <v>500</v>
      </c>
      <c r="C32" s="61" t="str">
        <f>Inventory!C29</f>
        <v>ml</v>
      </c>
      <c r="D32" s="69">
        <f>Inventory!D29</f>
        <v>1</v>
      </c>
      <c r="E32" s="60">
        <v>0</v>
      </c>
      <c r="F32" s="70">
        <f>Inventory!E29</f>
        <v>1.02</v>
      </c>
      <c r="G32" s="24">
        <f>Inventory!K29</f>
        <v>510</v>
      </c>
      <c r="H32" s="57">
        <f t="shared" si="2"/>
        <v>510</v>
      </c>
      <c r="I32" s="71">
        <f t="shared" si="3"/>
        <v>4.8000000000000001E-2</v>
      </c>
      <c r="J32" s="72">
        <f t="shared" si="4"/>
        <v>4.3200000000000002E-2</v>
      </c>
      <c r="K32" s="69">
        <f t="shared" si="5"/>
        <v>4960</v>
      </c>
      <c r="L32" s="69">
        <f t="shared" si="6"/>
        <v>2480</v>
      </c>
      <c r="M32" s="69">
        <f t="shared" si="7"/>
        <v>1653</v>
      </c>
      <c r="N32" s="69">
        <f t="shared" si="8"/>
        <v>992</v>
      </c>
      <c r="O32" s="69">
        <f t="shared" si="9"/>
        <v>708</v>
      </c>
      <c r="P32" s="69">
        <f t="shared" si="10"/>
        <v>496</v>
      </c>
      <c r="Q32" s="63">
        <f t="shared" si="11"/>
        <v>4960</v>
      </c>
      <c r="R32" s="63">
        <f t="shared" si="12"/>
        <v>2480</v>
      </c>
      <c r="S32" s="63">
        <f t="shared" si="13"/>
        <v>1653</v>
      </c>
      <c r="T32" s="63">
        <f t="shared" si="14"/>
        <v>992</v>
      </c>
      <c r="U32" s="63">
        <f t="shared" si="15"/>
        <v>708</v>
      </c>
      <c r="V32" s="63">
        <f t="shared" si="16"/>
        <v>496</v>
      </c>
      <c r="W32" s="63">
        <f>IF($N32="","",MAX(0,MIN(IF($A32="","",IF($A32="DPG (Dipropylene Glycol)",IFERROR(FLOOR((MAX(($G32+IF($C32="ml",$B32*$F32,$B32)),0)/(D10ActivePct*0.9))/(50*YC_Density*YC_ConcPct),1),""),IF($A32="Alcohol 190 proof SDA 40B",IFERROR(FLOOR(MAX(($G32+IF($C32="ml",$B32*$F32,$B32)),0)/(50*YC_Density*(1-YC_ConcPct)),1),""),IFERROR(FLOOR((MAX(($G32+IF($C32="ml",$B32*$F32,$B32)),0)/(INDEX(FM_Active,MATCH($A32,FM_Mat,0))*IF(INDEX(FM_D10,MATCH($A32,FM_Mat,0))="D10",0.1,1)))/(50*YC_Density*YC_ConcPct),1),"")))),MIN($N$7:$N$31),MIN($N$33:$N$33))-$E$4))</f>
        <v>0</v>
      </c>
      <c r="X32" s="61" t="str">
        <f t="shared" si="17"/>
        <v/>
      </c>
      <c r="Y32" s="62" t="s">
        <v>266</v>
      </c>
    </row>
    <row r="33" spans="1:25" x14ac:dyDescent="0.35">
      <c r="A33" s="53" t="str">
        <f>Inventory!A30</f>
        <v>Alcohol 190 proof SDA 40B</v>
      </c>
      <c r="B33" s="69">
        <f>Inventory!B30</f>
        <v>5000</v>
      </c>
      <c r="C33" s="61" t="str">
        <f>Inventory!C30</f>
        <v>ml</v>
      </c>
      <c r="D33" s="69">
        <f>Inventory!D30</f>
        <v>1</v>
      </c>
      <c r="E33" s="60">
        <v>0</v>
      </c>
      <c r="F33" s="70">
        <f>Inventory!E30</f>
        <v>0.81</v>
      </c>
      <c r="G33" s="24">
        <f>Inventory!K30</f>
        <v>4050.0000000000005</v>
      </c>
      <c r="H33" s="57">
        <f t="shared" si="2"/>
        <v>4050.0000000000005</v>
      </c>
      <c r="I33" s="71" t="str">
        <f t="shared" si="3"/>
        <v/>
      </c>
      <c r="J33" s="72" t="str">
        <f t="shared" si="4"/>
        <v/>
      </c>
      <c r="K33" s="69">
        <f t="shared" si="5"/>
        <v>661</v>
      </c>
      <c r="L33" s="69">
        <f t="shared" si="6"/>
        <v>330</v>
      </c>
      <c r="M33" s="69">
        <f t="shared" si="7"/>
        <v>220</v>
      </c>
      <c r="N33" s="69">
        <f t="shared" si="8"/>
        <v>132</v>
      </c>
      <c r="O33" s="69">
        <f t="shared" si="9"/>
        <v>94</v>
      </c>
      <c r="P33" s="69">
        <f t="shared" si="10"/>
        <v>66</v>
      </c>
      <c r="Q33" s="63">
        <f t="shared" si="11"/>
        <v>661</v>
      </c>
      <c r="R33" s="63">
        <f t="shared" si="12"/>
        <v>330</v>
      </c>
      <c r="S33" s="63">
        <f t="shared" si="13"/>
        <v>220</v>
      </c>
      <c r="T33" s="63">
        <f t="shared" si="14"/>
        <v>132</v>
      </c>
      <c r="U33" s="63">
        <f t="shared" si="15"/>
        <v>94</v>
      </c>
      <c r="V33" s="63">
        <f t="shared" si="16"/>
        <v>66</v>
      </c>
      <c r="W33" s="63">
        <f>IF($N33="","",MAX(0,MIN(IF($A33="","",IF($A33="DPG (Dipropylene Glycol)",IFERROR(FLOOR((MAX(($G33+IF($C33="ml",$B33*$F33,$B33)),0)/(D10ActivePct*0.9))/(50*YC_Density*YC_ConcPct),1),""),IF($A33="Alcohol 190 proof SDA 40B",IFERROR(FLOOR(MAX(($G33+IF($C33="ml",$B33*$F33,$B33)),0)/(50*YC_Density*(1-YC_ConcPct)),1),""),IFERROR(FLOOR((MAX(($G33+IF($C33="ml",$B33*$F33,$B33)),0)/(INDEX(FM_Active,MATCH($A33,FM_Mat,0))*IF(INDEX(FM_D10,MATCH($A33,FM_Mat,0))="D10",0.1,1)))/(50*YC_Density*YC_ConcPct),1),"")))),MIN($N$7:$N$32))-$E$4))</f>
        <v>0</v>
      </c>
      <c r="X33" s="61" t="str">
        <f t="shared" si="17"/>
        <v/>
      </c>
      <c r="Y33" s="62" t="s">
        <v>266</v>
      </c>
    </row>
  </sheetData>
  <mergeCells count="4">
    <mergeCell ref="I3:Y5"/>
    <mergeCell ref="A3:A5"/>
    <mergeCell ref="A2:Y2"/>
    <mergeCell ref="A1:Y1"/>
  </mergeCells>
  <conditionalFormatting sqref="A7:Y33">
    <cfRule type="expression" dxfId="7" priority="1">
      <formula>AND(ISNUMBER($N7),$N7=$E$4)</formula>
    </cfRule>
    <cfRule type="expression" dxfId="6" priority="2">
      <formula>AND(ISNUMBER($W7),$W7&gt;0)</formula>
    </cfRule>
  </conditionalFormatting>
  <dataValidations count="1">
    <dataValidation type="whole" sqref="E7:E33" xr:uid="{00000000-0002-0000-0600-000000000000}">
      <formula1>0</formula1>
      <formula2>999</formula2>
    </dataValidation>
  </dataValidations>
  <hyperlinks>
    <hyperlink ref="Y7" r:id="rId1" xr:uid="{00000000-0004-0000-0600-000000000000}"/>
    <hyperlink ref="Y8" r:id="rId2" xr:uid="{00000000-0004-0000-0600-000001000000}"/>
    <hyperlink ref="Y9" r:id="rId3" xr:uid="{00000000-0004-0000-0600-000002000000}"/>
    <hyperlink ref="Y10" r:id="rId4" xr:uid="{00000000-0004-0000-0600-000003000000}"/>
    <hyperlink ref="Y11" r:id="rId5" xr:uid="{00000000-0004-0000-0600-000004000000}"/>
    <hyperlink ref="Y12" r:id="rId6" xr:uid="{00000000-0004-0000-0600-000005000000}"/>
    <hyperlink ref="Y13" r:id="rId7" xr:uid="{00000000-0004-0000-0600-000006000000}"/>
    <hyperlink ref="Y14" r:id="rId8" xr:uid="{00000000-0004-0000-0600-000007000000}"/>
    <hyperlink ref="Y15" r:id="rId9" xr:uid="{00000000-0004-0000-0600-000008000000}"/>
    <hyperlink ref="Y16" r:id="rId10" xr:uid="{00000000-0004-0000-0600-000009000000}"/>
    <hyperlink ref="Y17" r:id="rId11" xr:uid="{00000000-0004-0000-0600-00000A000000}"/>
    <hyperlink ref="Y18" r:id="rId12" xr:uid="{00000000-0004-0000-0600-00000B000000}"/>
    <hyperlink ref="Y19" r:id="rId13" xr:uid="{00000000-0004-0000-0600-00000C000000}"/>
    <hyperlink ref="Y20" r:id="rId14" xr:uid="{00000000-0004-0000-0600-00000D000000}"/>
    <hyperlink ref="Y21" r:id="rId15" xr:uid="{00000000-0004-0000-0600-00000E000000}"/>
    <hyperlink ref="Y22" r:id="rId16" xr:uid="{00000000-0004-0000-0600-00000F000000}"/>
    <hyperlink ref="Y23" r:id="rId17" xr:uid="{00000000-0004-0000-0600-000010000000}"/>
    <hyperlink ref="Y24" r:id="rId18" xr:uid="{00000000-0004-0000-0600-000011000000}"/>
    <hyperlink ref="Y25" r:id="rId19" xr:uid="{00000000-0004-0000-0600-000012000000}"/>
    <hyperlink ref="Y26" r:id="rId20" xr:uid="{00000000-0004-0000-0600-000013000000}"/>
    <hyperlink ref="Y27" r:id="rId21" xr:uid="{00000000-0004-0000-0600-000014000000}"/>
    <hyperlink ref="Y28" r:id="rId22" xr:uid="{00000000-0004-0000-0600-000015000000}"/>
    <hyperlink ref="Y29" r:id="rId23" xr:uid="{00000000-0004-0000-0600-000016000000}"/>
    <hyperlink ref="Y30" r:id="rId24" xr:uid="{00000000-0004-0000-0600-000017000000}"/>
    <hyperlink ref="Y31" r:id="rId25" xr:uid="{00000000-0004-0000-0600-000018000000}"/>
    <hyperlink ref="Y32" r:id="rId26" xr:uid="{00000000-0004-0000-0600-000019000000}"/>
    <hyperlink ref="Y33" r:id="rId27" xr:uid="{00000000-0004-0000-0600-00001A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B3531"/>
  </sheetPr>
  <dimension ref="A1:M44"/>
  <sheetViews>
    <sheetView showGridLines="0" workbookViewId="0">
      <pane xSplit="2" ySplit="4" topLeftCell="C5" activePane="bottomRight" state="frozen"/>
      <selection pane="topRight"/>
      <selection pane="bottomLeft"/>
      <selection pane="bottomRight"/>
    </sheetView>
  </sheetViews>
  <sheetFormatPr defaultRowHeight="14.5" x14ac:dyDescent="0.35"/>
  <cols>
    <col min="1" max="1" width="11" customWidth="1"/>
    <col min="2" max="2" width="16" customWidth="1"/>
    <col min="3" max="3" width="26" customWidth="1"/>
    <col min="4" max="4" width="8" customWidth="1"/>
    <col min="5" max="5" width="6" customWidth="1"/>
    <col min="6" max="6" width="8" customWidth="1"/>
    <col min="7" max="7" width="13" customWidth="1"/>
    <col min="8" max="8" width="11" customWidth="1"/>
    <col min="9" max="11" width="12" customWidth="1"/>
    <col min="12" max="12" width="32" customWidth="1"/>
    <col min="13" max="13" width="4" hidden="1" customWidth="1"/>
  </cols>
  <sheetData>
    <row r="1" spans="1:13" ht="28" customHeight="1" x14ac:dyDescent="0.35">
      <c r="A1" s="108" t="s">
        <v>267</v>
      </c>
      <c r="B1" s="89"/>
      <c r="C1" s="89"/>
      <c r="D1" s="89"/>
      <c r="E1" s="89"/>
      <c r="F1" s="89"/>
      <c r="G1" s="89"/>
      <c r="H1" s="89"/>
      <c r="I1" s="89"/>
      <c r="J1" s="89"/>
      <c r="K1" s="89"/>
      <c r="L1" s="89"/>
      <c r="M1" s="1"/>
    </row>
    <row r="2" spans="1:13" x14ac:dyDescent="0.35">
      <c r="A2" s="105" t="s">
        <v>268</v>
      </c>
      <c r="B2" s="106"/>
      <c r="C2" s="106"/>
      <c r="D2" s="106"/>
      <c r="E2" s="106"/>
      <c r="F2" s="106"/>
      <c r="G2" s="106"/>
      <c r="H2" s="106"/>
      <c r="I2" s="106"/>
      <c r="J2" s="106"/>
      <c r="K2" s="106"/>
      <c r="L2" s="106"/>
      <c r="M2" s="1"/>
    </row>
    <row r="3" spans="1:13" x14ac:dyDescent="0.35">
      <c r="A3" s="125" t="s">
        <v>269</v>
      </c>
      <c r="B3" s="89"/>
      <c r="C3" s="60">
        <v>42</v>
      </c>
      <c r="D3" s="125" t="s">
        <v>270</v>
      </c>
      <c r="E3" s="89"/>
      <c r="F3" s="73">
        <f>SUM(LogConcG)</f>
        <v>0</v>
      </c>
      <c r="G3" s="125" t="s">
        <v>271</v>
      </c>
      <c r="H3" s="89"/>
      <c r="I3" s="73">
        <f>SUM(LogAlcG)</f>
        <v>0</v>
      </c>
      <c r="J3" s="1"/>
      <c r="K3" s="1"/>
      <c r="L3" s="1"/>
      <c r="M3" s="1"/>
    </row>
    <row r="4" spans="1:13" ht="24" customHeight="1" x14ac:dyDescent="0.35">
      <c r="A4" s="17" t="s">
        <v>272</v>
      </c>
      <c r="B4" s="17" t="s">
        <v>273</v>
      </c>
      <c r="C4" s="17" t="s">
        <v>10</v>
      </c>
      <c r="D4" s="17" t="s">
        <v>274</v>
      </c>
      <c r="E4" s="17" t="s">
        <v>223</v>
      </c>
      <c r="F4" s="17" t="s">
        <v>275</v>
      </c>
      <c r="G4" s="17" t="s">
        <v>276</v>
      </c>
      <c r="H4" s="17" t="s">
        <v>16</v>
      </c>
      <c r="I4" s="17" t="s">
        <v>277</v>
      </c>
      <c r="J4" s="17" t="s">
        <v>278</v>
      </c>
      <c r="K4" s="17" t="s">
        <v>233</v>
      </c>
      <c r="L4" s="17" t="s">
        <v>279</v>
      </c>
      <c r="M4" s="1"/>
    </row>
    <row r="5" spans="1:13" x14ac:dyDescent="0.35">
      <c r="A5" s="58"/>
      <c r="B5" s="74"/>
      <c r="C5" s="53"/>
      <c r="D5" s="24"/>
      <c r="E5" s="74"/>
      <c r="F5" s="75"/>
      <c r="G5" s="24"/>
      <c r="H5" s="24"/>
      <c r="I5" s="58"/>
      <c r="J5" s="58" t="str">
        <f t="shared" ref="J5:J44" si="0">IF($I5="","",$I5+MacDays)</f>
        <v/>
      </c>
      <c r="K5" s="74"/>
      <c r="L5" s="53"/>
      <c r="M5" s="11" t="str">
        <f t="shared" ref="M5:M44" si="1">IF(AND($K5="Macerating",$I5&lt;&gt;""),$I5,"")</f>
        <v/>
      </c>
    </row>
    <row r="6" spans="1:13" x14ac:dyDescent="0.35">
      <c r="A6" s="58"/>
      <c r="B6" s="74"/>
      <c r="C6" s="53"/>
      <c r="D6" s="24"/>
      <c r="E6" s="74"/>
      <c r="F6" s="75"/>
      <c r="G6" s="24"/>
      <c r="H6" s="24"/>
      <c r="I6" s="58"/>
      <c r="J6" s="58" t="str">
        <f t="shared" si="0"/>
        <v/>
      </c>
      <c r="K6" s="74"/>
      <c r="L6" s="53"/>
      <c r="M6" s="11" t="str">
        <f t="shared" si="1"/>
        <v/>
      </c>
    </row>
    <row r="7" spans="1:13" x14ac:dyDescent="0.35">
      <c r="A7" s="58"/>
      <c r="B7" s="74"/>
      <c r="C7" s="53"/>
      <c r="D7" s="24"/>
      <c r="E7" s="74"/>
      <c r="F7" s="75"/>
      <c r="G7" s="24"/>
      <c r="H7" s="24"/>
      <c r="I7" s="58"/>
      <c r="J7" s="58" t="str">
        <f t="shared" si="0"/>
        <v/>
      </c>
      <c r="K7" s="74"/>
      <c r="L7" s="53"/>
      <c r="M7" s="11" t="str">
        <f t="shared" si="1"/>
        <v/>
      </c>
    </row>
    <row r="8" spans="1:13" x14ac:dyDescent="0.35">
      <c r="A8" s="58"/>
      <c r="B8" s="74"/>
      <c r="C8" s="53"/>
      <c r="D8" s="24"/>
      <c r="E8" s="74"/>
      <c r="F8" s="75"/>
      <c r="G8" s="24"/>
      <c r="H8" s="24"/>
      <c r="I8" s="58"/>
      <c r="J8" s="58" t="str">
        <f t="shared" si="0"/>
        <v/>
      </c>
      <c r="K8" s="74"/>
      <c r="L8" s="53"/>
      <c r="M8" s="11" t="str">
        <f t="shared" si="1"/>
        <v/>
      </c>
    </row>
    <row r="9" spans="1:13" x14ac:dyDescent="0.35">
      <c r="A9" s="58"/>
      <c r="B9" s="74"/>
      <c r="C9" s="53"/>
      <c r="D9" s="24"/>
      <c r="E9" s="74"/>
      <c r="F9" s="75"/>
      <c r="G9" s="24"/>
      <c r="H9" s="24"/>
      <c r="I9" s="58"/>
      <c r="J9" s="58" t="str">
        <f t="shared" si="0"/>
        <v/>
      </c>
      <c r="K9" s="74"/>
      <c r="L9" s="53"/>
      <c r="M9" s="11" t="str">
        <f t="shared" si="1"/>
        <v/>
      </c>
    </row>
    <row r="10" spans="1:13" x14ac:dyDescent="0.35">
      <c r="A10" s="58"/>
      <c r="B10" s="74"/>
      <c r="C10" s="53"/>
      <c r="D10" s="24"/>
      <c r="E10" s="74"/>
      <c r="F10" s="75"/>
      <c r="G10" s="24"/>
      <c r="H10" s="24"/>
      <c r="I10" s="58"/>
      <c r="J10" s="58" t="str">
        <f t="shared" si="0"/>
        <v/>
      </c>
      <c r="K10" s="74"/>
      <c r="L10" s="53"/>
      <c r="M10" s="11" t="str">
        <f t="shared" si="1"/>
        <v/>
      </c>
    </row>
    <row r="11" spans="1:13" x14ac:dyDescent="0.35">
      <c r="A11" s="58"/>
      <c r="B11" s="74"/>
      <c r="C11" s="53"/>
      <c r="D11" s="24"/>
      <c r="E11" s="74"/>
      <c r="F11" s="75"/>
      <c r="G11" s="24"/>
      <c r="H11" s="24"/>
      <c r="I11" s="58"/>
      <c r="J11" s="58" t="str">
        <f t="shared" si="0"/>
        <v/>
      </c>
      <c r="K11" s="74"/>
      <c r="L11" s="53"/>
      <c r="M11" s="11" t="str">
        <f t="shared" si="1"/>
        <v/>
      </c>
    </row>
    <row r="12" spans="1:13" x14ac:dyDescent="0.35">
      <c r="A12" s="58"/>
      <c r="B12" s="74"/>
      <c r="C12" s="53"/>
      <c r="D12" s="24"/>
      <c r="E12" s="74"/>
      <c r="F12" s="75"/>
      <c r="G12" s="24"/>
      <c r="H12" s="24"/>
      <c r="I12" s="58"/>
      <c r="J12" s="58" t="str">
        <f t="shared" si="0"/>
        <v/>
      </c>
      <c r="K12" s="74"/>
      <c r="L12" s="53"/>
      <c r="M12" s="11" t="str">
        <f t="shared" si="1"/>
        <v/>
      </c>
    </row>
    <row r="13" spans="1:13" x14ac:dyDescent="0.35">
      <c r="A13" s="58"/>
      <c r="B13" s="74"/>
      <c r="C13" s="53"/>
      <c r="D13" s="24"/>
      <c r="E13" s="74"/>
      <c r="F13" s="75"/>
      <c r="G13" s="24"/>
      <c r="H13" s="24"/>
      <c r="I13" s="58"/>
      <c r="J13" s="58" t="str">
        <f t="shared" si="0"/>
        <v/>
      </c>
      <c r="K13" s="74"/>
      <c r="L13" s="53"/>
      <c r="M13" s="11" t="str">
        <f t="shared" si="1"/>
        <v/>
      </c>
    </row>
    <row r="14" spans="1:13" x14ac:dyDescent="0.35">
      <c r="A14" s="58"/>
      <c r="B14" s="74"/>
      <c r="C14" s="53"/>
      <c r="D14" s="24"/>
      <c r="E14" s="74"/>
      <c r="F14" s="75"/>
      <c r="G14" s="24"/>
      <c r="H14" s="24"/>
      <c r="I14" s="58"/>
      <c r="J14" s="58" t="str">
        <f t="shared" si="0"/>
        <v/>
      </c>
      <c r="K14" s="74"/>
      <c r="L14" s="53"/>
      <c r="M14" s="11" t="str">
        <f t="shared" si="1"/>
        <v/>
      </c>
    </row>
    <row r="15" spans="1:13" x14ac:dyDescent="0.35">
      <c r="A15" s="58"/>
      <c r="B15" s="74"/>
      <c r="C15" s="53"/>
      <c r="D15" s="24"/>
      <c r="E15" s="74"/>
      <c r="F15" s="75"/>
      <c r="G15" s="24"/>
      <c r="H15" s="24"/>
      <c r="I15" s="58"/>
      <c r="J15" s="58" t="str">
        <f t="shared" si="0"/>
        <v/>
      </c>
      <c r="K15" s="74"/>
      <c r="L15" s="53"/>
      <c r="M15" s="11" t="str">
        <f t="shared" si="1"/>
        <v/>
      </c>
    </row>
    <row r="16" spans="1:13" x14ac:dyDescent="0.35">
      <c r="A16" s="58"/>
      <c r="B16" s="74"/>
      <c r="C16" s="53"/>
      <c r="D16" s="24"/>
      <c r="E16" s="74"/>
      <c r="F16" s="75"/>
      <c r="G16" s="24"/>
      <c r="H16" s="24"/>
      <c r="I16" s="58"/>
      <c r="J16" s="58" t="str">
        <f t="shared" si="0"/>
        <v/>
      </c>
      <c r="K16" s="74"/>
      <c r="L16" s="53"/>
      <c r="M16" s="11" t="str">
        <f t="shared" si="1"/>
        <v/>
      </c>
    </row>
    <row r="17" spans="1:13" x14ac:dyDescent="0.35">
      <c r="A17" s="58"/>
      <c r="B17" s="74"/>
      <c r="C17" s="53"/>
      <c r="D17" s="24"/>
      <c r="E17" s="74"/>
      <c r="F17" s="75"/>
      <c r="G17" s="24"/>
      <c r="H17" s="24"/>
      <c r="I17" s="58"/>
      <c r="J17" s="58" t="str">
        <f t="shared" si="0"/>
        <v/>
      </c>
      <c r="K17" s="74"/>
      <c r="L17" s="53"/>
      <c r="M17" s="11" t="str">
        <f t="shared" si="1"/>
        <v/>
      </c>
    </row>
    <row r="18" spans="1:13" x14ac:dyDescent="0.35">
      <c r="A18" s="58"/>
      <c r="B18" s="74"/>
      <c r="C18" s="53"/>
      <c r="D18" s="24"/>
      <c r="E18" s="74"/>
      <c r="F18" s="75"/>
      <c r="G18" s="24"/>
      <c r="H18" s="24"/>
      <c r="I18" s="58"/>
      <c r="J18" s="58" t="str">
        <f t="shared" si="0"/>
        <v/>
      </c>
      <c r="K18" s="74"/>
      <c r="L18" s="53"/>
      <c r="M18" s="11" t="str">
        <f t="shared" si="1"/>
        <v/>
      </c>
    </row>
    <row r="19" spans="1:13" x14ac:dyDescent="0.35">
      <c r="A19" s="58"/>
      <c r="B19" s="74"/>
      <c r="C19" s="53"/>
      <c r="D19" s="24"/>
      <c r="E19" s="74"/>
      <c r="F19" s="75"/>
      <c r="G19" s="24"/>
      <c r="H19" s="24"/>
      <c r="I19" s="58"/>
      <c r="J19" s="58" t="str">
        <f t="shared" si="0"/>
        <v/>
      </c>
      <c r="K19" s="74"/>
      <c r="L19" s="53"/>
      <c r="M19" s="11" t="str">
        <f t="shared" si="1"/>
        <v/>
      </c>
    </row>
    <row r="20" spans="1:13" x14ac:dyDescent="0.35">
      <c r="A20" s="58"/>
      <c r="B20" s="74"/>
      <c r="C20" s="53"/>
      <c r="D20" s="24"/>
      <c r="E20" s="74"/>
      <c r="F20" s="75"/>
      <c r="G20" s="24"/>
      <c r="H20" s="24"/>
      <c r="I20" s="58"/>
      <c r="J20" s="58" t="str">
        <f t="shared" si="0"/>
        <v/>
      </c>
      <c r="K20" s="74"/>
      <c r="L20" s="53"/>
      <c r="M20" s="11" t="str">
        <f t="shared" si="1"/>
        <v/>
      </c>
    </row>
    <row r="21" spans="1:13" x14ac:dyDescent="0.35">
      <c r="A21" s="58"/>
      <c r="B21" s="74"/>
      <c r="C21" s="53"/>
      <c r="D21" s="24"/>
      <c r="E21" s="74"/>
      <c r="F21" s="75"/>
      <c r="G21" s="24"/>
      <c r="H21" s="24"/>
      <c r="I21" s="58"/>
      <c r="J21" s="58" t="str">
        <f t="shared" si="0"/>
        <v/>
      </c>
      <c r="K21" s="74"/>
      <c r="L21" s="53"/>
      <c r="M21" s="11" t="str">
        <f t="shared" si="1"/>
        <v/>
      </c>
    </row>
    <row r="22" spans="1:13" x14ac:dyDescent="0.35">
      <c r="A22" s="58"/>
      <c r="B22" s="74"/>
      <c r="C22" s="53"/>
      <c r="D22" s="24"/>
      <c r="E22" s="74"/>
      <c r="F22" s="75"/>
      <c r="G22" s="24"/>
      <c r="H22" s="24"/>
      <c r="I22" s="58"/>
      <c r="J22" s="58" t="str">
        <f t="shared" si="0"/>
        <v/>
      </c>
      <c r="K22" s="74"/>
      <c r="L22" s="53"/>
      <c r="M22" s="11" t="str">
        <f t="shared" si="1"/>
        <v/>
      </c>
    </row>
    <row r="23" spans="1:13" x14ac:dyDescent="0.35">
      <c r="A23" s="58"/>
      <c r="B23" s="74"/>
      <c r="C23" s="53"/>
      <c r="D23" s="24"/>
      <c r="E23" s="74"/>
      <c r="F23" s="75"/>
      <c r="G23" s="24"/>
      <c r="H23" s="24"/>
      <c r="I23" s="58"/>
      <c r="J23" s="58" t="str">
        <f t="shared" si="0"/>
        <v/>
      </c>
      <c r="K23" s="74"/>
      <c r="L23" s="53"/>
      <c r="M23" s="11" t="str">
        <f t="shared" si="1"/>
        <v/>
      </c>
    </row>
    <row r="24" spans="1:13" x14ac:dyDescent="0.35">
      <c r="A24" s="58"/>
      <c r="B24" s="74"/>
      <c r="C24" s="53"/>
      <c r="D24" s="24"/>
      <c r="E24" s="74"/>
      <c r="F24" s="75"/>
      <c r="G24" s="24"/>
      <c r="H24" s="24"/>
      <c r="I24" s="58"/>
      <c r="J24" s="58" t="str">
        <f t="shared" si="0"/>
        <v/>
      </c>
      <c r="K24" s="74"/>
      <c r="L24" s="53"/>
      <c r="M24" s="11" t="str">
        <f t="shared" si="1"/>
        <v/>
      </c>
    </row>
    <row r="25" spans="1:13" x14ac:dyDescent="0.35">
      <c r="A25" s="58"/>
      <c r="B25" s="74"/>
      <c r="C25" s="53"/>
      <c r="D25" s="24"/>
      <c r="E25" s="74"/>
      <c r="F25" s="75"/>
      <c r="G25" s="24"/>
      <c r="H25" s="24"/>
      <c r="I25" s="58"/>
      <c r="J25" s="58" t="str">
        <f t="shared" si="0"/>
        <v/>
      </c>
      <c r="K25" s="74"/>
      <c r="L25" s="53"/>
      <c r="M25" s="11" t="str">
        <f t="shared" si="1"/>
        <v/>
      </c>
    </row>
    <row r="26" spans="1:13" x14ac:dyDescent="0.35">
      <c r="A26" s="58"/>
      <c r="B26" s="74"/>
      <c r="C26" s="53"/>
      <c r="D26" s="24"/>
      <c r="E26" s="74"/>
      <c r="F26" s="75"/>
      <c r="G26" s="24"/>
      <c r="H26" s="24"/>
      <c r="I26" s="58"/>
      <c r="J26" s="58" t="str">
        <f t="shared" si="0"/>
        <v/>
      </c>
      <c r="K26" s="74"/>
      <c r="L26" s="53"/>
      <c r="M26" s="11" t="str">
        <f t="shared" si="1"/>
        <v/>
      </c>
    </row>
    <row r="27" spans="1:13" x14ac:dyDescent="0.35">
      <c r="A27" s="58"/>
      <c r="B27" s="74"/>
      <c r="C27" s="53"/>
      <c r="D27" s="24"/>
      <c r="E27" s="74"/>
      <c r="F27" s="75"/>
      <c r="G27" s="24"/>
      <c r="H27" s="24"/>
      <c r="I27" s="58"/>
      <c r="J27" s="58" t="str">
        <f t="shared" si="0"/>
        <v/>
      </c>
      <c r="K27" s="74"/>
      <c r="L27" s="53"/>
      <c r="M27" s="11" t="str">
        <f t="shared" si="1"/>
        <v/>
      </c>
    </row>
    <row r="28" spans="1:13" x14ac:dyDescent="0.35">
      <c r="A28" s="58"/>
      <c r="B28" s="74"/>
      <c r="C28" s="53"/>
      <c r="D28" s="24"/>
      <c r="E28" s="74"/>
      <c r="F28" s="75"/>
      <c r="G28" s="24"/>
      <c r="H28" s="24"/>
      <c r="I28" s="58"/>
      <c r="J28" s="58" t="str">
        <f t="shared" si="0"/>
        <v/>
      </c>
      <c r="K28" s="74"/>
      <c r="L28" s="53"/>
      <c r="M28" s="11" t="str">
        <f t="shared" si="1"/>
        <v/>
      </c>
    </row>
    <row r="29" spans="1:13" x14ac:dyDescent="0.35">
      <c r="A29" s="58"/>
      <c r="B29" s="74"/>
      <c r="C29" s="53"/>
      <c r="D29" s="24"/>
      <c r="E29" s="74"/>
      <c r="F29" s="75"/>
      <c r="G29" s="24"/>
      <c r="H29" s="24"/>
      <c r="I29" s="58"/>
      <c r="J29" s="58" t="str">
        <f t="shared" si="0"/>
        <v/>
      </c>
      <c r="K29" s="74"/>
      <c r="L29" s="53"/>
      <c r="M29" s="11" t="str">
        <f t="shared" si="1"/>
        <v/>
      </c>
    </row>
    <row r="30" spans="1:13" x14ac:dyDescent="0.35">
      <c r="A30" s="58"/>
      <c r="B30" s="74"/>
      <c r="C30" s="53"/>
      <c r="D30" s="24"/>
      <c r="E30" s="74"/>
      <c r="F30" s="75"/>
      <c r="G30" s="24"/>
      <c r="H30" s="24"/>
      <c r="I30" s="58"/>
      <c r="J30" s="58" t="str">
        <f t="shared" si="0"/>
        <v/>
      </c>
      <c r="K30" s="74"/>
      <c r="L30" s="53"/>
      <c r="M30" s="11" t="str">
        <f t="shared" si="1"/>
        <v/>
      </c>
    </row>
    <row r="31" spans="1:13" x14ac:dyDescent="0.35">
      <c r="A31" s="58"/>
      <c r="B31" s="74"/>
      <c r="C31" s="53"/>
      <c r="D31" s="24"/>
      <c r="E31" s="74"/>
      <c r="F31" s="75"/>
      <c r="G31" s="24"/>
      <c r="H31" s="24"/>
      <c r="I31" s="58"/>
      <c r="J31" s="58" t="str">
        <f t="shared" si="0"/>
        <v/>
      </c>
      <c r="K31" s="74"/>
      <c r="L31" s="53"/>
      <c r="M31" s="11" t="str">
        <f t="shared" si="1"/>
        <v/>
      </c>
    </row>
    <row r="32" spans="1:13" x14ac:dyDescent="0.35">
      <c r="A32" s="58"/>
      <c r="B32" s="74"/>
      <c r="C32" s="53"/>
      <c r="D32" s="24"/>
      <c r="E32" s="74"/>
      <c r="F32" s="75"/>
      <c r="G32" s="24"/>
      <c r="H32" s="24"/>
      <c r="I32" s="58"/>
      <c r="J32" s="58" t="str">
        <f t="shared" si="0"/>
        <v/>
      </c>
      <c r="K32" s="74"/>
      <c r="L32" s="53"/>
      <c r="M32" s="11" t="str">
        <f t="shared" si="1"/>
        <v/>
      </c>
    </row>
    <row r="33" spans="1:13" x14ac:dyDescent="0.35">
      <c r="A33" s="58"/>
      <c r="B33" s="74"/>
      <c r="C33" s="53"/>
      <c r="D33" s="24"/>
      <c r="E33" s="74"/>
      <c r="F33" s="75"/>
      <c r="G33" s="24"/>
      <c r="H33" s="24"/>
      <c r="I33" s="58"/>
      <c r="J33" s="58" t="str">
        <f t="shared" si="0"/>
        <v/>
      </c>
      <c r="K33" s="74"/>
      <c r="L33" s="53"/>
      <c r="M33" s="11" t="str">
        <f t="shared" si="1"/>
        <v/>
      </c>
    </row>
    <row r="34" spans="1:13" x14ac:dyDescent="0.35">
      <c r="A34" s="58"/>
      <c r="B34" s="74"/>
      <c r="C34" s="53"/>
      <c r="D34" s="24"/>
      <c r="E34" s="74"/>
      <c r="F34" s="75"/>
      <c r="G34" s="24"/>
      <c r="H34" s="24"/>
      <c r="I34" s="58"/>
      <c r="J34" s="58" t="str">
        <f t="shared" si="0"/>
        <v/>
      </c>
      <c r="K34" s="74"/>
      <c r="L34" s="53"/>
      <c r="M34" s="11" t="str">
        <f t="shared" si="1"/>
        <v/>
      </c>
    </row>
    <row r="35" spans="1:13" x14ac:dyDescent="0.35">
      <c r="A35" s="58"/>
      <c r="B35" s="74"/>
      <c r="C35" s="53"/>
      <c r="D35" s="24"/>
      <c r="E35" s="74"/>
      <c r="F35" s="75"/>
      <c r="G35" s="24"/>
      <c r="H35" s="24"/>
      <c r="I35" s="58"/>
      <c r="J35" s="58" t="str">
        <f t="shared" si="0"/>
        <v/>
      </c>
      <c r="K35" s="74"/>
      <c r="L35" s="53"/>
      <c r="M35" s="11" t="str">
        <f t="shared" si="1"/>
        <v/>
      </c>
    </row>
    <row r="36" spans="1:13" x14ac:dyDescent="0.35">
      <c r="A36" s="58"/>
      <c r="B36" s="74"/>
      <c r="C36" s="53"/>
      <c r="D36" s="24"/>
      <c r="E36" s="74"/>
      <c r="F36" s="75"/>
      <c r="G36" s="24"/>
      <c r="H36" s="24"/>
      <c r="I36" s="58"/>
      <c r="J36" s="58" t="str">
        <f t="shared" si="0"/>
        <v/>
      </c>
      <c r="K36" s="74"/>
      <c r="L36" s="53"/>
      <c r="M36" s="11" t="str">
        <f t="shared" si="1"/>
        <v/>
      </c>
    </row>
    <row r="37" spans="1:13" x14ac:dyDescent="0.35">
      <c r="A37" s="58"/>
      <c r="B37" s="74"/>
      <c r="C37" s="53"/>
      <c r="D37" s="24"/>
      <c r="E37" s="74"/>
      <c r="F37" s="75"/>
      <c r="G37" s="24"/>
      <c r="H37" s="24"/>
      <c r="I37" s="58"/>
      <c r="J37" s="58" t="str">
        <f t="shared" si="0"/>
        <v/>
      </c>
      <c r="K37" s="74"/>
      <c r="L37" s="53"/>
      <c r="M37" s="11" t="str">
        <f t="shared" si="1"/>
        <v/>
      </c>
    </row>
    <row r="38" spans="1:13" x14ac:dyDescent="0.35">
      <c r="A38" s="58"/>
      <c r="B38" s="74"/>
      <c r="C38" s="53"/>
      <c r="D38" s="24"/>
      <c r="E38" s="74"/>
      <c r="F38" s="75"/>
      <c r="G38" s="24"/>
      <c r="H38" s="24"/>
      <c r="I38" s="58"/>
      <c r="J38" s="58" t="str">
        <f t="shared" si="0"/>
        <v/>
      </c>
      <c r="K38" s="74"/>
      <c r="L38" s="53"/>
      <c r="M38" s="11" t="str">
        <f t="shared" si="1"/>
        <v/>
      </c>
    </row>
    <row r="39" spans="1:13" x14ac:dyDescent="0.35">
      <c r="A39" s="58"/>
      <c r="B39" s="74"/>
      <c r="C39" s="53"/>
      <c r="D39" s="24"/>
      <c r="E39" s="74"/>
      <c r="F39" s="75"/>
      <c r="G39" s="24"/>
      <c r="H39" s="24"/>
      <c r="I39" s="58"/>
      <c r="J39" s="58" t="str">
        <f t="shared" si="0"/>
        <v/>
      </c>
      <c r="K39" s="74"/>
      <c r="L39" s="53"/>
      <c r="M39" s="11" t="str">
        <f t="shared" si="1"/>
        <v/>
      </c>
    </row>
    <row r="40" spans="1:13" x14ac:dyDescent="0.35">
      <c r="A40" s="58"/>
      <c r="B40" s="74"/>
      <c r="C40" s="53"/>
      <c r="D40" s="24"/>
      <c r="E40" s="74"/>
      <c r="F40" s="75"/>
      <c r="G40" s="24"/>
      <c r="H40" s="24"/>
      <c r="I40" s="58"/>
      <c r="J40" s="58" t="str">
        <f t="shared" si="0"/>
        <v/>
      </c>
      <c r="K40" s="74"/>
      <c r="L40" s="53"/>
      <c r="M40" s="11" t="str">
        <f t="shared" si="1"/>
        <v/>
      </c>
    </row>
    <row r="41" spans="1:13" x14ac:dyDescent="0.35">
      <c r="A41" s="58"/>
      <c r="B41" s="74"/>
      <c r="C41" s="53"/>
      <c r="D41" s="24"/>
      <c r="E41" s="74"/>
      <c r="F41" s="75"/>
      <c r="G41" s="24"/>
      <c r="H41" s="24"/>
      <c r="I41" s="58"/>
      <c r="J41" s="58" t="str">
        <f t="shared" si="0"/>
        <v/>
      </c>
      <c r="K41" s="74"/>
      <c r="L41" s="53"/>
      <c r="M41" s="11" t="str">
        <f t="shared" si="1"/>
        <v/>
      </c>
    </row>
    <row r="42" spans="1:13" x14ac:dyDescent="0.35">
      <c r="A42" s="58"/>
      <c r="B42" s="74"/>
      <c r="C42" s="53"/>
      <c r="D42" s="24"/>
      <c r="E42" s="74"/>
      <c r="F42" s="75"/>
      <c r="G42" s="24"/>
      <c r="H42" s="24"/>
      <c r="I42" s="58"/>
      <c r="J42" s="58" t="str">
        <f t="shared" si="0"/>
        <v/>
      </c>
      <c r="K42" s="74"/>
      <c r="L42" s="53"/>
      <c r="M42" s="11" t="str">
        <f t="shared" si="1"/>
        <v/>
      </c>
    </row>
    <row r="43" spans="1:13" x14ac:dyDescent="0.35">
      <c r="A43" s="58"/>
      <c r="B43" s="74"/>
      <c r="C43" s="53"/>
      <c r="D43" s="24"/>
      <c r="E43" s="74"/>
      <c r="F43" s="75"/>
      <c r="G43" s="24"/>
      <c r="H43" s="24"/>
      <c r="I43" s="58"/>
      <c r="J43" s="58" t="str">
        <f t="shared" si="0"/>
        <v/>
      </c>
      <c r="K43" s="74"/>
      <c r="L43" s="53"/>
      <c r="M43" s="11" t="str">
        <f t="shared" si="1"/>
        <v/>
      </c>
    </row>
    <row r="44" spans="1:13" x14ac:dyDescent="0.35">
      <c r="A44" s="58"/>
      <c r="B44" s="74"/>
      <c r="C44" s="53"/>
      <c r="D44" s="24"/>
      <c r="E44" s="74"/>
      <c r="F44" s="75"/>
      <c r="G44" s="24"/>
      <c r="H44" s="24"/>
      <c r="I44" s="58"/>
      <c r="J44" s="58" t="str">
        <f t="shared" si="0"/>
        <v/>
      </c>
      <c r="K44" s="74"/>
      <c r="L44" s="53"/>
      <c r="M44" s="11" t="str">
        <f t="shared" si="1"/>
        <v/>
      </c>
    </row>
  </sheetData>
  <mergeCells count="5">
    <mergeCell ref="A2:L2"/>
    <mergeCell ref="A1:L1"/>
    <mergeCell ref="D3:E3"/>
    <mergeCell ref="A3:B3"/>
    <mergeCell ref="G3:H3"/>
  </mergeCells>
  <dataValidations count="4">
    <dataValidation type="list" allowBlank="1" sqref="C5:C44" xr:uid="{00000000-0002-0000-0700-000000000000}">
      <formula1>FormatList</formula1>
    </dataValidation>
    <dataValidation type="list" allowBlank="1" sqref="E5:E44" xr:uid="{00000000-0002-0000-0700-000001000000}">
      <formula1>UnitList</formula1>
    </dataValidation>
    <dataValidation type="list" allowBlank="1" sqref="K5:K44" xr:uid="{00000000-0002-0000-0700-000002000000}">
      <formula1>StatusList</formula1>
    </dataValidation>
    <dataValidation type="decimal" sqref="F5:F44" xr:uid="{00000000-0002-0000-0700-000003000000}">
      <formula1>0</formula1>
      <formula2>0.35</formula2>
    </dataValidation>
  </dataValidation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B3531"/>
  </sheetPr>
  <dimension ref="A1:I44"/>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16" customWidth="1"/>
    <col min="2" max="2" width="26" customWidth="1"/>
    <col min="3" max="6" width="12" customWidth="1"/>
    <col min="7" max="7" width="9" customWidth="1"/>
    <col min="8" max="8" width="12" customWidth="1"/>
    <col min="9" max="9" width="30" customWidth="1"/>
  </cols>
  <sheetData>
    <row r="1" spans="1:9" ht="28" customHeight="1" x14ac:dyDescent="0.35">
      <c r="A1" s="108" t="s">
        <v>280</v>
      </c>
      <c r="B1" s="89"/>
      <c r="C1" s="89"/>
      <c r="D1" s="89"/>
      <c r="E1" s="89"/>
      <c r="F1" s="89"/>
      <c r="G1" s="89"/>
      <c r="H1" s="89"/>
      <c r="I1" s="89"/>
    </row>
    <row r="2" spans="1:9" x14ac:dyDescent="0.35">
      <c r="A2" s="105" t="s">
        <v>281</v>
      </c>
      <c r="B2" s="106"/>
      <c r="C2" s="106"/>
      <c r="D2" s="106"/>
      <c r="E2" s="106"/>
      <c r="F2" s="106"/>
      <c r="G2" s="106"/>
      <c r="H2" s="106"/>
      <c r="I2" s="106"/>
    </row>
    <row r="3" spans="1:9" x14ac:dyDescent="0.35">
      <c r="A3" s="1"/>
      <c r="B3" s="1"/>
      <c r="C3" s="1"/>
      <c r="D3" s="1"/>
      <c r="E3" s="1"/>
      <c r="F3" s="1"/>
      <c r="G3" s="1"/>
      <c r="H3" s="1"/>
      <c r="I3" s="1"/>
    </row>
    <row r="4" spans="1:9" ht="24" customHeight="1" x14ac:dyDescent="0.35">
      <c r="A4" s="17" t="s">
        <v>273</v>
      </c>
      <c r="B4" s="17" t="s">
        <v>10</v>
      </c>
      <c r="C4" s="17" t="s">
        <v>282</v>
      </c>
      <c r="D4" s="17" t="s">
        <v>278</v>
      </c>
      <c r="E4" s="17" t="s">
        <v>283</v>
      </c>
      <c r="F4" s="17" t="s">
        <v>284</v>
      </c>
      <c r="G4" s="17" t="s">
        <v>285</v>
      </c>
      <c r="H4" s="17" t="s">
        <v>233</v>
      </c>
      <c r="I4" s="17" t="s">
        <v>286</v>
      </c>
    </row>
    <row r="5" spans="1:9" x14ac:dyDescent="0.35">
      <c r="A5" s="74" t="str">
        <f>IF('Production Log'!B5="","",'Production Log'!B5)</f>
        <v/>
      </c>
      <c r="B5" s="53" t="str">
        <f>IF('Production Log'!C5="","",'Production Log'!C5)</f>
        <v/>
      </c>
      <c r="C5" s="58" t="str">
        <f>IF('Production Log'!I5="","",'Production Log'!I5)</f>
        <v/>
      </c>
      <c r="D5" s="58" t="str">
        <f>IF('Production Log'!J5="","",'Production Log'!J5)</f>
        <v/>
      </c>
      <c r="E5" s="69" t="str">
        <f t="shared" ref="E5:E44" ca="1" si="0">IF($C5="","",TODAY()-$C5)</f>
        <v/>
      </c>
      <c r="F5" s="69" t="str">
        <f t="shared" ref="F5:F44" ca="1" si="1">IF($D5="","",$D5-TODAY())</f>
        <v/>
      </c>
      <c r="G5" s="76" t="str">
        <f t="shared" ref="G5:G44" ca="1" si="2">IF($C5="","",(TODAY()-$C5)/7)</f>
        <v/>
      </c>
      <c r="H5" s="74" t="str">
        <f>IF('Production Log'!K5="","",'Production Log'!K5)</f>
        <v/>
      </c>
      <c r="I5" s="54" t="str">
        <f t="shared" ref="I5:I44" ca="1" si="3">IF($A5="","",IF($H5="Bottled","BOTTLED ✓",IF($C5="","awaiting start date",IF(TODAY()-$C5&gt;=56,"PAST WINDOW — bottle now",IF(TODAY()-$C5&gt;=28,"READY WINDOW (4–8 wk)",IF(TODAY()-$C5&gt;=14,"developing","early — keep dark &amp; cool"))))))</f>
        <v/>
      </c>
    </row>
    <row r="6" spans="1:9" x14ac:dyDescent="0.35">
      <c r="A6" s="74" t="str">
        <f>IF('Production Log'!B6="","",'Production Log'!B6)</f>
        <v/>
      </c>
      <c r="B6" s="53" t="str">
        <f>IF('Production Log'!C6="","",'Production Log'!C6)</f>
        <v/>
      </c>
      <c r="C6" s="58" t="str">
        <f>IF('Production Log'!I6="","",'Production Log'!I6)</f>
        <v/>
      </c>
      <c r="D6" s="58" t="str">
        <f>IF('Production Log'!J6="","",'Production Log'!J6)</f>
        <v/>
      </c>
      <c r="E6" s="69" t="str">
        <f t="shared" ca="1" si="0"/>
        <v/>
      </c>
      <c r="F6" s="69" t="str">
        <f t="shared" ca="1" si="1"/>
        <v/>
      </c>
      <c r="G6" s="76" t="str">
        <f t="shared" ca="1" si="2"/>
        <v/>
      </c>
      <c r="H6" s="74" t="str">
        <f>IF('Production Log'!K6="","",'Production Log'!K6)</f>
        <v/>
      </c>
      <c r="I6" s="54" t="str">
        <f t="shared" ca="1" si="3"/>
        <v/>
      </c>
    </row>
    <row r="7" spans="1:9" x14ac:dyDescent="0.35">
      <c r="A7" s="74" t="str">
        <f>IF('Production Log'!B7="","",'Production Log'!B7)</f>
        <v/>
      </c>
      <c r="B7" s="53" t="str">
        <f>IF('Production Log'!C7="","",'Production Log'!C7)</f>
        <v/>
      </c>
      <c r="C7" s="58" t="str">
        <f>IF('Production Log'!I7="","",'Production Log'!I7)</f>
        <v/>
      </c>
      <c r="D7" s="58" t="str">
        <f>IF('Production Log'!J7="","",'Production Log'!J7)</f>
        <v/>
      </c>
      <c r="E7" s="69" t="str">
        <f t="shared" ca="1" si="0"/>
        <v/>
      </c>
      <c r="F7" s="69" t="str">
        <f t="shared" ca="1" si="1"/>
        <v/>
      </c>
      <c r="G7" s="76" t="str">
        <f t="shared" ca="1" si="2"/>
        <v/>
      </c>
      <c r="H7" s="74" t="str">
        <f>IF('Production Log'!K7="","",'Production Log'!K7)</f>
        <v/>
      </c>
      <c r="I7" s="54" t="str">
        <f t="shared" ca="1" si="3"/>
        <v/>
      </c>
    </row>
    <row r="8" spans="1:9" x14ac:dyDescent="0.35">
      <c r="A8" s="74" t="str">
        <f>IF('Production Log'!B8="","",'Production Log'!B8)</f>
        <v/>
      </c>
      <c r="B8" s="53" t="str">
        <f>IF('Production Log'!C8="","",'Production Log'!C8)</f>
        <v/>
      </c>
      <c r="C8" s="58" t="str">
        <f>IF('Production Log'!I8="","",'Production Log'!I8)</f>
        <v/>
      </c>
      <c r="D8" s="58" t="str">
        <f>IF('Production Log'!J8="","",'Production Log'!J8)</f>
        <v/>
      </c>
      <c r="E8" s="69" t="str">
        <f t="shared" ca="1" si="0"/>
        <v/>
      </c>
      <c r="F8" s="69" t="str">
        <f t="shared" ca="1" si="1"/>
        <v/>
      </c>
      <c r="G8" s="76" t="str">
        <f t="shared" ca="1" si="2"/>
        <v/>
      </c>
      <c r="H8" s="74" t="str">
        <f>IF('Production Log'!K8="","",'Production Log'!K8)</f>
        <v/>
      </c>
      <c r="I8" s="54" t="str">
        <f t="shared" ca="1" si="3"/>
        <v/>
      </c>
    </row>
    <row r="9" spans="1:9" x14ac:dyDescent="0.35">
      <c r="A9" s="74" t="str">
        <f>IF('Production Log'!B9="","",'Production Log'!B9)</f>
        <v/>
      </c>
      <c r="B9" s="53" t="str">
        <f>IF('Production Log'!C9="","",'Production Log'!C9)</f>
        <v/>
      </c>
      <c r="C9" s="58" t="str">
        <f>IF('Production Log'!I9="","",'Production Log'!I9)</f>
        <v/>
      </c>
      <c r="D9" s="58" t="str">
        <f>IF('Production Log'!J9="","",'Production Log'!J9)</f>
        <v/>
      </c>
      <c r="E9" s="69" t="str">
        <f t="shared" ca="1" si="0"/>
        <v/>
      </c>
      <c r="F9" s="69" t="str">
        <f t="shared" ca="1" si="1"/>
        <v/>
      </c>
      <c r="G9" s="76" t="str">
        <f t="shared" ca="1" si="2"/>
        <v/>
      </c>
      <c r="H9" s="74" t="str">
        <f>IF('Production Log'!K9="","",'Production Log'!K9)</f>
        <v/>
      </c>
      <c r="I9" s="54" t="str">
        <f t="shared" ca="1" si="3"/>
        <v/>
      </c>
    </row>
    <row r="10" spans="1:9" x14ac:dyDescent="0.35">
      <c r="A10" s="74" t="str">
        <f>IF('Production Log'!B10="","",'Production Log'!B10)</f>
        <v/>
      </c>
      <c r="B10" s="53" t="str">
        <f>IF('Production Log'!C10="","",'Production Log'!C10)</f>
        <v/>
      </c>
      <c r="C10" s="58" t="str">
        <f>IF('Production Log'!I10="","",'Production Log'!I10)</f>
        <v/>
      </c>
      <c r="D10" s="58" t="str">
        <f>IF('Production Log'!J10="","",'Production Log'!J10)</f>
        <v/>
      </c>
      <c r="E10" s="69" t="str">
        <f t="shared" ca="1" si="0"/>
        <v/>
      </c>
      <c r="F10" s="69" t="str">
        <f t="shared" ca="1" si="1"/>
        <v/>
      </c>
      <c r="G10" s="76" t="str">
        <f t="shared" ca="1" si="2"/>
        <v/>
      </c>
      <c r="H10" s="74" t="str">
        <f>IF('Production Log'!K10="","",'Production Log'!K10)</f>
        <v/>
      </c>
      <c r="I10" s="54" t="str">
        <f t="shared" ca="1" si="3"/>
        <v/>
      </c>
    </row>
    <row r="11" spans="1:9" x14ac:dyDescent="0.35">
      <c r="A11" s="74" t="str">
        <f>IF('Production Log'!B11="","",'Production Log'!B11)</f>
        <v/>
      </c>
      <c r="B11" s="53" t="str">
        <f>IF('Production Log'!C11="","",'Production Log'!C11)</f>
        <v/>
      </c>
      <c r="C11" s="58" t="str">
        <f>IF('Production Log'!I11="","",'Production Log'!I11)</f>
        <v/>
      </c>
      <c r="D11" s="58" t="str">
        <f>IF('Production Log'!J11="","",'Production Log'!J11)</f>
        <v/>
      </c>
      <c r="E11" s="69" t="str">
        <f t="shared" ca="1" si="0"/>
        <v/>
      </c>
      <c r="F11" s="69" t="str">
        <f t="shared" ca="1" si="1"/>
        <v/>
      </c>
      <c r="G11" s="76" t="str">
        <f t="shared" ca="1" si="2"/>
        <v/>
      </c>
      <c r="H11" s="74" t="str">
        <f>IF('Production Log'!K11="","",'Production Log'!K11)</f>
        <v/>
      </c>
      <c r="I11" s="54" t="str">
        <f t="shared" ca="1" si="3"/>
        <v/>
      </c>
    </row>
    <row r="12" spans="1:9" x14ac:dyDescent="0.35">
      <c r="A12" s="74" t="str">
        <f>IF('Production Log'!B12="","",'Production Log'!B12)</f>
        <v/>
      </c>
      <c r="B12" s="53" t="str">
        <f>IF('Production Log'!C12="","",'Production Log'!C12)</f>
        <v/>
      </c>
      <c r="C12" s="58" t="str">
        <f>IF('Production Log'!I12="","",'Production Log'!I12)</f>
        <v/>
      </c>
      <c r="D12" s="58" t="str">
        <f>IF('Production Log'!J12="","",'Production Log'!J12)</f>
        <v/>
      </c>
      <c r="E12" s="69" t="str">
        <f t="shared" ca="1" si="0"/>
        <v/>
      </c>
      <c r="F12" s="69" t="str">
        <f t="shared" ca="1" si="1"/>
        <v/>
      </c>
      <c r="G12" s="76" t="str">
        <f t="shared" ca="1" si="2"/>
        <v/>
      </c>
      <c r="H12" s="74" t="str">
        <f>IF('Production Log'!K12="","",'Production Log'!K12)</f>
        <v/>
      </c>
      <c r="I12" s="54" t="str">
        <f t="shared" ca="1" si="3"/>
        <v/>
      </c>
    </row>
    <row r="13" spans="1:9" x14ac:dyDescent="0.35">
      <c r="A13" s="74" t="str">
        <f>IF('Production Log'!B13="","",'Production Log'!B13)</f>
        <v/>
      </c>
      <c r="B13" s="53" t="str">
        <f>IF('Production Log'!C13="","",'Production Log'!C13)</f>
        <v/>
      </c>
      <c r="C13" s="58" t="str">
        <f>IF('Production Log'!I13="","",'Production Log'!I13)</f>
        <v/>
      </c>
      <c r="D13" s="58" t="str">
        <f>IF('Production Log'!J13="","",'Production Log'!J13)</f>
        <v/>
      </c>
      <c r="E13" s="69" t="str">
        <f t="shared" ca="1" si="0"/>
        <v/>
      </c>
      <c r="F13" s="69" t="str">
        <f t="shared" ca="1" si="1"/>
        <v/>
      </c>
      <c r="G13" s="76" t="str">
        <f t="shared" ca="1" si="2"/>
        <v/>
      </c>
      <c r="H13" s="74" t="str">
        <f>IF('Production Log'!K13="","",'Production Log'!K13)</f>
        <v/>
      </c>
      <c r="I13" s="54" t="str">
        <f t="shared" ca="1" si="3"/>
        <v/>
      </c>
    </row>
    <row r="14" spans="1:9" x14ac:dyDescent="0.35">
      <c r="A14" s="74" t="str">
        <f>IF('Production Log'!B14="","",'Production Log'!B14)</f>
        <v/>
      </c>
      <c r="B14" s="53" t="str">
        <f>IF('Production Log'!C14="","",'Production Log'!C14)</f>
        <v/>
      </c>
      <c r="C14" s="58" t="str">
        <f>IF('Production Log'!I14="","",'Production Log'!I14)</f>
        <v/>
      </c>
      <c r="D14" s="58" t="str">
        <f>IF('Production Log'!J14="","",'Production Log'!J14)</f>
        <v/>
      </c>
      <c r="E14" s="69" t="str">
        <f t="shared" ca="1" si="0"/>
        <v/>
      </c>
      <c r="F14" s="69" t="str">
        <f t="shared" ca="1" si="1"/>
        <v/>
      </c>
      <c r="G14" s="76" t="str">
        <f t="shared" ca="1" si="2"/>
        <v/>
      </c>
      <c r="H14" s="74" t="str">
        <f>IF('Production Log'!K14="","",'Production Log'!K14)</f>
        <v/>
      </c>
      <c r="I14" s="54" t="str">
        <f t="shared" ca="1" si="3"/>
        <v/>
      </c>
    </row>
    <row r="15" spans="1:9" x14ac:dyDescent="0.35">
      <c r="A15" s="74" t="str">
        <f>IF('Production Log'!B15="","",'Production Log'!B15)</f>
        <v/>
      </c>
      <c r="B15" s="53" t="str">
        <f>IF('Production Log'!C15="","",'Production Log'!C15)</f>
        <v/>
      </c>
      <c r="C15" s="58" t="str">
        <f>IF('Production Log'!I15="","",'Production Log'!I15)</f>
        <v/>
      </c>
      <c r="D15" s="58" t="str">
        <f>IF('Production Log'!J15="","",'Production Log'!J15)</f>
        <v/>
      </c>
      <c r="E15" s="69" t="str">
        <f t="shared" ca="1" si="0"/>
        <v/>
      </c>
      <c r="F15" s="69" t="str">
        <f t="shared" ca="1" si="1"/>
        <v/>
      </c>
      <c r="G15" s="76" t="str">
        <f t="shared" ca="1" si="2"/>
        <v/>
      </c>
      <c r="H15" s="74" t="str">
        <f>IF('Production Log'!K15="","",'Production Log'!K15)</f>
        <v/>
      </c>
      <c r="I15" s="54" t="str">
        <f t="shared" ca="1" si="3"/>
        <v/>
      </c>
    </row>
    <row r="16" spans="1:9" x14ac:dyDescent="0.35">
      <c r="A16" s="74" t="str">
        <f>IF('Production Log'!B16="","",'Production Log'!B16)</f>
        <v/>
      </c>
      <c r="B16" s="53" t="str">
        <f>IF('Production Log'!C16="","",'Production Log'!C16)</f>
        <v/>
      </c>
      <c r="C16" s="58" t="str">
        <f>IF('Production Log'!I16="","",'Production Log'!I16)</f>
        <v/>
      </c>
      <c r="D16" s="58" t="str">
        <f>IF('Production Log'!J16="","",'Production Log'!J16)</f>
        <v/>
      </c>
      <c r="E16" s="69" t="str">
        <f t="shared" ca="1" si="0"/>
        <v/>
      </c>
      <c r="F16" s="69" t="str">
        <f t="shared" ca="1" si="1"/>
        <v/>
      </c>
      <c r="G16" s="76" t="str">
        <f t="shared" ca="1" si="2"/>
        <v/>
      </c>
      <c r="H16" s="74" t="str">
        <f>IF('Production Log'!K16="","",'Production Log'!K16)</f>
        <v/>
      </c>
      <c r="I16" s="54" t="str">
        <f t="shared" ca="1" si="3"/>
        <v/>
      </c>
    </row>
    <row r="17" spans="1:9" x14ac:dyDescent="0.35">
      <c r="A17" s="74" t="str">
        <f>IF('Production Log'!B17="","",'Production Log'!B17)</f>
        <v/>
      </c>
      <c r="B17" s="53" t="str">
        <f>IF('Production Log'!C17="","",'Production Log'!C17)</f>
        <v/>
      </c>
      <c r="C17" s="58" t="str">
        <f>IF('Production Log'!I17="","",'Production Log'!I17)</f>
        <v/>
      </c>
      <c r="D17" s="58" t="str">
        <f>IF('Production Log'!J17="","",'Production Log'!J17)</f>
        <v/>
      </c>
      <c r="E17" s="69" t="str">
        <f t="shared" ca="1" si="0"/>
        <v/>
      </c>
      <c r="F17" s="69" t="str">
        <f t="shared" ca="1" si="1"/>
        <v/>
      </c>
      <c r="G17" s="76" t="str">
        <f t="shared" ca="1" si="2"/>
        <v/>
      </c>
      <c r="H17" s="74" t="str">
        <f>IF('Production Log'!K17="","",'Production Log'!K17)</f>
        <v/>
      </c>
      <c r="I17" s="54" t="str">
        <f t="shared" ca="1" si="3"/>
        <v/>
      </c>
    </row>
    <row r="18" spans="1:9" x14ac:dyDescent="0.35">
      <c r="A18" s="74" t="str">
        <f>IF('Production Log'!B18="","",'Production Log'!B18)</f>
        <v/>
      </c>
      <c r="B18" s="53" t="str">
        <f>IF('Production Log'!C18="","",'Production Log'!C18)</f>
        <v/>
      </c>
      <c r="C18" s="58" t="str">
        <f>IF('Production Log'!I18="","",'Production Log'!I18)</f>
        <v/>
      </c>
      <c r="D18" s="58" t="str">
        <f>IF('Production Log'!J18="","",'Production Log'!J18)</f>
        <v/>
      </c>
      <c r="E18" s="69" t="str">
        <f t="shared" ca="1" si="0"/>
        <v/>
      </c>
      <c r="F18" s="69" t="str">
        <f t="shared" ca="1" si="1"/>
        <v/>
      </c>
      <c r="G18" s="76" t="str">
        <f t="shared" ca="1" si="2"/>
        <v/>
      </c>
      <c r="H18" s="74" t="str">
        <f>IF('Production Log'!K18="","",'Production Log'!K18)</f>
        <v/>
      </c>
      <c r="I18" s="54" t="str">
        <f t="shared" ca="1" si="3"/>
        <v/>
      </c>
    </row>
    <row r="19" spans="1:9" x14ac:dyDescent="0.35">
      <c r="A19" s="74" t="str">
        <f>IF('Production Log'!B19="","",'Production Log'!B19)</f>
        <v/>
      </c>
      <c r="B19" s="53" t="str">
        <f>IF('Production Log'!C19="","",'Production Log'!C19)</f>
        <v/>
      </c>
      <c r="C19" s="58" t="str">
        <f>IF('Production Log'!I19="","",'Production Log'!I19)</f>
        <v/>
      </c>
      <c r="D19" s="58" t="str">
        <f>IF('Production Log'!J19="","",'Production Log'!J19)</f>
        <v/>
      </c>
      <c r="E19" s="69" t="str">
        <f t="shared" ca="1" si="0"/>
        <v/>
      </c>
      <c r="F19" s="69" t="str">
        <f t="shared" ca="1" si="1"/>
        <v/>
      </c>
      <c r="G19" s="76" t="str">
        <f t="shared" ca="1" si="2"/>
        <v/>
      </c>
      <c r="H19" s="74" t="str">
        <f>IF('Production Log'!K19="","",'Production Log'!K19)</f>
        <v/>
      </c>
      <c r="I19" s="54" t="str">
        <f t="shared" ca="1" si="3"/>
        <v/>
      </c>
    </row>
    <row r="20" spans="1:9" x14ac:dyDescent="0.35">
      <c r="A20" s="74" t="str">
        <f>IF('Production Log'!B20="","",'Production Log'!B20)</f>
        <v/>
      </c>
      <c r="B20" s="53" t="str">
        <f>IF('Production Log'!C20="","",'Production Log'!C20)</f>
        <v/>
      </c>
      <c r="C20" s="58" t="str">
        <f>IF('Production Log'!I20="","",'Production Log'!I20)</f>
        <v/>
      </c>
      <c r="D20" s="58" t="str">
        <f>IF('Production Log'!J20="","",'Production Log'!J20)</f>
        <v/>
      </c>
      <c r="E20" s="69" t="str">
        <f t="shared" ca="1" si="0"/>
        <v/>
      </c>
      <c r="F20" s="69" t="str">
        <f t="shared" ca="1" si="1"/>
        <v/>
      </c>
      <c r="G20" s="76" t="str">
        <f t="shared" ca="1" si="2"/>
        <v/>
      </c>
      <c r="H20" s="74" t="str">
        <f>IF('Production Log'!K20="","",'Production Log'!K20)</f>
        <v/>
      </c>
      <c r="I20" s="54" t="str">
        <f t="shared" ca="1" si="3"/>
        <v/>
      </c>
    </row>
    <row r="21" spans="1:9" x14ac:dyDescent="0.35">
      <c r="A21" s="74" t="str">
        <f>IF('Production Log'!B21="","",'Production Log'!B21)</f>
        <v/>
      </c>
      <c r="B21" s="53" t="str">
        <f>IF('Production Log'!C21="","",'Production Log'!C21)</f>
        <v/>
      </c>
      <c r="C21" s="58" t="str">
        <f>IF('Production Log'!I21="","",'Production Log'!I21)</f>
        <v/>
      </c>
      <c r="D21" s="58" t="str">
        <f>IF('Production Log'!J21="","",'Production Log'!J21)</f>
        <v/>
      </c>
      <c r="E21" s="69" t="str">
        <f t="shared" ca="1" si="0"/>
        <v/>
      </c>
      <c r="F21" s="69" t="str">
        <f t="shared" ca="1" si="1"/>
        <v/>
      </c>
      <c r="G21" s="76" t="str">
        <f t="shared" ca="1" si="2"/>
        <v/>
      </c>
      <c r="H21" s="74" t="str">
        <f>IF('Production Log'!K21="","",'Production Log'!K21)</f>
        <v/>
      </c>
      <c r="I21" s="54" t="str">
        <f t="shared" ca="1" si="3"/>
        <v/>
      </c>
    </row>
    <row r="22" spans="1:9" x14ac:dyDescent="0.35">
      <c r="A22" s="74" t="str">
        <f>IF('Production Log'!B22="","",'Production Log'!B22)</f>
        <v/>
      </c>
      <c r="B22" s="53" t="str">
        <f>IF('Production Log'!C22="","",'Production Log'!C22)</f>
        <v/>
      </c>
      <c r="C22" s="58" t="str">
        <f>IF('Production Log'!I22="","",'Production Log'!I22)</f>
        <v/>
      </c>
      <c r="D22" s="58" t="str">
        <f>IF('Production Log'!J22="","",'Production Log'!J22)</f>
        <v/>
      </c>
      <c r="E22" s="69" t="str">
        <f t="shared" ca="1" si="0"/>
        <v/>
      </c>
      <c r="F22" s="69" t="str">
        <f t="shared" ca="1" si="1"/>
        <v/>
      </c>
      <c r="G22" s="76" t="str">
        <f t="shared" ca="1" si="2"/>
        <v/>
      </c>
      <c r="H22" s="74" t="str">
        <f>IF('Production Log'!K22="","",'Production Log'!K22)</f>
        <v/>
      </c>
      <c r="I22" s="54" t="str">
        <f t="shared" ca="1" si="3"/>
        <v/>
      </c>
    </row>
    <row r="23" spans="1:9" x14ac:dyDescent="0.35">
      <c r="A23" s="74" t="str">
        <f>IF('Production Log'!B23="","",'Production Log'!B23)</f>
        <v/>
      </c>
      <c r="B23" s="53" t="str">
        <f>IF('Production Log'!C23="","",'Production Log'!C23)</f>
        <v/>
      </c>
      <c r="C23" s="58" t="str">
        <f>IF('Production Log'!I23="","",'Production Log'!I23)</f>
        <v/>
      </c>
      <c r="D23" s="58" t="str">
        <f>IF('Production Log'!J23="","",'Production Log'!J23)</f>
        <v/>
      </c>
      <c r="E23" s="69" t="str">
        <f t="shared" ca="1" si="0"/>
        <v/>
      </c>
      <c r="F23" s="69" t="str">
        <f t="shared" ca="1" si="1"/>
        <v/>
      </c>
      <c r="G23" s="76" t="str">
        <f t="shared" ca="1" si="2"/>
        <v/>
      </c>
      <c r="H23" s="74" t="str">
        <f>IF('Production Log'!K23="","",'Production Log'!K23)</f>
        <v/>
      </c>
      <c r="I23" s="54" t="str">
        <f t="shared" ca="1" si="3"/>
        <v/>
      </c>
    </row>
    <row r="24" spans="1:9" x14ac:dyDescent="0.35">
      <c r="A24" s="74" t="str">
        <f>IF('Production Log'!B24="","",'Production Log'!B24)</f>
        <v/>
      </c>
      <c r="B24" s="53" t="str">
        <f>IF('Production Log'!C24="","",'Production Log'!C24)</f>
        <v/>
      </c>
      <c r="C24" s="58" t="str">
        <f>IF('Production Log'!I24="","",'Production Log'!I24)</f>
        <v/>
      </c>
      <c r="D24" s="58" t="str">
        <f>IF('Production Log'!J24="","",'Production Log'!J24)</f>
        <v/>
      </c>
      <c r="E24" s="69" t="str">
        <f t="shared" ca="1" si="0"/>
        <v/>
      </c>
      <c r="F24" s="69" t="str">
        <f t="shared" ca="1" si="1"/>
        <v/>
      </c>
      <c r="G24" s="76" t="str">
        <f t="shared" ca="1" si="2"/>
        <v/>
      </c>
      <c r="H24" s="74" t="str">
        <f>IF('Production Log'!K24="","",'Production Log'!K24)</f>
        <v/>
      </c>
      <c r="I24" s="54" t="str">
        <f t="shared" ca="1" si="3"/>
        <v/>
      </c>
    </row>
    <row r="25" spans="1:9" x14ac:dyDescent="0.35">
      <c r="A25" s="74" t="str">
        <f>IF('Production Log'!B25="","",'Production Log'!B25)</f>
        <v/>
      </c>
      <c r="B25" s="53" t="str">
        <f>IF('Production Log'!C25="","",'Production Log'!C25)</f>
        <v/>
      </c>
      <c r="C25" s="58" t="str">
        <f>IF('Production Log'!I25="","",'Production Log'!I25)</f>
        <v/>
      </c>
      <c r="D25" s="58" t="str">
        <f>IF('Production Log'!J25="","",'Production Log'!J25)</f>
        <v/>
      </c>
      <c r="E25" s="69" t="str">
        <f t="shared" ca="1" si="0"/>
        <v/>
      </c>
      <c r="F25" s="69" t="str">
        <f t="shared" ca="1" si="1"/>
        <v/>
      </c>
      <c r="G25" s="76" t="str">
        <f t="shared" ca="1" si="2"/>
        <v/>
      </c>
      <c r="H25" s="74" t="str">
        <f>IF('Production Log'!K25="","",'Production Log'!K25)</f>
        <v/>
      </c>
      <c r="I25" s="54" t="str">
        <f t="shared" ca="1" si="3"/>
        <v/>
      </c>
    </row>
    <row r="26" spans="1:9" x14ac:dyDescent="0.35">
      <c r="A26" s="74" t="str">
        <f>IF('Production Log'!B26="","",'Production Log'!B26)</f>
        <v/>
      </c>
      <c r="B26" s="53" t="str">
        <f>IF('Production Log'!C26="","",'Production Log'!C26)</f>
        <v/>
      </c>
      <c r="C26" s="58" t="str">
        <f>IF('Production Log'!I26="","",'Production Log'!I26)</f>
        <v/>
      </c>
      <c r="D26" s="58" t="str">
        <f>IF('Production Log'!J26="","",'Production Log'!J26)</f>
        <v/>
      </c>
      <c r="E26" s="69" t="str">
        <f t="shared" ca="1" si="0"/>
        <v/>
      </c>
      <c r="F26" s="69" t="str">
        <f t="shared" ca="1" si="1"/>
        <v/>
      </c>
      <c r="G26" s="76" t="str">
        <f t="shared" ca="1" si="2"/>
        <v/>
      </c>
      <c r="H26" s="74" t="str">
        <f>IF('Production Log'!K26="","",'Production Log'!K26)</f>
        <v/>
      </c>
      <c r="I26" s="54" t="str">
        <f t="shared" ca="1" si="3"/>
        <v/>
      </c>
    </row>
    <row r="27" spans="1:9" x14ac:dyDescent="0.35">
      <c r="A27" s="74" t="str">
        <f>IF('Production Log'!B27="","",'Production Log'!B27)</f>
        <v/>
      </c>
      <c r="B27" s="53" t="str">
        <f>IF('Production Log'!C27="","",'Production Log'!C27)</f>
        <v/>
      </c>
      <c r="C27" s="58" t="str">
        <f>IF('Production Log'!I27="","",'Production Log'!I27)</f>
        <v/>
      </c>
      <c r="D27" s="58" t="str">
        <f>IF('Production Log'!J27="","",'Production Log'!J27)</f>
        <v/>
      </c>
      <c r="E27" s="69" t="str">
        <f t="shared" ca="1" si="0"/>
        <v/>
      </c>
      <c r="F27" s="69" t="str">
        <f t="shared" ca="1" si="1"/>
        <v/>
      </c>
      <c r="G27" s="76" t="str">
        <f t="shared" ca="1" si="2"/>
        <v/>
      </c>
      <c r="H27" s="74" t="str">
        <f>IF('Production Log'!K27="","",'Production Log'!K27)</f>
        <v/>
      </c>
      <c r="I27" s="54" t="str">
        <f t="shared" ca="1" si="3"/>
        <v/>
      </c>
    </row>
    <row r="28" spans="1:9" x14ac:dyDescent="0.35">
      <c r="A28" s="74" t="str">
        <f>IF('Production Log'!B28="","",'Production Log'!B28)</f>
        <v/>
      </c>
      <c r="B28" s="53" t="str">
        <f>IF('Production Log'!C28="","",'Production Log'!C28)</f>
        <v/>
      </c>
      <c r="C28" s="58" t="str">
        <f>IF('Production Log'!I28="","",'Production Log'!I28)</f>
        <v/>
      </c>
      <c r="D28" s="58" t="str">
        <f>IF('Production Log'!J28="","",'Production Log'!J28)</f>
        <v/>
      </c>
      <c r="E28" s="69" t="str">
        <f t="shared" ca="1" si="0"/>
        <v/>
      </c>
      <c r="F28" s="69" t="str">
        <f t="shared" ca="1" si="1"/>
        <v/>
      </c>
      <c r="G28" s="76" t="str">
        <f t="shared" ca="1" si="2"/>
        <v/>
      </c>
      <c r="H28" s="74" t="str">
        <f>IF('Production Log'!K28="","",'Production Log'!K28)</f>
        <v/>
      </c>
      <c r="I28" s="54" t="str">
        <f t="shared" ca="1" si="3"/>
        <v/>
      </c>
    </row>
    <row r="29" spans="1:9" x14ac:dyDescent="0.35">
      <c r="A29" s="74" t="str">
        <f>IF('Production Log'!B29="","",'Production Log'!B29)</f>
        <v/>
      </c>
      <c r="B29" s="53" t="str">
        <f>IF('Production Log'!C29="","",'Production Log'!C29)</f>
        <v/>
      </c>
      <c r="C29" s="58" t="str">
        <f>IF('Production Log'!I29="","",'Production Log'!I29)</f>
        <v/>
      </c>
      <c r="D29" s="58" t="str">
        <f>IF('Production Log'!J29="","",'Production Log'!J29)</f>
        <v/>
      </c>
      <c r="E29" s="69" t="str">
        <f t="shared" ca="1" si="0"/>
        <v/>
      </c>
      <c r="F29" s="69" t="str">
        <f t="shared" ca="1" si="1"/>
        <v/>
      </c>
      <c r="G29" s="76" t="str">
        <f t="shared" ca="1" si="2"/>
        <v/>
      </c>
      <c r="H29" s="74" t="str">
        <f>IF('Production Log'!K29="","",'Production Log'!K29)</f>
        <v/>
      </c>
      <c r="I29" s="54" t="str">
        <f t="shared" ca="1" si="3"/>
        <v/>
      </c>
    </row>
    <row r="30" spans="1:9" x14ac:dyDescent="0.35">
      <c r="A30" s="74" t="str">
        <f>IF('Production Log'!B30="","",'Production Log'!B30)</f>
        <v/>
      </c>
      <c r="B30" s="53" t="str">
        <f>IF('Production Log'!C30="","",'Production Log'!C30)</f>
        <v/>
      </c>
      <c r="C30" s="58" t="str">
        <f>IF('Production Log'!I30="","",'Production Log'!I30)</f>
        <v/>
      </c>
      <c r="D30" s="58" t="str">
        <f>IF('Production Log'!J30="","",'Production Log'!J30)</f>
        <v/>
      </c>
      <c r="E30" s="69" t="str">
        <f t="shared" ca="1" si="0"/>
        <v/>
      </c>
      <c r="F30" s="69" t="str">
        <f t="shared" ca="1" si="1"/>
        <v/>
      </c>
      <c r="G30" s="76" t="str">
        <f t="shared" ca="1" si="2"/>
        <v/>
      </c>
      <c r="H30" s="74" t="str">
        <f>IF('Production Log'!K30="","",'Production Log'!K30)</f>
        <v/>
      </c>
      <c r="I30" s="54" t="str">
        <f t="shared" ca="1" si="3"/>
        <v/>
      </c>
    </row>
    <row r="31" spans="1:9" x14ac:dyDescent="0.35">
      <c r="A31" s="74" t="str">
        <f>IF('Production Log'!B31="","",'Production Log'!B31)</f>
        <v/>
      </c>
      <c r="B31" s="53" t="str">
        <f>IF('Production Log'!C31="","",'Production Log'!C31)</f>
        <v/>
      </c>
      <c r="C31" s="58" t="str">
        <f>IF('Production Log'!I31="","",'Production Log'!I31)</f>
        <v/>
      </c>
      <c r="D31" s="58" t="str">
        <f>IF('Production Log'!J31="","",'Production Log'!J31)</f>
        <v/>
      </c>
      <c r="E31" s="69" t="str">
        <f t="shared" ca="1" si="0"/>
        <v/>
      </c>
      <c r="F31" s="69" t="str">
        <f t="shared" ca="1" si="1"/>
        <v/>
      </c>
      <c r="G31" s="76" t="str">
        <f t="shared" ca="1" si="2"/>
        <v/>
      </c>
      <c r="H31" s="74" t="str">
        <f>IF('Production Log'!K31="","",'Production Log'!K31)</f>
        <v/>
      </c>
      <c r="I31" s="54" t="str">
        <f t="shared" ca="1" si="3"/>
        <v/>
      </c>
    </row>
    <row r="32" spans="1:9" x14ac:dyDescent="0.35">
      <c r="A32" s="74" t="str">
        <f>IF('Production Log'!B32="","",'Production Log'!B32)</f>
        <v/>
      </c>
      <c r="B32" s="53" t="str">
        <f>IF('Production Log'!C32="","",'Production Log'!C32)</f>
        <v/>
      </c>
      <c r="C32" s="58" t="str">
        <f>IF('Production Log'!I32="","",'Production Log'!I32)</f>
        <v/>
      </c>
      <c r="D32" s="58" t="str">
        <f>IF('Production Log'!J32="","",'Production Log'!J32)</f>
        <v/>
      </c>
      <c r="E32" s="69" t="str">
        <f t="shared" ca="1" si="0"/>
        <v/>
      </c>
      <c r="F32" s="69" t="str">
        <f t="shared" ca="1" si="1"/>
        <v/>
      </c>
      <c r="G32" s="76" t="str">
        <f t="shared" ca="1" si="2"/>
        <v/>
      </c>
      <c r="H32" s="74" t="str">
        <f>IF('Production Log'!K32="","",'Production Log'!K32)</f>
        <v/>
      </c>
      <c r="I32" s="54" t="str">
        <f t="shared" ca="1" si="3"/>
        <v/>
      </c>
    </row>
    <row r="33" spans="1:9" x14ac:dyDescent="0.35">
      <c r="A33" s="74" t="str">
        <f>IF('Production Log'!B33="","",'Production Log'!B33)</f>
        <v/>
      </c>
      <c r="B33" s="53" t="str">
        <f>IF('Production Log'!C33="","",'Production Log'!C33)</f>
        <v/>
      </c>
      <c r="C33" s="58" t="str">
        <f>IF('Production Log'!I33="","",'Production Log'!I33)</f>
        <v/>
      </c>
      <c r="D33" s="58" t="str">
        <f>IF('Production Log'!J33="","",'Production Log'!J33)</f>
        <v/>
      </c>
      <c r="E33" s="69" t="str">
        <f t="shared" ca="1" si="0"/>
        <v/>
      </c>
      <c r="F33" s="69" t="str">
        <f t="shared" ca="1" si="1"/>
        <v/>
      </c>
      <c r="G33" s="76" t="str">
        <f t="shared" ca="1" si="2"/>
        <v/>
      </c>
      <c r="H33" s="74" t="str">
        <f>IF('Production Log'!K33="","",'Production Log'!K33)</f>
        <v/>
      </c>
      <c r="I33" s="54" t="str">
        <f t="shared" ca="1" si="3"/>
        <v/>
      </c>
    </row>
    <row r="34" spans="1:9" x14ac:dyDescent="0.35">
      <c r="A34" s="74" t="str">
        <f>IF('Production Log'!B34="","",'Production Log'!B34)</f>
        <v/>
      </c>
      <c r="B34" s="53" t="str">
        <f>IF('Production Log'!C34="","",'Production Log'!C34)</f>
        <v/>
      </c>
      <c r="C34" s="58" t="str">
        <f>IF('Production Log'!I34="","",'Production Log'!I34)</f>
        <v/>
      </c>
      <c r="D34" s="58" t="str">
        <f>IF('Production Log'!J34="","",'Production Log'!J34)</f>
        <v/>
      </c>
      <c r="E34" s="69" t="str">
        <f t="shared" ca="1" si="0"/>
        <v/>
      </c>
      <c r="F34" s="69" t="str">
        <f t="shared" ca="1" si="1"/>
        <v/>
      </c>
      <c r="G34" s="76" t="str">
        <f t="shared" ca="1" si="2"/>
        <v/>
      </c>
      <c r="H34" s="74" t="str">
        <f>IF('Production Log'!K34="","",'Production Log'!K34)</f>
        <v/>
      </c>
      <c r="I34" s="54" t="str">
        <f t="shared" ca="1" si="3"/>
        <v/>
      </c>
    </row>
    <row r="35" spans="1:9" x14ac:dyDescent="0.35">
      <c r="A35" s="74" t="str">
        <f>IF('Production Log'!B35="","",'Production Log'!B35)</f>
        <v/>
      </c>
      <c r="B35" s="53" t="str">
        <f>IF('Production Log'!C35="","",'Production Log'!C35)</f>
        <v/>
      </c>
      <c r="C35" s="58" t="str">
        <f>IF('Production Log'!I35="","",'Production Log'!I35)</f>
        <v/>
      </c>
      <c r="D35" s="58" t="str">
        <f>IF('Production Log'!J35="","",'Production Log'!J35)</f>
        <v/>
      </c>
      <c r="E35" s="69" t="str">
        <f t="shared" ca="1" si="0"/>
        <v/>
      </c>
      <c r="F35" s="69" t="str">
        <f t="shared" ca="1" si="1"/>
        <v/>
      </c>
      <c r="G35" s="76" t="str">
        <f t="shared" ca="1" si="2"/>
        <v/>
      </c>
      <c r="H35" s="74" t="str">
        <f>IF('Production Log'!K35="","",'Production Log'!K35)</f>
        <v/>
      </c>
      <c r="I35" s="54" t="str">
        <f t="shared" ca="1" si="3"/>
        <v/>
      </c>
    </row>
    <row r="36" spans="1:9" x14ac:dyDescent="0.35">
      <c r="A36" s="74" t="str">
        <f>IF('Production Log'!B36="","",'Production Log'!B36)</f>
        <v/>
      </c>
      <c r="B36" s="53" t="str">
        <f>IF('Production Log'!C36="","",'Production Log'!C36)</f>
        <v/>
      </c>
      <c r="C36" s="58" t="str">
        <f>IF('Production Log'!I36="","",'Production Log'!I36)</f>
        <v/>
      </c>
      <c r="D36" s="58" t="str">
        <f>IF('Production Log'!J36="","",'Production Log'!J36)</f>
        <v/>
      </c>
      <c r="E36" s="69" t="str">
        <f t="shared" ca="1" si="0"/>
        <v/>
      </c>
      <c r="F36" s="69" t="str">
        <f t="shared" ca="1" si="1"/>
        <v/>
      </c>
      <c r="G36" s="76" t="str">
        <f t="shared" ca="1" si="2"/>
        <v/>
      </c>
      <c r="H36" s="74" t="str">
        <f>IF('Production Log'!K36="","",'Production Log'!K36)</f>
        <v/>
      </c>
      <c r="I36" s="54" t="str">
        <f t="shared" ca="1" si="3"/>
        <v/>
      </c>
    </row>
    <row r="37" spans="1:9" x14ac:dyDescent="0.35">
      <c r="A37" s="74" t="str">
        <f>IF('Production Log'!B37="","",'Production Log'!B37)</f>
        <v/>
      </c>
      <c r="B37" s="53" t="str">
        <f>IF('Production Log'!C37="","",'Production Log'!C37)</f>
        <v/>
      </c>
      <c r="C37" s="58" t="str">
        <f>IF('Production Log'!I37="","",'Production Log'!I37)</f>
        <v/>
      </c>
      <c r="D37" s="58" t="str">
        <f>IF('Production Log'!J37="","",'Production Log'!J37)</f>
        <v/>
      </c>
      <c r="E37" s="69" t="str">
        <f t="shared" ca="1" si="0"/>
        <v/>
      </c>
      <c r="F37" s="69" t="str">
        <f t="shared" ca="1" si="1"/>
        <v/>
      </c>
      <c r="G37" s="76" t="str">
        <f t="shared" ca="1" si="2"/>
        <v/>
      </c>
      <c r="H37" s="74" t="str">
        <f>IF('Production Log'!K37="","",'Production Log'!K37)</f>
        <v/>
      </c>
      <c r="I37" s="54" t="str">
        <f t="shared" ca="1" si="3"/>
        <v/>
      </c>
    </row>
    <row r="38" spans="1:9" x14ac:dyDescent="0.35">
      <c r="A38" s="74" t="str">
        <f>IF('Production Log'!B38="","",'Production Log'!B38)</f>
        <v/>
      </c>
      <c r="B38" s="53" t="str">
        <f>IF('Production Log'!C38="","",'Production Log'!C38)</f>
        <v/>
      </c>
      <c r="C38" s="58" t="str">
        <f>IF('Production Log'!I38="","",'Production Log'!I38)</f>
        <v/>
      </c>
      <c r="D38" s="58" t="str">
        <f>IF('Production Log'!J38="","",'Production Log'!J38)</f>
        <v/>
      </c>
      <c r="E38" s="69" t="str">
        <f t="shared" ca="1" si="0"/>
        <v/>
      </c>
      <c r="F38" s="69" t="str">
        <f t="shared" ca="1" si="1"/>
        <v/>
      </c>
      <c r="G38" s="76" t="str">
        <f t="shared" ca="1" si="2"/>
        <v/>
      </c>
      <c r="H38" s="74" t="str">
        <f>IF('Production Log'!K38="","",'Production Log'!K38)</f>
        <v/>
      </c>
      <c r="I38" s="54" t="str">
        <f t="shared" ca="1" si="3"/>
        <v/>
      </c>
    </row>
    <row r="39" spans="1:9" x14ac:dyDescent="0.35">
      <c r="A39" s="74" t="str">
        <f>IF('Production Log'!B39="","",'Production Log'!B39)</f>
        <v/>
      </c>
      <c r="B39" s="53" t="str">
        <f>IF('Production Log'!C39="","",'Production Log'!C39)</f>
        <v/>
      </c>
      <c r="C39" s="58" t="str">
        <f>IF('Production Log'!I39="","",'Production Log'!I39)</f>
        <v/>
      </c>
      <c r="D39" s="58" t="str">
        <f>IF('Production Log'!J39="","",'Production Log'!J39)</f>
        <v/>
      </c>
      <c r="E39" s="69" t="str">
        <f t="shared" ca="1" si="0"/>
        <v/>
      </c>
      <c r="F39" s="69" t="str">
        <f t="shared" ca="1" si="1"/>
        <v/>
      </c>
      <c r="G39" s="76" t="str">
        <f t="shared" ca="1" si="2"/>
        <v/>
      </c>
      <c r="H39" s="74" t="str">
        <f>IF('Production Log'!K39="","",'Production Log'!K39)</f>
        <v/>
      </c>
      <c r="I39" s="54" t="str">
        <f t="shared" ca="1" si="3"/>
        <v/>
      </c>
    </row>
    <row r="40" spans="1:9" x14ac:dyDescent="0.35">
      <c r="A40" s="74" t="str">
        <f>IF('Production Log'!B40="","",'Production Log'!B40)</f>
        <v/>
      </c>
      <c r="B40" s="53" t="str">
        <f>IF('Production Log'!C40="","",'Production Log'!C40)</f>
        <v/>
      </c>
      <c r="C40" s="58" t="str">
        <f>IF('Production Log'!I40="","",'Production Log'!I40)</f>
        <v/>
      </c>
      <c r="D40" s="58" t="str">
        <f>IF('Production Log'!J40="","",'Production Log'!J40)</f>
        <v/>
      </c>
      <c r="E40" s="69" t="str">
        <f t="shared" ca="1" si="0"/>
        <v/>
      </c>
      <c r="F40" s="69" t="str">
        <f t="shared" ca="1" si="1"/>
        <v/>
      </c>
      <c r="G40" s="76" t="str">
        <f t="shared" ca="1" si="2"/>
        <v/>
      </c>
      <c r="H40" s="74" t="str">
        <f>IF('Production Log'!K40="","",'Production Log'!K40)</f>
        <v/>
      </c>
      <c r="I40" s="54" t="str">
        <f t="shared" ca="1" si="3"/>
        <v/>
      </c>
    </row>
    <row r="41" spans="1:9" x14ac:dyDescent="0.35">
      <c r="A41" s="74" t="str">
        <f>IF('Production Log'!B41="","",'Production Log'!B41)</f>
        <v/>
      </c>
      <c r="B41" s="53" t="str">
        <f>IF('Production Log'!C41="","",'Production Log'!C41)</f>
        <v/>
      </c>
      <c r="C41" s="58" t="str">
        <f>IF('Production Log'!I41="","",'Production Log'!I41)</f>
        <v/>
      </c>
      <c r="D41" s="58" t="str">
        <f>IF('Production Log'!J41="","",'Production Log'!J41)</f>
        <v/>
      </c>
      <c r="E41" s="69" t="str">
        <f t="shared" ca="1" si="0"/>
        <v/>
      </c>
      <c r="F41" s="69" t="str">
        <f t="shared" ca="1" si="1"/>
        <v/>
      </c>
      <c r="G41" s="76" t="str">
        <f t="shared" ca="1" si="2"/>
        <v/>
      </c>
      <c r="H41" s="74" t="str">
        <f>IF('Production Log'!K41="","",'Production Log'!K41)</f>
        <v/>
      </c>
      <c r="I41" s="54" t="str">
        <f t="shared" ca="1" si="3"/>
        <v/>
      </c>
    </row>
    <row r="42" spans="1:9" x14ac:dyDescent="0.35">
      <c r="A42" s="74" t="str">
        <f>IF('Production Log'!B42="","",'Production Log'!B42)</f>
        <v/>
      </c>
      <c r="B42" s="53" t="str">
        <f>IF('Production Log'!C42="","",'Production Log'!C42)</f>
        <v/>
      </c>
      <c r="C42" s="58" t="str">
        <f>IF('Production Log'!I42="","",'Production Log'!I42)</f>
        <v/>
      </c>
      <c r="D42" s="58" t="str">
        <f>IF('Production Log'!J42="","",'Production Log'!J42)</f>
        <v/>
      </c>
      <c r="E42" s="69" t="str">
        <f t="shared" ca="1" si="0"/>
        <v/>
      </c>
      <c r="F42" s="69" t="str">
        <f t="shared" ca="1" si="1"/>
        <v/>
      </c>
      <c r="G42" s="76" t="str">
        <f t="shared" ca="1" si="2"/>
        <v/>
      </c>
      <c r="H42" s="74" t="str">
        <f>IF('Production Log'!K42="","",'Production Log'!K42)</f>
        <v/>
      </c>
      <c r="I42" s="54" t="str">
        <f t="shared" ca="1" si="3"/>
        <v/>
      </c>
    </row>
    <row r="43" spans="1:9" x14ac:dyDescent="0.35">
      <c r="A43" s="74" t="str">
        <f>IF('Production Log'!B43="","",'Production Log'!B43)</f>
        <v/>
      </c>
      <c r="B43" s="53" t="str">
        <f>IF('Production Log'!C43="","",'Production Log'!C43)</f>
        <v/>
      </c>
      <c r="C43" s="58" t="str">
        <f>IF('Production Log'!I43="","",'Production Log'!I43)</f>
        <v/>
      </c>
      <c r="D43" s="58" t="str">
        <f>IF('Production Log'!J43="","",'Production Log'!J43)</f>
        <v/>
      </c>
      <c r="E43" s="69" t="str">
        <f t="shared" ca="1" si="0"/>
        <v/>
      </c>
      <c r="F43" s="69" t="str">
        <f t="shared" ca="1" si="1"/>
        <v/>
      </c>
      <c r="G43" s="76" t="str">
        <f t="shared" ca="1" si="2"/>
        <v/>
      </c>
      <c r="H43" s="74" t="str">
        <f>IF('Production Log'!K43="","",'Production Log'!K43)</f>
        <v/>
      </c>
      <c r="I43" s="54" t="str">
        <f t="shared" ca="1" si="3"/>
        <v/>
      </c>
    </row>
    <row r="44" spans="1:9" x14ac:dyDescent="0.35">
      <c r="A44" s="74" t="str">
        <f>IF('Production Log'!B44="","",'Production Log'!B44)</f>
        <v/>
      </c>
      <c r="B44" s="53" t="str">
        <f>IF('Production Log'!C44="","",'Production Log'!C44)</f>
        <v/>
      </c>
      <c r="C44" s="58" t="str">
        <f>IF('Production Log'!I44="","",'Production Log'!I44)</f>
        <v/>
      </c>
      <c r="D44" s="58" t="str">
        <f>IF('Production Log'!J44="","",'Production Log'!J44)</f>
        <v/>
      </c>
      <c r="E44" s="69" t="str">
        <f t="shared" ca="1" si="0"/>
        <v/>
      </c>
      <c r="F44" s="69" t="str">
        <f t="shared" ca="1" si="1"/>
        <v/>
      </c>
      <c r="G44" s="76" t="str">
        <f t="shared" ca="1" si="2"/>
        <v/>
      </c>
      <c r="H44" s="74" t="str">
        <f>IF('Production Log'!K44="","",'Production Log'!K44)</f>
        <v/>
      </c>
      <c r="I44" s="54" t="str">
        <f t="shared" ca="1" si="3"/>
        <v/>
      </c>
    </row>
  </sheetData>
  <mergeCells count="2">
    <mergeCell ref="A1:I1"/>
    <mergeCell ref="A2:I2"/>
  </mergeCells>
  <conditionalFormatting sqref="A5:I44">
    <cfRule type="expression" dxfId="5" priority="1" stopIfTrue="1">
      <formula>$H5="Bottled"</formula>
    </cfRule>
    <cfRule type="expression" dxfId="4" priority="2">
      <formula>AND($C5&lt;&gt;"",TODAY()-$C5&gt;=28)</formula>
    </cfRule>
    <cfRule type="expression" dxfId="3" priority="3">
      <formula>AND($C5&lt;&gt;"",TODAY()-$C5&lt;14)</formula>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B3531"/>
  </sheetPr>
  <dimension ref="A1:I41"/>
  <sheetViews>
    <sheetView showGridLines="0" workbookViewId="0"/>
  </sheetViews>
  <sheetFormatPr defaultRowHeight="14.5" x14ac:dyDescent="0.35"/>
  <cols>
    <col min="1" max="1" width="30" customWidth="1"/>
    <col min="2" max="2" width="10" customWidth="1"/>
    <col min="3" max="3" width="13" customWidth="1"/>
    <col min="4" max="5" width="10" customWidth="1"/>
    <col min="6" max="6" width="9" customWidth="1"/>
    <col min="7" max="7" width="10" customWidth="1"/>
    <col min="8" max="9" width="12" customWidth="1"/>
  </cols>
  <sheetData>
    <row r="1" spans="1:9" ht="28" customHeight="1" x14ac:dyDescent="0.35">
      <c r="A1" s="108" t="s">
        <v>287</v>
      </c>
      <c r="B1" s="89"/>
      <c r="C1" s="89"/>
      <c r="D1" s="89"/>
      <c r="E1" s="89"/>
      <c r="F1" s="89"/>
      <c r="G1" s="89"/>
      <c r="H1" s="89"/>
      <c r="I1" s="89"/>
    </row>
    <row r="2" spans="1:9" x14ac:dyDescent="0.35">
      <c r="A2" s="105" t="s">
        <v>288</v>
      </c>
      <c r="B2" s="106"/>
      <c r="C2" s="106"/>
      <c r="D2" s="106"/>
      <c r="E2" s="106"/>
      <c r="F2" s="106"/>
      <c r="G2" s="106"/>
      <c r="H2" s="106"/>
      <c r="I2" s="106"/>
    </row>
    <row r="3" spans="1:9" ht="18" customHeight="1" x14ac:dyDescent="0.35">
      <c r="A3" s="92" t="s">
        <v>289</v>
      </c>
      <c r="B3" s="93"/>
      <c r="C3" s="93"/>
      <c r="D3" s="93"/>
      <c r="E3" s="93"/>
      <c r="F3" s="93"/>
      <c r="G3" s="93"/>
      <c r="H3" s="93"/>
      <c r="I3" s="93"/>
    </row>
    <row r="4" spans="1:9" x14ac:dyDescent="0.35">
      <c r="A4" s="90" t="s">
        <v>290</v>
      </c>
      <c r="B4" s="89"/>
      <c r="C4" s="46">
        <f>SUM(Inv_TotalPaid)</f>
        <v>1226.8699999999999</v>
      </c>
      <c r="D4" s="94" t="s">
        <v>291</v>
      </c>
      <c r="E4" s="89"/>
      <c r="F4" s="89"/>
      <c r="G4" s="89"/>
      <c r="H4" s="89"/>
      <c r="I4" s="89"/>
    </row>
    <row r="5" spans="1:9" x14ac:dyDescent="0.35">
      <c r="A5" s="90" t="s">
        <v>292</v>
      </c>
      <c r="B5" s="89"/>
      <c r="C5" s="42">
        <v>351</v>
      </c>
      <c r="D5" s="94" t="s">
        <v>293</v>
      </c>
      <c r="E5" s="89"/>
      <c r="F5" s="89"/>
      <c r="G5" s="89"/>
      <c r="H5" s="89"/>
      <c r="I5" s="89"/>
    </row>
    <row r="6" spans="1:9" x14ac:dyDescent="0.35">
      <c r="A6" s="104" t="s">
        <v>294</v>
      </c>
      <c r="B6" s="89"/>
      <c r="C6" s="46">
        <f>C4+C5</f>
        <v>1577.87</v>
      </c>
      <c r="D6" s="94"/>
      <c r="E6" s="89"/>
      <c r="F6" s="89"/>
      <c r="G6" s="89"/>
      <c r="H6" s="89"/>
      <c r="I6" s="89"/>
    </row>
    <row r="7" spans="1:9" x14ac:dyDescent="0.35">
      <c r="A7" s="90" t="s">
        <v>295</v>
      </c>
      <c r="B7" s="89"/>
      <c r="C7" s="77">
        <f>1+ShippingSAR/MaterialsTotalSAR</f>
        <v>1.2860938811773048</v>
      </c>
      <c r="D7" s="94" t="s">
        <v>296</v>
      </c>
      <c r="E7" s="89"/>
      <c r="F7" s="89"/>
      <c r="G7" s="89"/>
      <c r="H7" s="89"/>
      <c r="I7" s="89"/>
    </row>
    <row r="8" spans="1:9" x14ac:dyDescent="0.35">
      <c r="A8" s="1"/>
      <c r="B8" s="1"/>
      <c r="C8" s="1"/>
      <c r="D8" s="1"/>
      <c r="E8" s="1"/>
      <c r="F8" s="1"/>
      <c r="G8" s="1"/>
      <c r="H8" s="1"/>
      <c r="I8" s="1"/>
    </row>
    <row r="9" spans="1:9" ht="18" customHeight="1" x14ac:dyDescent="0.35">
      <c r="A9" s="92" t="s">
        <v>297</v>
      </c>
      <c r="B9" s="93"/>
      <c r="C9" s="93"/>
      <c r="D9" s="93"/>
      <c r="E9" s="93"/>
      <c r="F9" s="93"/>
      <c r="G9" s="93"/>
      <c r="H9" s="93"/>
      <c r="I9" s="93"/>
    </row>
    <row r="10" spans="1:9" x14ac:dyDescent="0.35">
      <c r="A10" s="90" t="s">
        <v>298</v>
      </c>
      <c r="B10" s="89"/>
      <c r="C10" s="46">
        <f>INDEX(Inv_PricePerG,MATCH("DPG (Dipropylene Glycol)",Inv_Mat,0))</f>
        <v>9.8039215686274508E-2</v>
      </c>
      <c r="D10" s="94" t="s">
        <v>299</v>
      </c>
      <c r="E10" s="89"/>
      <c r="F10" s="89"/>
      <c r="G10" s="89"/>
      <c r="H10" s="89"/>
      <c r="I10" s="89"/>
    </row>
    <row r="11" spans="1:9" x14ac:dyDescent="0.35">
      <c r="A11" s="90" t="s">
        <v>300</v>
      </c>
      <c r="B11" s="89"/>
      <c r="C11" s="46">
        <f>SUMPRODUCT(FM_Active,FM_CostG)</f>
        <v>2.6205845163398696</v>
      </c>
      <c r="D11" s="94" t="s">
        <v>301</v>
      </c>
      <c r="E11" s="89"/>
      <c r="F11" s="89"/>
      <c r="G11" s="89"/>
      <c r="H11" s="89"/>
      <c r="I11" s="89"/>
    </row>
    <row r="12" spans="1:9" x14ac:dyDescent="0.35">
      <c r="A12" s="90" t="s">
        <v>302</v>
      </c>
      <c r="B12" s="89"/>
      <c r="C12" s="46">
        <f>ConcCostPerG*ShipLoad</f>
        <v>3.3703177115726932</v>
      </c>
      <c r="D12" s="94" t="s">
        <v>303</v>
      </c>
      <c r="E12" s="89"/>
      <c r="F12" s="89"/>
      <c r="G12" s="89"/>
      <c r="H12" s="89"/>
      <c r="I12" s="89"/>
    </row>
    <row r="13" spans="1:9" x14ac:dyDescent="0.35">
      <c r="A13" s="1"/>
      <c r="B13" s="1"/>
      <c r="C13" s="1"/>
      <c r="D13" s="1"/>
      <c r="E13" s="1"/>
      <c r="F13" s="1"/>
      <c r="G13" s="1"/>
      <c r="H13" s="1"/>
      <c r="I13" s="1"/>
    </row>
    <row r="14" spans="1:9" ht="18" customHeight="1" x14ac:dyDescent="0.35">
      <c r="A14" s="92" t="s">
        <v>304</v>
      </c>
      <c r="B14" s="93"/>
      <c r="C14" s="93"/>
      <c r="D14" s="93"/>
      <c r="E14" s="93"/>
      <c r="F14" s="93"/>
      <c r="G14" s="93"/>
      <c r="H14" s="93"/>
      <c r="I14" s="93"/>
    </row>
    <row r="15" spans="1:9" x14ac:dyDescent="0.35">
      <c r="A15" s="126" t="s">
        <v>175</v>
      </c>
      <c r="B15" s="89"/>
      <c r="C15" s="78" t="s">
        <v>229</v>
      </c>
      <c r="D15" s="126" t="s">
        <v>177</v>
      </c>
      <c r="E15" s="89"/>
      <c r="F15" s="89"/>
      <c r="G15" s="89"/>
      <c r="H15" s="89"/>
      <c r="I15" s="89"/>
    </row>
    <row r="16" spans="1:9" x14ac:dyDescent="0.35">
      <c r="A16" s="116" t="s">
        <v>178</v>
      </c>
      <c r="B16" s="111"/>
      <c r="C16" s="24">
        <f>INDEX(Inv_PricePerG,MATCH("Alcohol 190 proof SDA 40B",Inv_Mat,0))*ShipLoad</f>
        <v>4.7633106710270545E-2</v>
      </c>
      <c r="D16" s="110" t="s">
        <v>305</v>
      </c>
      <c r="E16" s="89"/>
      <c r="F16" s="89"/>
      <c r="G16" s="89"/>
      <c r="H16" s="89"/>
      <c r="I16" s="89"/>
    </row>
    <row r="17" spans="1:9" x14ac:dyDescent="0.35">
      <c r="A17" s="116" t="s">
        <v>180</v>
      </c>
      <c r="B17" s="111"/>
      <c r="C17" s="42">
        <v>0.01</v>
      </c>
      <c r="D17" s="110" t="s">
        <v>306</v>
      </c>
      <c r="E17" s="89"/>
      <c r="F17" s="89"/>
      <c r="G17" s="89"/>
      <c r="H17" s="89"/>
      <c r="I17" s="89"/>
    </row>
    <row r="18" spans="1:9" x14ac:dyDescent="0.35">
      <c r="A18" s="116" t="s">
        <v>182</v>
      </c>
      <c r="B18" s="111"/>
      <c r="C18" s="42">
        <v>0.05</v>
      </c>
      <c r="D18" s="110" t="s">
        <v>306</v>
      </c>
      <c r="E18" s="89"/>
      <c r="F18" s="89"/>
      <c r="G18" s="89"/>
      <c r="H18" s="89"/>
      <c r="I18" s="89"/>
    </row>
    <row r="19" spans="1:9" x14ac:dyDescent="0.35">
      <c r="A19" s="116" t="s">
        <v>307</v>
      </c>
      <c r="B19" s="111"/>
      <c r="C19" s="42">
        <v>0.1</v>
      </c>
      <c r="D19" s="110" t="s">
        <v>306</v>
      </c>
      <c r="E19" s="89"/>
      <c r="F19" s="89"/>
      <c r="G19" s="89"/>
      <c r="H19" s="89"/>
      <c r="I19" s="89"/>
    </row>
    <row r="20" spans="1:9" x14ac:dyDescent="0.35">
      <c r="A20" s="116" t="s">
        <v>186</v>
      </c>
      <c r="B20" s="111"/>
      <c r="C20" s="42">
        <v>0.4</v>
      </c>
      <c r="D20" s="110" t="s">
        <v>306</v>
      </c>
      <c r="E20" s="89"/>
      <c r="F20" s="89"/>
      <c r="G20" s="89"/>
      <c r="H20" s="89"/>
      <c r="I20" s="89"/>
    </row>
    <row r="21" spans="1:9" x14ac:dyDescent="0.35">
      <c r="A21" s="116" t="s">
        <v>308</v>
      </c>
      <c r="B21" s="111"/>
      <c r="C21" s="42">
        <v>0.08</v>
      </c>
      <c r="D21" s="110" t="s">
        <v>306</v>
      </c>
      <c r="E21" s="89"/>
      <c r="F21" s="89"/>
      <c r="G21" s="89"/>
      <c r="H21" s="89"/>
      <c r="I21" s="89"/>
    </row>
    <row r="22" spans="1:9" x14ac:dyDescent="0.35">
      <c r="A22" s="116" t="s">
        <v>145</v>
      </c>
      <c r="B22" s="111"/>
      <c r="C22" s="42">
        <v>0.15</v>
      </c>
      <c r="D22" s="110" t="s">
        <v>306</v>
      </c>
      <c r="E22" s="89"/>
      <c r="F22" s="89"/>
      <c r="G22" s="89"/>
      <c r="H22" s="89"/>
      <c r="I22" s="89"/>
    </row>
    <row r="23" spans="1:9" x14ac:dyDescent="0.35">
      <c r="A23" s="116" t="s">
        <v>148</v>
      </c>
      <c r="B23" s="111"/>
      <c r="C23" s="42">
        <v>0.1</v>
      </c>
      <c r="D23" s="110" t="s">
        <v>306</v>
      </c>
      <c r="E23" s="89"/>
      <c r="F23" s="89"/>
      <c r="G23" s="89"/>
      <c r="H23" s="89"/>
      <c r="I23" s="89"/>
    </row>
    <row r="24" spans="1:9" x14ac:dyDescent="0.35">
      <c r="A24" s="116" t="s">
        <v>151</v>
      </c>
      <c r="B24" s="111"/>
      <c r="C24" s="42">
        <v>0.06</v>
      </c>
      <c r="D24" s="110" t="s">
        <v>306</v>
      </c>
      <c r="E24" s="89"/>
      <c r="F24" s="89"/>
      <c r="G24" s="89"/>
      <c r="H24" s="89"/>
      <c r="I24" s="89"/>
    </row>
    <row r="25" spans="1:9" x14ac:dyDescent="0.35">
      <c r="A25" s="116" t="s">
        <v>154</v>
      </c>
      <c r="B25" s="111"/>
      <c r="C25" s="42">
        <v>0.08</v>
      </c>
      <c r="D25" s="110" t="s">
        <v>306</v>
      </c>
      <c r="E25" s="89"/>
      <c r="F25" s="89"/>
      <c r="G25" s="89"/>
      <c r="H25" s="89"/>
      <c r="I25" s="89"/>
    </row>
    <row r="26" spans="1:9" x14ac:dyDescent="0.35">
      <c r="A26" s="116" t="s">
        <v>192</v>
      </c>
      <c r="B26" s="111"/>
      <c r="C26" s="42">
        <v>0.5</v>
      </c>
      <c r="D26" s="110" t="s">
        <v>306</v>
      </c>
      <c r="E26" s="89"/>
      <c r="F26" s="89"/>
      <c r="G26" s="89"/>
      <c r="H26" s="89"/>
      <c r="I26" s="89"/>
    </row>
    <row r="27" spans="1:9" x14ac:dyDescent="0.35">
      <c r="A27" s="1"/>
      <c r="B27" s="1"/>
      <c r="C27" s="1"/>
      <c r="D27" s="1"/>
      <c r="E27" s="1"/>
      <c r="F27" s="1"/>
      <c r="G27" s="1"/>
      <c r="H27" s="1"/>
      <c r="I27" s="1"/>
    </row>
    <row r="28" spans="1:9" ht="18" customHeight="1" x14ac:dyDescent="0.35">
      <c r="A28" s="92" t="s">
        <v>309</v>
      </c>
      <c r="B28" s="93"/>
      <c r="C28" s="93"/>
      <c r="D28" s="93"/>
      <c r="E28" s="93"/>
      <c r="F28" s="93"/>
      <c r="G28" s="93"/>
      <c r="H28" s="93"/>
      <c r="I28" s="93"/>
    </row>
    <row r="29" spans="1:9" ht="24" customHeight="1" x14ac:dyDescent="0.35">
      <c r="A29" s="17" t="s">
        <v>265</v>
      </c>
      <c r="B29" s="17" t="s">
        <v>274</v>
      </c>
      <c r="C29" s="17" t="s">
        <v>223</v>
      </c>
      <c r="D29" s="17" t="s">
        <v>247</v>
      </c>
      <c r="E29" s="17" t="s">
        <v>310</v>
      </c>
      <c r="F29" s="17" t="s">
        <v>275</v>
      </c>
      <c r="G29" s="17" t="s">
        <v>311</v>
      </c>
      <c r="H29" s="17" t="s">
        <v>312</v>
      </c>
      <c r="I29" s="17" t="s">
        <v>313</v>
      </c>
    </row>
    <row r="30" spans="1:9" x14ac:dyDescent="0.35">
      <c r="A30" s="53" t="s">
        <v>314</v>
      </c>
      <c r="B30" s="69">
        <v>30</v>
      </c>
      <c r="C30" s="61" t="s">
        <v>130</v>
      </c>
      <c r="D30" s="43">
        <v>0.85</v>
      </c>
      <c r="E30" s="24">
        <f t="shared" ref="E30:E37" si="0">IF(C30="ml",B30*D30,B30)</f>
        <v>25.5</v>
      </c>
      <c r="F30" s="20">
        <v>0.2</v>
      </c>
      <c r="G30" s="24">
        <f t="shared" ref="G30:G37" si="1">E30*F30</f>
        <v>5.1000000000000005</v>
      </c>
      <c r="H30" s="46">
        <f>G30*ConcCostPerGLoaded+(E30-G30)*$C$16</f>
        <v>18.160335705910256</v>
      </c>
      <c r="I30" s="24">
        <f t="shared" ref="I30:I37" si="2">H30/B30</f>
        <v>0.60534452353034185</v>
      </c>
    </row>
    <row r="31" spans="1:9" x14ac:dyDescent="0.35">
      <c r="A31" s="53" t="s">
        <v>314</v>
      </c>
      <c r="B31" s="69">
        <v>50</v>
      </c>
      <c r="C31" s="61" t="s">
        <v>130</v>
      </c>
      <c r="D31" s="43">
        <v>0.85</v>
      </c>
      <c r="E31" s="24">
        <f t="shared" si="0"/>
        <v>42.5</v>
      </c>
      <c r="F31" s="20">
        <v>0.2</v>
      </c>
      <c r="G31" s="24">
        <f t="shared" si="1"/>
        <v>8.5</v>
      </c>
      <c r="H31" s="46">
        <f>G31*ConcCostPerGLoaded+(E31-G31)*$C$16</f>
        <v>30.267226176517092</v>
      </c>
      <c r="I31" s="24">
        <f t="shared" si="2"/>
        <v>0.60534452353034185</v>
      </c>
    </row>
    <row r="32" spans="1:9" x14ac:dyDescent="0.35">
      <c r="A32" s="53" t="s">
        <v>314</v>
      </c>
      <c r="B32" s="69">
        <v>100</v>
      </c>
      <c r="C32" s="61" t="s">
        <v>130</v>
      </c>
      <c r="D32" s="43">
        <v>0.85</v>
      </c>
      <c r="E32" s="24">
        <f t="shared" si="0"/>
        <v>85</v>
      </c>
      <c r="F32" s="20">
        <v>0.2</v>
      </c>
      <c r="G32" s="24">
        <f t="shared" si="1"/>
        <v>17</v>
      </c>
      <c r="H32" s="46">
        <f>G32*ConcCostPerGLoaded+(E32-G32)*$C$16</f>
        <v>60.534452353034183</v>
      </c>
      <c r="I32" s="24">
        <f t="shared" si="2"/>
        <v>0.60534452353034185</v>
      </c>
    </row>
    <row r="33" spans="1:9" x14ac:dyDescent="0.35">
      <c r="A33" s="53" t="s">
        <v>125</v>
      </c>
      <c r="B33" s="69">
        <v>50</v>
      </c>
      <c r="C33" s="61" t="s">
        <v>130</v>
      </c>
      <c r="D33" s="43">
        <v>0.85</v>
      </c>
      <c r="E33" s="24">
        <f t="shared" si="0"/>
        <v>42.5</v>
      </c>
      <c r="F33" s="20">
        <v>0.28000000000000003</v>
      </c>
      <c r="G33" s="24">
        <f t="shared" si="1"/>
        <v>11.9</v>
      </c>
      <c r="H33" s="46">
        <f>G33*ConcCostPerGLoaded+(E33-G33)*$C$16</f>
        <v>41.564353833049331</v>
      </c>
      <c r="I33" s="24">
        <f t="shared" si="2"/>
        <v>0.83128707666098667</v>
      </c>
    </row>
    <row r="34" spans="1:9" x14ac:dyDescent="0.35">
      <c r="A34" s="53" t="s">
        <v>315</v>
      </c>
      <c r="B34" s="69">
        <v>100</v>
      </c>
      <c r="C34" s="61" t="s">
        <v>130</v>
      </c>
      <c r="D34" s="43">
        <v>0.87</v>
      </c>
      <c r="E34" s="24">
        <f t="shared" si="0"/>
        <v>87</v>
      </c>
      <c r="F34" s="20">
        <v>0.05</v>
      </c>
      <c r="G34" s="24">
        <f t="shared" si="1"/>
        <v>4.3500000000000005</v>
      </c>
      <c r="H34" s="46">
        <f>G34*ConcCostPerGLoaded+(E34-G34-E34*0.02-E34*0.05)*$C$16+E34*0.02*$C$18+E34*0.05*$C$17</f>
        <v>18.438172695079533</v>
      </c>
      <c r="I34" s="24">
        <f t="shared" si="2"/>
        <v>0.18438172695079533</v>
      </c>
    </row>
    <row r="35" spans="1:9" x14ac:dyDescent="0.35">
      <c r="A35" s="53" t="s">
        <v>150</v>
      </c>
      <c r="B35" s="69">
        <v>100</v>
      </c>
      <c r="C35" s="61" t="s">
        <v>237</v>
      </c>
      <c r="D35" s="61"/>
      <c r="E35" s="24">
        <f t="shared" si="0"/>
        <v>100</v>
      </c>
      <c r="F35" s="20">
        <v>2.5000000000000001E-2</v>
      </c>
      <c r="G35" s="24">
        <f t="shared" si="1"/>
        <v>2.5</v>
      </c>
      <c r="H35" s="46">
        <f>G35*ConcCostPerGLoaded+G35*4*$C$19+E35*0.025*$C$18+E35*0.008*$C$20+(E35-G35-G35*4-E35*0.025-E35*0.008)*$C$17</f>
        <v>10.712794278931733</v>
      </c>
      <c r="I35" s="24">
        <f t="shared" si="2"/>
        <v>0.10712794278931734</v>
      </c>
    </row>
    <row r="36" spans="1:9" x14ac:dyDescent="0.35">
      <c r="A36" s="53" t="s">
        <v>316</v>
      </c>
      <c r="B36" s="69">
        <v>100</v>
      </c>
      <c r="C36" s="61" t="s">
        <v>237</v>
      </c>
      <c r="D36" s="61"/>
      <c r="E36" s="24">
        <f t="shared" si="0"/>
        <v>100</v>
      </c>
      <c r="F36" s="20">
        <v>0.01</v>
      </c>
      <c r="G36" s="24">
        <f t="shared" si="1"/>
        <v>1</v>
      </c>
      <c r="H36" s="46">
        <f>G36*ConcCostPerGLoaded+(E36-G36)*$C$21</f>
        <v>11.290317711572694</v>
      </c>
      <c r="I36" s="24">
        <f t="shared" si="2"/>
        <v>0.11290317711572694</v>
      </c>
    </row>
    <row r="37" spans="1:9" x14ac:dyDescent="0.35">
      <c r="A37" s="53" t="s">
        <v>317</v>
      </c>
      <c r="B37" s="69">
        <v>100</v>
      </c>
      <c r="C37" s="61" t="s">
        <v>237</v>
      </c>
      <c r="D37" s="61"/>
      <c r="E37" s="24">
        <f t="shared" si="0"/>
        <v>100</v>
      </c>
      <c r="F37" s="20">
        <v>0.01</v>
      </c>
      <c r="G37" s="24">
        <f t="shared" si="1"/>
        <v>1</v>
      </c>
      <c r="H37" s="46">
        <f>G37*ConcCostPerGLoaded+E37*(0.03*$C$18+0.05*$C$22+0.02*$C$23+0.15*$C$24+0.05*$C$25+0.01*$C$20+0.005*$C$26)+(E37-G37-E37*0.315)*$C$17</f>
        <v>7.0953177115726929</v>
      </c>
      <c r="I37" s="24">
        <f t="shared" si="2"/>
        <v>7.0953177115726934E-2</v>
      </c>
    </row>
    <row r="38" spans="1:9" x14ac:dyDescent="0.35">
      <c r="A38" s="1"/>
      <c r="B38" s="1"/>
      <c r="C38" s="1"/>
      <c r="D38" s="1"/>
      <c r="E38" s="1"/>
      <c r="F38" s="1"/>
      <c r="G38" s="1"/>
      <c r="H38" s="1"/>
      <c r="I38" s="1"/>
    </row>
    <row r="39" spans="1:9" ht="18" customHeight="1" x14ac:dyDescent="0.35">
      <c r="A39" s="92" t="s">
        <v>318</v>
      </c>
      <c r="B39" s="93"/>
      <c r="C39" s="93"/>
      <c r="D39" s="93"/>
      <c r="E39" s="93"/>
      <c r="F39" s="93"/>
      <c r="G39" s="93"/>
      <c r="H39" s="93"/>
      <c r="I39" s="93"/>
    </row>
    <row r="40" spans="1:9" x14ac:dyDescent="0.35">
      <c r="A40" s="90" t="s">
        <v>319</v>
      </c>
      <c r="B40" s="89"/>
      <c r="C40" s="46">
        <f>SUMPRODUCT(Inv_OnHand,Inv_PricePerG)</f>
        <v>1226.8699999999999</v>
      </c>
      <c r="D40" s="1"/>
      <c r="E40" s="1"/>
      <c r="F40" s="1"/>
      <c r="G40" s="1"/>
      <c r="H40" s="1"/>
      <c r="I40" s="1"/>
    </row>
    <row r="41" spans="1:9" x14ac:dyDescent="0.35">
      <c r="A41" s="90" t="s">
        <v>320</v>
      </c>
      <c r="B41" s="89"/>
      <c r="C41" s="46">
        <f>StockValueSAR*ShipLoad</f>
        <v>1577.87</v>
      </c>
      <c r="D41" s="1"/>
      <c r="E41" s="1"/>
      <c r="F41" s="1"/>
      <c r="G41" s="1"/>
      <c r="H41" s="1"/>
      <c r="I41" s="1"/>
    </row>
  </sheetData>
  <mergeCells count="47">
    <mergeCell ref="A1:I1"/>
    <mergeCell ref="D6:I6"/>
    <mergeCell ref="D21:I21"/>
    <mergeCell ref="A40:B40"/>
    <mergeCell ref="D26:I26"/>
    <mergeCell ref="A39:I39"/>
    <mergeCell ref="A22:B22"/>
    <mergeCell ref="A4:B4"/>
    <mergeCell ref="D19:I19"/>
    <mergeCell ref="A20:B20"/>
    <mergeCell ref="D10:I10"/>
    <mergeCell ref="A19:B19"/>
    <mergeCell ref="D22:I22"/>
    <mergeCell ref="A10:B10"/>
    <mergeCell ref="A2:I2"/>
    <mergeCell ref="A7:B7"/>
    <mergeCell ref="A25:B25"/>
    <mergeCell ref="D4:I4"/>
    <mergeCell ref="A41:B41"/>
    <mergeCell ref="A14:I14"/>
    <mergeCell ref="D18:I18"/>
    <mergeCell ref="D12:I12"/>
    <mergeCell ref="A18:B18"/>
    <mergeCell ref="D25:I25"/>
    <mergeCell ref="A12:B12"/>
    <mergeCell ref="D15:I15"/>
    <mergeCell ref="A26:B26"/>
    <mergeCell ref="A21:B21"/>
    <mergeCell ref="D24:I24"/>
    <mergeCell ref="A28:I28"/>
    <mergeCell ref="A3:I3"/>
    <mergeCell ref="D16:I16"/>
    <mergeCell ref="D7:I7"/>
    <mergeCell ref="A6:B6"/>
    <mergeCell ref="A16:B16"/>
    <mergeCell ref="D5:I5"/>
    <mergeCell ref="A5:B5"/>
    <mergeCell ref="A9:I9"/>
    <mergeCell ref="D11:I11"/>
    <mergeCell ref="A24:B24"/>
    <mergeCell ref="A15:B15"/>
    <mergeCell ref="A11:B11"/>
    <mergeCell ref="D17:I17"/>
    <mergeCell ref="D23:I23"/>
    <mergeCell ref="A17:B17"/>
    <mergeCell ref="D20:I20"/>
    <mergeCell ref="A23:B23"/>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4A566"/>
  </sheetPr>
  <dimension ref="A1:I52"/>
  <sheetViews>
    <sheetView showGridLines="0" workbookViewId="0">
      <pane ySplit="15" topLeftCell="A16" activePane="bottomLeft" state="frozen"/>
      <selection pane="bottomLeft"/>
    </sheetView>
  </sheetViews>
  <sheetFormatPr defaultRowHeight="14.5" x14ac:dyDescent="0.35"/>
  <cols>
    <col min="1" max="1" width="27" customWidth="1"/>
    <col min="2" max="3" width="13" customWidth="1"/>
    <col min="4" max="4" width="14" customWidth="1"/>
    <col min="5" max="5" width="13" customWidth="1"/>
    <col min="6" max="6" width="11" customWidth="1"/>
    <col min="7" max="7" width="14" customWidth="1"/>
    <col min="8" max="8" width="15" customWidth="1"/>
    <col min="9" max="9" width="22" customWidth="1"/>
  </cols>
  <sheetData>
    <row r="1" spans="1:9" ht="28" customHeight="1" x14ac:dyDescent="0.35">
      <c r="A1" s="108" t="s">
        <v>321</v>
      </c>
      <c r="B1" s="89"/>
      <c r="C1" s="89"/>
      <c r="D1" s="89"/>
      <c r="E1" s="89"/>
      <c r="F1" s="89"/>
      <c r="G1" s="89"/>
      <c r="H1" s="89"/>
      <c r="I1" s="89"/>
    </row>
    <row r="2" spans="1:9" x14ac:dyDescent="0.35">
      <c r="A2" s="105" t="s">
        <v>322</v>
      </c>
      <c r="B2" s="106"/>
      <c r="C2" s="106"/>
      <c r="D2" s="106"/>
      <c r="E2" s="106"/>
      <c r="F2" s="106"/>
      <c r="G2" s="106"/>
      <c r="H2" s="106"/>
      <c r="I2" s="106"/>
    </row>
    <row r="3" spans="1:9" ht="18" customHeight="1" x14ac:dyDescent="0.35">
      <c r="A3" s="92" t="s">
        <v>323</v>
      </c>
      <c r="B3" s="93"/>
      <c r="C3" s="93"/>
      <c r="D3" s="93"/>
      <c r="E3" s="93"/>
      <c r="F3" s="93"/>
      <c r="G3" s="93"/>
      <c r="H3" s="93"/>
      <c r="I3" s="93"/>
    </row>
    <row r="4" spans="1:9" x14ac:dyDescent="0.35">
      <c r="A4" s="104" t="s">
        <v>132</v>
      </c>
      <c r="B4" s="89"/>
      <c r="C4" s="20">
        <v>0.28000000000000003</v>
      </c>
      <c r="D4" s="94" t="s">
        <v>324</v>
      </c>
      <c r="E4" s="89"/>
      <c r="F4" s="89"/>
      <c r="G4" s="89"/>
      <c r="H4" s="89"/>
      <c r="I4" s="89"/>
    </row>
    <row r="5" spans="1:9" x14ac:dyDescent="0.35">
      <c r="A5" s="104" t="s">
        <v>133</v>
      </c>
      <c r="B5" s="89"/>
      <c r="C5" s="43">
        <v>0.85</v>
      </c>
      <c r="D5" s="94" t="s">
        <v>325</v>
      </c>
      <c r="E5" s="89"/>
      <c r="F5" s="89"/>
      <c r="G5" s="89"/>
      <c r="H5" s="89"/>
      <c r="I5" s="89"/>
    </row>
    <row r="6" spans="1:9" x14ac:dyDescent="0.35">
      <c r="A6" s="104" t="s">
        <v>326</v>
      </c>
      <c r="B6" s="89"/>
      <c r="C6" s="20">
        <v>0</v>
      </c>
      <c r="D6" s="94" t="s">
        <v>327</v>
      </c>
      <c r="E6" s="89"/>
      <c r="F6" s="89"/>
      <c r="G6" s="89"/>
      <c r="H6" s="89"/>
      <c r="I6" s="89"/>
    </row>
    <row r="7" spans="1:9" x14ac:dyDescent="0.35">
      <c r="A7" s="104" t="s">
        <v>328</v>
      </c>
      <c r="B7" s="89"/>
      <c r="C7" s="16" t="s">
        <v>329</v>
      </c>
      <c r="D7" s="94" t="s">
        <v>330</v>
      </c>
      <c r="E7" s="89"/>
      <c r="F7" s="89"/>
      <c r="G7" s="89"/>
      <c r="H7" s="89"/>
      <c r="I7" s="89"/>
    </row>
    <row r="8" spans="1:9" x14ac:dyDescent="0.35">
      <c r="A8" s="1"/>
      <c r="B8" s="1"/>
      <c r="C8" s="1"/>
      <c r="D8" s="1"/>
      <c r="E8" s="1"/>
      <c r="F8" s="1"/>
      <c r="G8" s="117" t="s">
        <v>331</v>
      </c>
      <c r="H8" s="89"/>
      <c r="I8" s="60">
        <v>50</v>
      </c>
    </row>
    <row r="9" spans="1:9" ht="18" customHeight="1" x14ac:dyDescent="0.35">
      <c r="A9" s="92" t="s">
        <v>332</v>
      </c>
      <c r="B9" s="93"/>
      <c r="C9" s="93"/>
      <c r="D9" s="93"/>
      <c r="E9" s="93"/>
      <c r="F9" s="93"/>
      <c r="G9" s="93"/>
      <c r="H9" s="93"/>
      <c r="I9" s="93"/>
    </row>
    <row r="10" spans="1:9" x14ac:dyDescent="0.35">
      <c r="A10" s="1"/>
      <c r="B10" s="3" t="s">
        <v>333</v>
      </c>
      <c r="C10" s="3" t="s">
        <v>334</v>
      </c>
      <c r="D10" s="3" t="s">
        <v>335</v>
      </c>
      <c r="E10" s="3" t="s">
        <v>336</v>
      </c>
      <c r="F10" s="3" t="s">
        <v>337</v>
      </c>
      <c r="G10" s="1"/>
      <c r="H10" s="1"/>
      <c r="I10" s="1"/>
    </row>
    <row r="11" spans="1:9" ht="26" customHeight="1" x14ac:dyDescent="0.35">
      <c r="A11" s="1"/>
      <c r="B11" s="4">
        <f>MIN($F$27:$F$52)</f>
        <v>94.73684210526315</v>
      </c>
      <c r="C11" s="4">
        <f>$B$11*(1-YC_Loss)</f>
        <v>94.73684210526315</v>
      </c>
      <c r="D11" s="4">
        <f>IF(YC_Basis="On hand",INDEX(Inv_OnHand,MATCH("Alcohol 190 proof SDA 40B",Inv_Mat,0)),INDEX(Inv_GramsBought,MATCH("Alcohol 190 proof SDA 40B",Inv_Mat,0)))</f>
        <v>4050.0000000000005</v>
      </c>
      <c r="E11" s="4">
        <f>IF(YC_Basis="On hand",INDEX(Inv_OnHand,MATCH("DPG (Dipropylene Glycol)",Inv_Mat,0)),INDEX(Inv_GramsBought,MATCH("DPG (Dipropylene Glycol)",Inv_Mat,0)))</f>
        <v>510</v>
      </c>
      <c r="F11" s="127" t="str">
        <f>IF(COUNT($F$27:$F$52)=0,"—",INDEX($A$27:$A$52,MATCH($B$11,$F$27:$F$52,0)))</f>
        <v>Iso E Super</v>
      </c>
      <c r="G11" s="89"/>
      <c r="H11" s="89"/>
      <c r="I11" s="89"/>
    </row>
    <row r="12" spans="1:9" x14ac:dyDescent="0.35">
      <c r="A12" s="1"/>
      <c r="B12" s="1"/>
      <c r="C12" s="1"/>
      <c r="D12" s="1"/>
      <c r="E12" s="1"/>
      <c r="F12" s="1"/>
      <c r="G12" s="1"/>
      <c r="H12" s="1"/>
      <c r="I12" s="1"/>
    </row>
    <row r="13" spans="1:9" ht="18" customHeight="1" x14ac:dyDescent="0.35">
      <c r="A13" s="92" t="s">
        <v>338</v>
      </c>
      <c r="B13" s="93"/>
      <c r="C13" s="93"/>
      <c r="D13" s="93"/>
      <c r="E13" s="93"/>
      <c r="F13" s="93"/>
      <c r="G13" s="93"/>
      <c r="H13" s="93"/>
      <c r="I13" s="93"/>
    </row>
    <row r="14" spans="1:9" x14ac:dyDescent="0.35">
      <c r="A14" s="94" t="str">
        <f>"At "&amp;TEXT(YC_ConcPct,"0%")&amp;" concentrate ("&amp;IF(YC_ConcPct&gt;=0.25,"Extrait",IF(YC_ConcPct&gt;=0.15,"EDP","light"))&amp;"), "&amp;TEXT(YC_Density,"0.00")&amp;" g/ml, "&amp;TEXT(YC_Loss,"0%")&amp;" bench loss, stock basis: "&amp;YC_Basis</f>
        <v>At 28% concentrate (Extrait), 0.85 g/ml, 0% bench loss, stock basis: On hand</v>
      </c>
      <c r="B14" s="89"/>
      <c r="C14" s="89"/>
      <c r="D14" s="89"/>
      <c r="E14" s="89"/>
      <c r="F14" s="89"/>
      <c r="G14" s="89"/>
      <c r="H14" s="89"/>
      <c r="I14" s="89"/>
    </row>
    <row r="15" spans="1:9" ht="24" customHeight="1" x14ac:dyDescent="0.35">
      <c r="A15" s="17" t="s">
        <v>339</v>
      </c>
      <c r="B15" s="17" t="s">
        <v>340</v>
      </c>
      <c r="C15" s="17" t="s">
        <v>341</v>
      </c>
      <c r="D15" s="17" t="s">
        <v>342</v>
      </c>
      <c r="E15" s="17" t="s">
        <v>343</v>
      </c>
      <c r="F15" s="17" t="s">
        <v>344</v>
      </c>
      <c r="G15" s="17" t="s">
        <v>345</v>
      </c>
      <c r="H15" s="17" t="s">
        <v>346</v>
      </c>
      <c r="I15" s="17" t="s">
        <v>347</v>
      </c>
    </row>
    <row r="16" spans="1:9" ht="18" x14ac:dyDescent="0.35">
      <c r="A16" s="66">
        <v>10</v>
      </c>
      <c r="B16" s="24">
        <f t="shared" ref="B16:B21" si="0">$A16*YC_Density*YC_ConcPct</f>
        <v>2.3800000000000003</v>
      </c>
      <c r="C16" s="24">
        <f t="shared" ref="C16:C21" si="1">$A16*YC_Density*(1-YC_ConcPct)</f>
        <v>6.12</v>
      </c>
      <c r="D16" s="76">
        <f t="shared" ref="D16:D21" si="2">IF(B16=0,"",YC_UsableConc/B16)</f>
        <v>39.80539584254754</v>
      </c>
      <c r="E16" s="76">
        <f t="shared" ref="E16:E21" si="3">IF(C16=0,"",YC_AlcOnHand/C16)</f>
        <v>661.76470588235304</v>
      </c>
      <c r="F16" s="67">
        <f t="shared" ref="F16:F21" si="4">FLOOR(MIN(D16,E16),1)</f>
        <v>39</v>
      </c>
      <c r="G16" s="24">
        <f t="shared" ref="G16:G21" si="5">B16*ConcCostPerGLoaded+C16*AlcCostPerG</f>
        <v>8.3128707666098656</v>
      </c>
      <c r="H16" s="24">
        <f t="shared" ref="H16:H21" si="6">F16*G16</f>
        <v>324.20195989778477</v>
      </c>
      <c r="I16" s="61" t="str">
        <f t="shared" ref="I16:I21" si="7">IF(D16&lt;=E16,"concentrate ("&amp;YC_LimitMat&amp;")","alcohol")</f>
        <v>concentrate (Iso E Super)</v>
      </c>
    </row>
    <row r="17" spans="1:9" ht="18" x14ac:dyDescent="0.35">
      <c r="A17" s="66">
        <v>20</v>
      </c>
      <c r="B17" s="24">
        <f t="shared" si="0"/>
        <v>4.7600000000000007</v>
      </c>
      <c r="C17" s="24">
        <f t="shared" si="1"/>
        <v>12.24</v>
      </c>
      <c r="D17" s="76">
        <f t="shared" si="2"/>
        <v>19.90269792127377</v>
      </c>
      <c r="E17" s="76">
        <f t="shared" si="3"/>
        <v>330.88235294117652</v>
      </c>
      <c r="F17" s="67">
        <f t="shared" si="4"/>
        <v>19</v>
      </c>
      <c r="G17" s="24">
        <f t="shared" si="5"/>
        <v>16.625741533219731</v>
      </c>
      <c r="H17" s="24">
        <f t="shared" si="6"/>
        <v>315.8890891311749</v>
      </c>
      <c r="I17" s="61" t="str">
        <f t="shared" si="7"/>
        <v>concentrate (Iso E Super)</v>
      </c>
    </row>
    <row r="18" spans="1:9" ht="18" x14ac:dyDescent="0.35">
      <c r="A18" s="66">
        <v>30</v>
      </c>
      <c r="B18" s="24">
        <f t="shared" si="0"/>
        <v>7.1400000000000006</v>
      </c>
      <c r="C18" s="24">
        <f t="shared" si="1"/>
        <v>18.36</v>
      </c>
      <c r="D18" s="76">
        <f t="shared" si="2"/>
        <v>13.268465280849179</v>
      </c>
      <c r="E18" s="76">
        <f t="shared" si="3"/>
        <v>220.58823529411768</v>
      </c>
      <c r="F18" s="67">
        <f t="shared" si="4"/>
        <v>13</v>
      </c>
      <c r="G18" s="24">
        <f t="shared" si="5"/>
        <v>24.938612299829597</v>
      </c>
      <c r="H18" s="24">
        <f t="shared" si="6"/>
        <v>324.20195989778477</v>
      </c>
      <c r="I18" s="61" t="str">
        <f t="shared" si="7"/>
        <v>concentrate (Iso E Super)</v>
      </c>
    </row>
    <row r="19" spans="1:9" ht="18" x14ac:dyDescent="0.35">
      <c r="A19" s="66">
        <v>50</v>
      </c>
      <c r="B19" s="24">
        <f t="shared" si="0"/>
        <v>11.9</v>
      </c>
      <c r="C19" s="24">
        <f t="shared" si="1"/>
        <v>30.599999999999998</v>
      </c>
      <c r="D19" s="76">
        <f t="shared" si="2"/>
        <v>7.9610791685095084</v>
      </c>
      <c r="E19" s="76">
        <f t="shared" si="3"/>
        <v>132.35294117647061</v>
      </c>
      <c r="F19" s="67">
        <f t="shared" si="4"/>
        <v>7</v>
      </c>
      <c r="G19" s="24">
        <f t="shared" si="5"/>
        <v>41.564353833049331</v>
      </c>
      <c r="H19" s="24">
        <f t="shared" si="6"/>
        <v>290.95047683134533</v>
      </c>
      <c r="I19" s="61" t="str">
        <f t="shared" si="7"/>
        <v>concentrate (Iso E Super)</v>
      </c>
    </row>
    <row r="20" spans="1:9" ht="18" x14ac:dyDescent="0.35">
      <c r="A20" s="66">
        <v>70</v>
      </c>
      <c r="B20" s="24">
        <f t="shared" si="0"/>
        <v>16.66</v>
      </c>
      <c r="C20" s="24">
        <f t="shared" si="1"/>
        <v>42.839999999999996</v>
      </c>
      <c r="D20" s="76">
        <f t="shared" si="2"/>
        <v>5.6864851203639342</v>
      </c>
      <c r="E20" s="76">
        <f t="shared" si="3"/>
        <v>94.537815126050432</v>
      </c>
      <c r="F20" s="67">
        <f t="shared" si="4"/>
        <v>5</v>
      </c>
      <c r="G20" s="24">
        <f t="shared" si="5"/>
        <v>58.190095366269063</v>
      </c>
      <c r="H20" s="24">
        <f t="shared" si="6"/>
        <v>290.95047683134533</v>
      </c>
      <c r="I20" s="61" t="str">
        <f t="shared" si="7"/>
        <v>concentrate (Iso E Super)</v>
      </c>
    </row>
    <row r="21" spans="1:9" ht="18" x14ac:dyDescent="0.35">
      <c r="A21" s="66">
        <v>100</v>
      </c>
      <c r="B21" s="24">
        <f t="shared" si="0"/>
        <v>23.8</v>
      </c>
      <c r="C21" s="24">
        <f t="shared" si="1"/>
        <v>61.199999999999996</v>
      </c>
      <c r="D21" s="76">
        <f t="shared" si="2"/>
        <v>3.9805395842547542</v>
      </c>
      <c r="E21" s="76">
        <f t="shared" si="3"/>
        <v>66.176470588235304</v>
      </c>
      <c r="F21" s="67">
        <f t="shared" si="4"/>
        <v>3</v>
      </c>
      <c r="G21" s="24">
        <f t="shared" si="5"/>
        <v>83.128707666098663</v>
      </c>
      <c r="H21" s="24">
        <f t="shared" si="6"/>
        <v>249.386122998296</v>
      </c>
      <c r="I21" s="61" t="str">
        <f t="shared" si="7"/>
        <v>concentrate (Iso E Super)</v>
      </c>
    </row>
    <row r="22" spans="1:9" x14ac:dyDescent="0.35">
      <c r="A22" s="94" t="str">
        <f>"To make more, buy more "&amp;YC_LimitMat&amp;" — it runs out first. See the material-by-material table below for the next bottlenecks."</f>
        <v>To make more, buy more Iso E Super — it runs out first. See the material-by-material table below for the next bottlenecks.</v>
      </c>
      <c r="B22" s="89"/>
      <c r="C22" s="89"/>
      <c r="D22" s="89"/>
      <c r="E22" s="89"/>
      <c r="F22" s="89"/>
      <c r="G22" s="89"/>
      <c r="H22" s="89"/>
      <c r="I22" s="89"/>
    </row>
    <row r="23" spans="1:9" x14ac:dyDescent="0.35">
      <c r="A23" s="1"/>
      <c r="B23" s="1"/>
      <c r="C23" s="1"/>
      <c r="D23" s="1"/>
      <c r="E23" s="1"/>
      <c r="F23" s="1"/>
      <c r="G23" s="1"/>
      <c r="H23" s="1"/>
      <c r="I23" s="1"/>
    </row>
    <row r="24" spans="1:9" ht="18" customHeight="1" x14ac:dyDescent="0.35">
      <c r="A24" s="92" t="s">
        <v>348</v>
      </c>
      <c r="B24" s="93"/>
      <c r="C24" s="93"/>
      <c r="D24" s="93"/>
      <c r="E24" s="93"/>
      <c r="F24" s="93"/>
      <c r="G24" s="93"/>
      <c r="H24" s="93"/>
      <c r="I24" s="93"/>
    </row>
    <row r="25" spans="1:9" x14ac:dyDescent="0.35">
      <c r="A25" s="1"/>
      <c r="B25" s="1"/>
      <c r="C25" s="1"/>
      <c r="D25" s="1"/>
      <c r="E25" s="1"/>
      <c r="F25" s="1"/>
      <c r="G25" s="1"/>
      <c r="H25" s="1"/>
      <c r="I25" s="1"/>
    </row>
    <row r="26" spans="1:9" ht="24" customHeight="1" x14ac:dyDescent="0.35">
      <c r="A26" s="17" t="s">
        <v>53</v>
      </c>
      <c r="B26" s="17" t="s">
        <v>52</v>
      </c>
      <c r="C26" s="17" t="s">
        <v>57</v>
      </c>
      <c r="D26" s="17" t="s">
        <v>349</v>
      </c>
      <c r="E26" s="17" t="s">
        <v>350</v>
      </c>
      <c r="F26" s="17" t="s">
        <v>351</v>
      </c>
      <c r="G26" s="17" t="s">
        <v>352</v>
      </c>
      <c r="H26" s="17" t="s">
        <v>353</v>
      </c>
      <c r="I26" s="17" t="s">
        <v>354</v>
      </c>
    </row>
    <row r="27" spans="1:9" x14ac:dyDescent="0.35">
      <c r="A27" s="53" t="str">
        <f>'Formula Master'!$B$7</f>
        <v>Bergamot Accord</v>
      </c>
      <c r="B27" s="61" t="str">
        <f>'Formula Master'!$A$7</f>
        <v>TOP</v>
      </c>
      <c r="C27" s="71">
        <f>'Formula Master'!$F$7</f>
        <v>4.4999999999999998E-2</v>
      </c>
      <c r="D27" s="24">
        <f t="shared" ref="D27:D51" si="8">IF(YC_Basis="On hand",INDEX(Inv_OnHand,MATCH($A27,Inv_Mat,0)),INDEX(Inv_GramsBought,MATCH($A27,Inv_Mat,0)))</f>
        <v>9</v>
      </c>
      <c r="E27" s="72">
        <f>C27*IF('Formula Master'!$D$7="D10",0.1,1)</f>
        <v>4.4999999999999998E-2</v>
      </c>
      <c r="F27" s="57">
        <f t="shared" ref="F27:F52" si="9">IF(E27&lt;=0,"",MAX(D27,0)/E27)</f>
        <v>200</v>
      </c>
      <c r="G27" s="79">
        <f t="shared" ref="G27:G52" si="10">IF(F27="","",FLOOR(F27/(50*YC_Density*YC_ConcPct),1))</f>
        <v>16</v>
      </c>
      <c r="H27" s="69">
        <f t="shared" ref="H27:H52" si="11">YC_MatBottleMl</f>
        <v>50</v>
      </c>
      <c r="I27" s="63">
        <f t="shared" ref="I27:I52" si="12">IF(F27="","",FLOOR(F27/(YC_MatBottleMl*YC_Density*YC_ConcPct),1))</f>
        <v>16</v>
      </c>
    </row>
    <row r="28" spans="1:9" x14ac:dyDescent="0.35">
      <c r="A28" s="53" t="str">
        <f>'Formula Master'!$B$8</f>
        <v>Pink Peppercorn</v>
      </c>
      <c r="B28" s="61" t="str">
        <f>'Formula Master'!$A$8</f>
        <v>TOP</v>
      </c>
      <c r="C28" s="71">
        <f>'Formula Master'!$F$8</f>
        <v>0.01</v>
      </c>
      <c r="D28" s="24">
        <f t="shared" si="8"/>
        <v>9</v>
      </c>
      <c r="E28" s="72">
        <f>C28*IF('Formula Master'!$D$8="D10",0.1,1)</f>
        <v>1E-3</v>
      </c>
      <c r="F28" s="57">
        <f t="shared" si="9"/>
        <v>9000</v>
      </c>
      <c r="G28" s="79">
        <f t="shared" si="10"/>
        <v>756</v>
      </c>
      <c r="H28" s="69">
        <f t="shared" si="11"/>
        <v>50</v>
      </c>
      <c r="I28" s="63">
        <f t="shared" si="12"/>
        <v>756</v>
      </c>
    </row>
    <row r="29" spans="1:9" x14ac:dyDescent="0.35">
      <c r="A29" s="53" t="str">
        <f>'Formula Master'!$B$9</f>
        <v>Aldehyde C-14 Peach</v>
      </c>
      <c r="B29" s="61" t="str">
        <f>'Formula Master'!$A$9</f>
        <v>TOP</v>
      </c>
      <c r="C29" s="71">
        <f>'Formula Master'!$F$9</f>
        <v>0.02</v>
      </c>
      <c r="D29" s="24">
        <f t="shared" si="8"/>
        <v>9</v>
      </c>
      <c r="E29" s="72">
        <f>C29*IF('Formula Master'!$D$9="D10",0.1,1)</f>
        <v>0.02</v>
      </c>
      <c r="F29" s="57">
        <f t="shared" si="9"/>
        <v>450</v>
      </c>
      <c r="G29" s="79">
        <f t="shared" si="10"/>
        <v>37</v>
      </c>
      <c r="H29" s="69">
        <f t="shared" si="11"/>
        <v>50</v>
      </c>
      <c r="I29" s="63">
        <f t="shared" si="12"/>
        <v>37</v>
      </c>
    </row>
    <row r="30" spans="1:9" x14ac:dyDescent="0.35">
      <c r="A30" s="53" t="str">
        <f>'Formula Master'!$B$10</f>
        <v>Raspberry Accord</v>
      </c>
      <c r="B30" s="61" t="str">
        <f>'Formula Master'!$A$10</f>
        <v>TOP</v>
      </c>
      <c r="C30" s="71">
        <f>'Formula Master'!$F$10</f>
        <v>0.01</v>
      </c>
      <c r="D30" s="24">
        <f t="shared" si="8"/>
        <v>9</v>
      </c>
      <c r="E30" s="72">
        <f>C30*IF('Formula Master'!$D$10="D10",0.1,1)</f>
        <v>0.01</v>
      </c>
      <c r="F30" s="57">
        <f t="shared" si="9"/>
        <v>900</v>
      </c>
      <c r="G30" s="79">
        <f t="shared" si="10"/>
        <v>75</v>
      </c>
      <c r="H30" s="69">
        <f t="shared" si="11"/>
        <v>50</v>
      </c>
      <c r="I30" s="63">
        <f t="shared" si="12"/>
        <v>75</v>
      </c>
    </row>
    <row r="31" spans="1:9" x14ac:dyDescent="0.35">
      <c r="A31" s="53" t="str">
        <f>'Formula Master'!$B$11</f>
        <v>Hedione (Firmenich)</v>
      </c>
      <c r="B31" s="61" t="str">
        <f>'Formula Master'!$A$11</f>
        <v>HEART</v>
      </c>
      <c r="C31" s="71">
        <f>'Formula Master'!$F$11</f>
        <v>0.14699999999999999</v>
      </c>
      <c r="D31" s="24">
        <f t="shared" si="8"/>
        <v>27</v>
      </c>
      <c r="E31" s="72">
        <f>C31*IF('Formula Master'!$D$11="D10",0.1,1)</f>
        <v>0.14699999999999999</v>
      </c>
      <c r="F31" s="57">
        <f t="shared" si="9"/>
        <v>183.67346938775512</v>
      </c>
      <c r="G31" s="79">
        <f t="shared" si="10"/>
        <v>15</v>
      </c>
      <c r="H31" s="69">
        <f t="shared" si="11"/>
        <v>50</v>
      </c>
      <c r="I31" s="63">
        <f t="shared" si="12"/>
        <v>15</v>
      </c>
    </row>
    <row r="32" spans="1:9" x14ac:dyDescent="0.35">
      <c r="A32" s="53" t="str">
        <f>'Formula Master'!$B$12</f>
        <v>Jasmin Absolute Accord</v>
      </c>
      <c r="B32" s="61" t="str">
        <f>'Formula Master'!$A$12</f>
        <v>HEART</v>
      </c>
      <c r="C32" s="71">
        <f>'Formula Master'!$F$12</f>
        <v>0.03</v>
      </c>
      <c r="D32" s="24">
        <f t="shared" si="8"/>
        <v>9</v>
      </c>
      <c r="E32" s="72">
        <f>C32*IF('Formula Master'!$D$12="D10",0.1,1)</f>
        <v>0.03</v>
      </c>
      <c r="F32" s="57">
        <f t="shared" si="9"/>
        <v>300</v>
      </c>
      <c r="G32" s="79">
        <f t="shared" si="10"/>
        <v>25</v>
      </c>
      <c r="H32" s="69">
        <f t="shared" si="11"/>
        <v>50</v>
      </c>
      <c r="I32" s="63">
        <f t="shared" si="12"/>
        <v>25</v>
      </c>
    </row>
    <row r="33" spans="1:9" x14ac:dyDescent="0.35">
      <c r="A33" s="53" t="str">
        <f>'Formula Master'!$B$13</f>
        <v>Tuberose Accord</v>
      </c>
      <c r="B33" s="61" t="str">
        <f>'Formula Master'!$A$13</f>
        <v>HEART</v>
      </c>
      <c r="C33" s="71">
        <f>'Formula Master'!$F$13</f>
        <v>1.4999999999999999E-2</v>
      </c>
      <c r="D33" s="24">
        <f t="shared" si="8"/>
        <v>9</v>
      </c>
      <c r="E33" s="72">
        <f>C33*IF('Formula Master'!$D$13="D10",0.1,1)</f>
        <v>1.4999999999999999E-2</v>
      </c>
      <c r="F33" s="57">
        <f t="shared" si="9"/>
        <v>600</v>
      </c>
      <c r="G33" s="79">
        <f t="shared" si="10"/>
        <v>50</v>
      </c>
      <c r="H33" s="69">
        <f t="shared" si="11"/>
        <v>50</v>
      </c>
      <c r="I33" s="63">
        <f t="shared" si="12"/>
        <v>50</v>
      </c>
    </row>
    <row r="34" spans="1:9" x14ac:dyDescent="0.35">
      <c r="A34" s="53" t="str">
        <f>'Formula Master'!$B$14</f>
        <v>Methyl Alpha Ionone Iso</v>
      </c>
      <c r="B34" s="61" t="str">
        <f>'Formula Master'!$A$14</f>
        <v>HEART</v>
      </c>
      <c r="C34" s="71">
        <f>'Formula Master'!$F$14</f>
        <v>0.04</v>
      </c>
      <c r="D34" s="24">
        <f t="shared" si="8"/>
        <v>9</v>
      </c>
      <c r="E34" s="72">
        <f>C34*IF('Formula Master'!$D$14="D10",0.1,1)</f>
        <v>0.04</v>
      </c>
      <c r="F34" s="57">
        <f t="shared" si="9"/>
        <v>225</v>
      </c>
      <c r="G34" s="79">
        <f t="shared" si="10"/>
        <v>18</v>
      </c>
      <c r="H34" s="69">
        <f t="shared" si="11"/>
        <v>50</v>
      </c>
      <c r="I34" s="63">
        <f t="shared" si="12"/>
        <v>18</v>
      </c>
    </row>
    <row r="35" spans="1:9" x14ac:dyDescent="0.35">
      <c r="A35" s="53" t="str">
        <f>'Formula Master'!$B$15</f>
        <v>Benzyl Salicylate</v>
      </c>
      <c r="B35" s="61" t="str">
        <f>'Formula Master'!$A$15</f>
        <v>HEART</v>
      </c>
      <c r="C35" s="71">
        <f>'Formula Master'!$F$15</f>
        <v>7.0000000000000007E-2</v>
      </c>
      <c r="D35" s="24">
        <f t="shared" si="8"/>
        <v>9</v>
      </c>
      <c r="E35" s="72">
        <f>C35*IF('Formula Master'!$D$15="D10",0.1,1)</f>
        <v>7.0000000000000007E-2</v>
      </c>
      <c r="F35" s="57">
        <f t="shared" si="9"/>
        <v>128.57142857142856</v>
      </c>
      <c r="G35" s="79">
        <f t="shared" si="10"/>
        <v>10</v>
      </c>
      <c r="H35" s="69">
        <f t="shared" si="11"/>
        <v>50</v>
      </c>
      <c r="I35" s="63">
        <f t="shared" si="12"/>
        <v>10</v>
      </c>
    </row>
    <row r="36" spans="1:9" x14ac:dyDescent="0.35">
      <c r="A36" s="53" t="str">
        <f>'Formula Master'!$B$16</f>
        <v>Linalool</v>
      </c>
      <c r="B36" s="61" t="str">
        <f>'Formula Master'!$A$16</f>
        <v>HEART</v>
      </c>
      <c r="C36" s="71">
        <f>'Formula Master'!$F$16</f>
        <v>1.4999999999999999E-2</v>
      </c>
      <c r="D36" s="24">
        <f t="shared" si="8"/>
        <v>9</v>
      </c>
      <c r="E36" s="72">
        <f>C36*IF('Formula Master'!$D$16="D10",0.1,1)</f>
        <v>1.4999999999999999E-2</v>
      </c>
      <c r="F36" s="57">
        <f t="shared" si="9"/>
        <v>600</v>
      </c>
      <c r="G36" s="79">
        <f t="shared" si="10"/>
        <v>50</v>
      </c>
      <c r="H36" s="69">
        <f t="shared" si="11"/>
        <v>50</v>
      </c>
      <c r="I36" s="63">
        <f t="shared" si="12"/>
        <v>50</v>
      </c>
    </row>
    <row r="37" spans="1:9" x14ac:dyDescent="0.35">
      <c r="A37" s="53" t="str">
        <f>'Formula Master'!$B$17</f>
        <v>Damascone Beta</v>
      </c>
      <c r="B37" s="61" t="str">
        <f>'Formula Master'!$A$17</f>
        <v>HEART</v>
      </c>
      <c r="C37" s="71">
        <f>'Formula Master'!$F$17</f>
        <v>3.0000000000000001E-3</v>
      </c>
      <c r="D37" s="24">
        <f t="shared" si="8"/>
        <v>9</v>
      </c>
      <c r="E37" s="72">
        <f>C37*IF('Formula Master'!$D$17="D10",0.1,1)</f>
        <v>3.0000000000000003E-4</v>
      </c>
      <c r="F37" s="57">
        <f t="shared" si="9"/>
        <v>29999.999999999996</v>
      </c>
      <c r="G37" s="79">
        <f t="shared" si="10"/>
        <v>2521</v>
      </c>
      <c r="H37" s="69">
        <f t="shared" si="11"/>
        <v>50</v>
      </c>
      <c r="I37" s="63">
        <f t="shared" si="12"/>
        <v>2521</v>
      </c>
    </row>
    <row r="38" spans="1:9" x14ac:dyDescent="0.35">
      <c r="A38" s="53" t="str">
        <f>'Formula Master'!$B$18</f>
        <v>Vanillin Crystals</v>
      </c>
      <c r="B38" s="61" t="str">
        <f>'Formula Master'!$A$18</f>
        <v>BASE</v>
      </c>
      <c r="C38" s="71">
        <f>'Formula Master'!$F$18</f>
        <v>6.5000000000000002E-2</v>
      </c>
      <c r="D38" s="24">
        <f t="shared" si="8"/>
        <v>10</v>
      </c>
      <c r="E38" s="72">
        <f>C38*IF('Formula Master'!$D$18="D10",0.1,1)</f>
        <v>6.5000000000000002E-2</v>
      </c>
      <c r="F38" s="57">
        <f t="shared" si="9"/>
        <v>153.84615384615384</v>
      </c>
      <c r="G38" s="79">
        <f t="shared" si="10"/>
        <v>12</v>
      </c>
      <c r="H38" s="69">
        <f t="shared" si="11"/>
        <v>50</v>
      </c>
      <c r="I38" s="63">
        <f t="shared" si="12"/>
        <v>12</v>
      </c>
    </row>
    <row r="39" spans="1:9" x14ac:dyDescent="0.35">
      <c r="A39" s="53" t="str">
        <f>'Formula Master'!$B$19</f>
        <v>Ethyl Vanillin</v>
      </c>
      <c r="B39" s="61" t="str">
        <f>'Formula Master'!$A$19</f>
        <v>BASE</v>
      </c>
      <c r="C39" s="71">
        <f>'Formula Master'!$F$19</f>
        <v>2.5000000000000001E-2</v>
      </c>
      <c r="D39" s="24">
        <f t="shared" si="8"/>
        <v>10</v>
      </c>
      <c r="E39" s="72">
        <f>C39*IF('Formula Master'!$D$19="D10",0.1,1)</f>
        <v>2.5000000000000001E-2</v>
      </c>
      <c r="F39" s="57">
        <f t="shared" si="9"/>
        <v>400</v>
      </c>
      <c r="G39" s="79">
        <f t="shared" si="10"/>
        <v>33</v>
      </c>
      <c r="H39" s="69">
        <f t="shared" si="11"/>
        <v>50</v>
      </c>
      <c r="I39" s="63">
        <f t="shared" si="12"/>
        <v>33</v>
      </c>
    </row>
    <row r="40" spans="1:9" x14ac:dyDescent="0.35">
      <c r="A40" s="53" t="str">
        <f>'Formula Master'!$B$20</f>
        <v>Maltol (Crystals)</v>
      </c>
      <c r="B40" s="61" t="str">
        <f>'Formula Master'!$A$20</f>
        <v>BASE</v>
      </c>
      <c r="C40" s="71">
        <f>'Formula Master'!$F$20</f>
        <v>0.02</v>
      </c>
      <c r="D40" s="24">
        <f t="shared" si="8"/>
        <v>10</v>
      </c>
      <c r="E40" s="72">
        <f>C40*IF('Formula Master'!$D$20="D10",0.1,1)</f>
        <v>2E-3</v>
      </c>
      <c r="F40" s="57">
        <f t="shared" si="9"/>
        <v>5000</v>
      </c>
      <c r="G40" s="79">
        <f t="shared" si="10"/>
        <v>420</v>
      </c>
      <c r="H40" s="69">
        <f t="shared" si="11"/>
        <v>50</v>
      </c>
      <c r="I40" s="63">
        <f t="shared" si="12"/>
        <v>420</v>
      </c>
    </row>
    <row r="41" spans="1:9" x14ac:dyDescent="0.35">
      <c r="A41" s="53" t="str">
        <f>'Formula Master'!$B$21</f>
        <v>Coumarin</v>
      </c>
      <c r="B41" s="61" t="str">
        <f>'Formula Master'!$A$21</f>
        <v>BASE</v>
      </c>
      <c r="C41" s="71">
        <f>'Formula Master'!$F$21</f>
        <v>0.05</v>
      </c>
      <c r="D41" s="24">
        <f t="shared" si="8"/>
        <v>500</v>
      </c>
      <c r="E41" s="72">
        <f>C41*IF('Formula Master'!$D$21="D10",0.1,1)</f>
        <v>0.05</v>
      </c>
      <c r="F41" s="57">
        <f t="shared" si="9"/>
        <v>10000</v>
      </c>
      <c r="G41" s="79">
        <f t="shared" si="10"/>
        <v>840</v>
      </c>
      <c r="H41" s="69">
        <f t="shared" si="11"/>
        <v>50</v>
      </c>
      <c r="I41" s="63">
        <f t="shared" si="12"/>
        <v>840</v>
      </c>
    </row>
    <row r="42" spans="1:9" x14ac:dyDescent="0.35">
      <c r="A42" s="53" t="str">
        <f>'Formula Master'!$B$22</f>
        <v>Heliotrope Accord</v>
      </c>
      <c r="B42" s="61" t="str">
        <f>'Formula Master'!$A$22</f>
        <v>BASE</v>
      </c>
      <c r="C42" s="71">
        <f>'Formula Master'!$F$22</f>
        <v>2.5000000000000001E-2</v>
      </c>
      <c r="D42" s="24">
        <f t="shared" si="8"/>
        <v>9</v>
      </c>
      <c r="E42" s="72">
        <f>C42*IF('Formula Master'!$D$22="D10",0.1,1)</f>
        <v>2.5000000000000001E-2</v>
      </c>
      <c r="F42" s="57">
        <f t="shared" si="9"/>
        <v>360</v>
      </c>
      <c r="G42" s="79">
        <f t="shared" si="10"/>
        <v>30</v>
      </c>
      <c r="H42" s="69">
        <f t="shared" si="11"/>
        <v>50</v>
      </c>
      <c r="I42" s="63">
        <f t="shared" si="12"/>
        <v>30</v>
      </c>
    </row>
    <row r="43" spans="1:9" x14ac:dyDescent="0.35">
      <c r="A43" s="53" t="str">
        <f>'Formula Master'!$B$23</f>
        <v>Aldehyde C-18 Coconut</v>
      </c>
      <c r="B43" s="61" t="str">
        <f>'Formula Master'!$A$23</f>
        <v>BASE</v>
      </c>
      <c r="C43" s="71">
        <f>'Formula Master'!$F$23</f>
        <v>1.4999999999999999E-2</v>
      </c>
      <c r="D43" s="24">
        <f t="shared" si="8"/>
        <v>9</v>
      </c>
      <c r="E43" s="72">
        <f>C43*IF('Formula Master'!$D$23="D10",0.1,1)</f>
        <v>1.5E-3</v>
      </c>
      <c r="F43" s="57">
        <f t="shared" si="9"/>
        <v>6000</v>
      </c>
      <c r="G43" s="79">
        <f t="shared" si="10"/>
        <v>504</v>
      </c>
      <c r="H43" s="69">
        <f t="shared" si="11"/>
        <v>50</v>
      </c>
      <c r="I43" s="63">
        <f t="shared" si="12"/>
        <v>504</v>
      </c>
    </row>
    <row r="44" spans="1:9" x14ac:dyDescent="0.35">
      <c r="A44" s="53" t="str">
        <f>'Formula Master'!$B$24</f>
        <v>Ambroxan</v>
      </c>
      <c r="B44" s="61" t="str">
        <f>'Formula Master'!$A$24</f>
        <v>BASE</v>
      </c>
      <c r="C44" s="71">
        <f>'Formula Master'!$F$24</f>
        <v>7.4999999999999997E-2</v>
      </c>
      <c r="D44" s="24">
        <f t="shared" si="8"/>
        <v>10</v>
      </c>
      <c r="E44" s="72">
        <f>C44*IF('Formula Master'!$D$24="D10",0.1,1)</f>
        <v>7.4999999999999997E-2</v>
      </c>
      <c r="F44" s="57">
        <f t="shared" si="9"/>
        <v>133.33333333333334</v>
      </c>
      <c r="G44" s="79">
        <f t="shared" si="10"/>
        <v>11</v>
      </c>
      <c r="H44" s="69">
        <f t="shared" si="11"/>
        <v>50</v>
      </c>
      <c r="I44" s="63">
        <f t="shared" si="12"/>
        <v>11</v>
      </c>
    </row>
    <row r="45" spans="1:9" x14ac:dyDescent="0.35">
      <c r="A45" s="53" t="str">
        <f>'Formula Master'!$B$25</f>
        <v>Iso E Super</v>
      </c>
      <c r="B45" s="61" t="str">
        <f>'Formula Master'!$A$25</f>
        <v>BASE</v>
      </c>
      <c r="C45" s="71">
        <f>'Formula Master'!$F$25</f>
        <v>9.5000000000000001E-2</v>
      </c>
      <c r="D45" s="24">
        <f t="shared" si="8"/>
        <v>9</v>
      </c>
      <c r="E45" s="72">
        <f>C45*IF('Formula Master'!$D$25="D10",0.1,1)</f>
        <v>9.5000000000000001E-2</v>
      </c>
      <c r="F45" s="57">
        <f t="shared" si="9"/>
        <v>94.73684210526315</v>
      </c>
      <c r="G45" s="79">
        <f t="shared" si="10"/>
        <v>7</v>
      </c>
      <c r="H45" s="69">
        <f t="shared" si="11"/>
        <v>50</v>
      </c>
      <c r="I45" s="63">
        <f t="shared" si="12"/>
        <v>7</v>
      </c>
    </row>
    <row r="46" spans="1:9" x14ac:dyDescent="0.35">
      <c r="A46" s="53" t="str">
        <f>'Formula Master'!$B$26</f>
        <v>Cashmeran IFF</v>
      </c>
      <c r="B46" s="61" t="str">
        <f>'Formula Master'!$A$26</f>
        <v>BASE</v>
      </c>
      <c r="C46" s="71">
        <f>'Formula Master'!$F$26</f>
        <v>0.03</v>
      </c>
      <c r="D46" s="24">
        <f t="shared" si="8"/>
        <v>9</v>
      </c>
      <c r="E46" s="72">
        <f>C46*IF('Formula Master'!$D$26="D10",0.1,1)</f>
        <v>0.03</v>
      </c>
      <c r="F46" s="57">
        <f t="shared" si="9"/>
        <v>300</v>
      </c>
      <c r="G46" s="79">
        <f t="shared" si="10"/>
        <v>25</v>
      </c>
      <c r="H46" s="69">
        <f t="shared" si="11"/>
        <v>50</v>
      </c>
      <c r="I46" s="63">
        <f t="shared" si="12"/>
        <v>25</v>
      </c>
    </row>
    <row r="47" spans="1:9" x14ac:dyDescent="0.35">
      <c r="A47" s="53" t="str">
        <f>'Formula Master'!$B$27</f>
        <v>Sandalore (Givaudan)</v>
      </c>
      <c r="B47" s="61" t="str">
        <f>'Formula Master'!$A$27</f>
        <v>BASE</v>
      </c>
      <c r="C47" s="71">
        <f>'Formula Master'!$F$27</f>
        <v>3.5000000000000003E-2</v>
      </c>
      <c r="D47" s="24">
        <f t="shared" si="8"/>
        <v>9</v>
      </c>
      <c r="E47" s="72">
        <f>C47*IF('Formula Master'!$D$27="D10",0.1,1)</f>
        <v>3.5000000000000003E-2</v>
      </c>
      <c r="F47" s="57">
        <f t="shared" si="9"/>
        <v>257.14285714285711</v>
      </c>
      <c r="G47" s="79">
        <f t="shared" si="10"/>
        <v>21</v>
      </c>
      <c r="H47" s="69">
        <f t="shared" si="11"/>
        <v>50</v>
      </c>
      <c r="I47" s="63">
        <f t="shared" si="12"/>
        <v>21</v>
      </c>
    </row>
    <row r="48" spans="1:9" x14ac:dyDescent="0.35">
      <c r="A48" s="53" t="str">
        <f>'Formula Master'!$B$28</f>
        <v>Ethylene Brassylate</v>
      </c>
      <c r="B48" s="61" t="str">
        <f>'Formula Master'!$A$28</f>
        <v>BASE</v>
      </c>
      <c r="C48" s="71">
        <f>'Formula Master'!$F$28</f>
        <v>7.4999999999999997E-2</v>
      </c>
      <c r="D48" s="24">
        <f t="shared" si="8"/>
        <v>9</v>
      </c>
      <c r="E48" s="72">
        <f>C48*IF('Formula Master'!$D$28="D10",0.1,1)</f>
        <v>7.4999999999999997E-2</v>
      </c>
      <c r="F48" s="57">
        <f t="shared" si="9"/>
        <v>120</v>
      </c>
      <c r="G48" s="79">
        <f t="shared" si="10"/>
        <v>10</v>
      </c>
      <c r="H48" s="69">
        <f t="shared" si="11"/>
        <v>50</v>
      </c>
      <c r="I48" s="63">
        <f t="shared" si="12"/>
        <v>10</v>
      </c>
    </row>
    <row r="49" spans="1:9" x14ac:dyDescent="0.35">
      <c r="A49" s="53" t="str">
        <f>'Formula Master'!$B$29</f>
        <v>Galaxolide</v>
      </c>
      <c r="B49" s="61" t="str">
        <f>'Formula Master'!$A$29</f>
        <v>BASE</v>
      </c>
      <c r="C49" s="71">
        <f>'Formula Master'!$F$29</f>
        <v>5.5E-2</v>
      </c>
      <c r="D49" s="24">
        <f t="shared" si="8"/>
        <v>27</v>
      </c>
      <c r="E49" s="72">
        <f>C49*IF('Formula Master'!$D$29="D10",0.1,1)</f>
        <v>5.5E-2</v>
      </c>
      <c r="F49" s="57">
        <f t="shared" si="9"/>
        <v>490.90909090909093</v>
      </c>
      <c r="G49" s="79">
        <f t="shared" si="10"/>
        <v>41</v>
      </c>
      <c r="H49" s="69">
        <f t="shared" si="11"/>
        <v>50</v>
      </c>
      <c r="I49" s="63">
        <f t="shared" si="12"/>
        <v>41</v>
      </c>
    </row>
    <row r="50" spans="1:9" x14ac:dyDescent="0.35">
      <c r="A50" s="53" t="str">
        <f>'Formula Master'!$B$30</f>
        <v>Exaltolide Total (Firmenich)</v>
      </c>
      <c r="B50" s="61" t="str">
        <f>'Formula Master'!$A$30</f>
        <v>BASE</v>
      </c>
      <c r="C50" s="71">
        <f>'Formula Master'!$F$30</f>
        <v>2.5000000000000001E-2</v>
      </c>
      <c r="D50" s="24">
        <f t="shared" si="8"/>
        <v>9</v>
      </c>
      <c r="E50" s="72">
        <f>C50*IF('Formula Master'!$D$30="D10",0.1,1)</f>
        <v>2.5000000000000001E-2</v>
      </c>
      <c r="F50" s="57">
        <f t="shared" si="9"/>
        <v>360</v>
      </c>
      <c r="G50" s="79">
        <f t="shared" si="10"/>
        <v>30</v>
      </c>
      <c r="H50" s="69">
        <f t="shared" si="11"/>
        <v>50</v>
      </c>
      <c r="I50" s="63">
        <f t="shared" si="12"/>
        <v>30</v>
      </c>
    </row>
    <row r="51" spans="1:9" x14ac:dyDescent="0.35">
      <c r="A51" s="53" t="str">
        <f>'Formula Master'!$B$31</f>
        <v>Saffron Accord</v>
      </c>
      <c r="B51" s="61" t="str">
        <f>'Formula Master'!$A$31</f>
        <v>BASE</v>
      </c>
      <c r="C51" s="71">
        <f>'Formula Master'!$F$31</f>
        <v>5.0000000000000001E-3</v>
      </c>
      <c r="D51" s="24">
        <f t="shared" si="8"/>
        <v>9</v>
      </c>
      <c r="E51" s="72">
        <f>C51*IF('Formula Master'!$D$31="D10",0.1,1)</f>
        <v>5.0000000000000001E-3</v>
      </c>
      <c r="F51" s="57">
        <f t="shared" si="9"/>
        <v>1800</v>
      </c>
      <c r="G51" s="79">
        <f t="shared" si="10"/>
        <v>151</v>
      </c>
      <c r="H51" s="69">
        <f t="shared" si="11"/>
        <v>50</v>
      </c>
      <c r="I51" s="63">
        <f t="shared" si="12"/>
        <v>151</v>
      </c>
    </row>
    <row r="52" spans="1:9" x14ac:dyDescent="0.35">
      <c r="A52" s="54" t="s">
        <v>238</v>
      </c>
      <c r="B52" s="61" t="s">
        <v>355</v>
      </c>
      <c r="C52" s="71">
        <f>D10ActivePct</f>
        <v>4.8000000000000001E-2</v>
      </c>
      <c r="D52" s="24">
        <f>YC_DPGOnHand</f>
        <v>510</v>
      </c>
      <c r="E52" s="72">
        <f>D10ActivePct*0.9</f>
        <v>4.3200000000000002E-2</v>
      </c>
      <c r="F52" s="57">
        <f t="shared" si="9"/>
        <v>11805.555555555555</v>
      </c>
      <c r="G52" s="79">
        <f t="shared" si="10"/>
        <v>992</v>
      </c>
      <c r="H52" s="69">
        <f t="shared" si="11"/>
        <v>50</v>
      </c>
      <c r="I52" s="63">
        <f t="shared" si="12"/>
        <v>992</v>
      </c>
    </row>
  </sheetData>
  <mergeCells count="18">
    <mergeCell ref="A24:I24"/>
    <mergeCell ref="A1:I1"/>
    <mergeCell ref="D7:I7"/>
    <mergeCell ref="A9:I9"/>
    <mergeCell ref="A3:I3"/>
    <mergeCell ref="D6:I6"/>
    <mergeCell ref="G8:H8"/>
    <mergeCell ref="A6:B6"/>
    <mergeCell ref="A4:B4"/>
    <mergeCell ref="A2:I2"/>
    <mergeCell ref="A22:I22"/>
    <mergeCell ref="A7:B7"/>
    <mergeCell ref="D4:I4"/>
    <mergeCell ref="D5:I5"/>
    <mergeCell ref="A13:I13"/>
    <mergeCell ref="A14:I14"/>
    <mergeCell ref="F11:I11"/>
    <mergeCell ref="A5:B5"/>
  </mergeCells>
  <conditionalFormatting sqref="A16:I21">
    <cfRule type="expression" dxfId="2" priority="1">
      <formula>$F16=0</formula>
    </cfRule>
  </conditionalFormatting>
  <conditionalFormatting sqref="A27:I52">
    <cfRule type="expression" dxfId="1" priority="2">
      <formula>AND($F27&lt;&gt;"",$F27=$B$11)</formula>
    </cfRule>
  </conditionalFormatting>
  <dataValidations count="5">
    <dataValidation type="decimal" error="Enter a fraction between 2% and 35%, e.g. 0.28" sqref="C4" xr:uid="{00000000-0002-0000-0A00-000000000000}">
      <formula1>0.02</formula1>
      <formula2>0.35</formula2>
    </dataValidation>
    <dataValidation type="decimal" sqref="C5" xr:uid="{00000000-0002-0000-0A00-000001000000}">
      <formula1>0.5</formula1>
      <formula2>1.2</formula2>
    </dataValidation>
    <dataValidation type="decimal" sqref="C6" xr:uid="{00000000-0002-0000-0A00-000002000000}">
      <formula1>0</formula1>
      <formula2>0.3</formula2>
    </dataValidation>
    <dataValidation type="list" sqref="C7" xr:uid="{00000000-0002-0000-0A00-000003000000}">
      <formula1>"On hand,Purchased"</formula1>
    </dataValidation>
    <dataValidation type="whole" sqref="I8" xr:uid="{00000000-0002-0000-0A00-000004000000}">
      <formula1>1</formula1>
      <formula2>1000</formula2>
    </dataValidation>
  </dataValidation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4A566"/>
  </sheetPr>
  <dimension ref="A1:K53"/>
  <sheetViews>
    <sheetView showGridLines="0" workbookViewId="0">
      <pane ySplit="18" topLeftCell="A19" activePane="bottomLeft" state="frozen"/>
      <selection pane="bottomLeft"/>
    </sheetView>
  </sheetViews>
  <sheetFormatPr defaultRowHeight="14.5" x14ac:dyDescent="0.35"/>
  <cols>
    <col min="1" max="1" width="28" customWidth="1"/>
    <col min="2" max="2" width="12" customWidth="1"/>
    <col min="3" max="3" width="11" customWidth="1"/>
    <col min="4" max="5" width="13" customWidth="1"/>
    <col min="6" max="6" width="12" customWidth="1"/>
    <col min="7" max="7" width="11" customWidth="1"/>
    <col min="8" max="8" width="10" customWidth="1"/>
    <col min="9" max="9" width="12" customWidth="1"/>
    <col min="10" max="10" width="14" customWidth="1"/>
    <col min="11" max="11" width="20" customWidth="1"/>
  </cols>
  <sheetData>
    <row r="1" spans="1:11" ht="28" customHeight="1" x14ac:dyDescent="0.35">
      <c r="A1" s="108" t="s">
        <v>356</v>
      </c>
      <c r="B1" s="89"/>
      <c r="C1" s="89"/>
      <c r="D1" s="89"/>
      <c r="E1" s="89"/>
      <c r="F1" s="89"/>
      <c r="G1" s="89"/>
      <c r="H1" s="89"/>
      <c r="I1" s="89"/>
      <c r="J1" s="89"/>
      <c r="K1" s="89"/>
    </row>
    <row r="2" spans="1:11" x14ac:dyDescent="0.35">
      <c r="A2" s="105" t="s">
        <v>357</v>
      </c>
      <c r="B2" s="106"/>
      <c r="C2" s="106"/>
      <c r="D2" s="106"/>
      <c r="E2" s="106"/>
      <c r="F2" s="106"/>
      <c r="G2" s="106"/>
      <c r="H2" s="106"/>
      <c r="I2" s="106"/>
      <c r="J2" s="106"/>
      <c r="K2" s="106"/>
    </row>
    <row r="3" spans="1:11" ht="18" customHeight="1" x14ac:dyDescent="0.35">
      <c r="A3" s="92" t="s">
        <v>358</v>
      </c>
      <c r="B3" s="93"/>
      <c r="C3" s="93"/>
      <c r="D3" s="93"/>
      <c r="E3" s="93"/>
      <c r="F3" s="93"/>
      <c r="G3" s="93"/>
      <c r="H3" s="93"/>
      <c r="I3" s="93"/>
      <c r="J3" s="93"/>
      <c r="K3" s="93"/>
    </row>
    <row r="4" spans="1:11" x14ac:dyDescent="0.35">
      <c r="A4" s="104" t="s">
        <v>359</v>
      </c>
      <c r="B4" s="89"/>
      <c r="C4" s="60">
        <f>FLOOR(YC_AlcOnHand/(50*$C$6*(1-$C$5)),1)</f>
        <v>132</v>
      </c>
      <c r="D4" s="94" t="s">
        <v>360</v>
      </c>
      <c r="E4" s="89"/>
      <c r="F4" s="89"/>
      <c r="G4" s="89"/>
      <c r="H4" s="89"/>
      <c r="I4" s="89"/>
      <c r="J4" s="89"/>
      <c r="K4" s="89"/>
    </row>
    <row r="5" spans="1:11" x14ac:dyDescent="0.35">
      <c r="A5" s="104" t="s">
        <v>132</v>
      </c>
      <c r="B5" s="89"/>
      <c r="C5" s="20">
        <v>0.28000000000000003</v>
      </c>
      <c r="D5" s="94" t="s">
        <v>361</v>
      </c>
      <c r="E5" s="89"/>
      <c r="F5" s="89"/>
      <c r="G5" s="89"/>
      <c r="H5" s="89"/>
      <c r="I5" s="89"/>
      <c r="J5" s="89"/>
      <c r="K5" s="89"/>
    </row>
    <row r="6" spans="1:11" x14ac:dyDescent="0.35">
      <c r="A6" s="104" t="s">
        <v>133</v>
      </c>
      <c r="B6" s="89"/>
      <c r="C6" s="43">
        <v>0.85</v>
      </c>
      <c r="D6" s="94" t="s">
        <v>362</v>
      </c>
      <c r="E6" s="89"/>
      <c r="F6" s="89"/>
      <c r="G6" s="89"/>
      <c r="H6" s="89"/>
      <c r="I6" s="89"/>
      <c r="J6" s="89"/>
      <c r="K6" s="89"/>
    </row>
    <row r="7" spans="1:11" x14ac:dyDescent="0.35">
      <c r="A7" s="104" t="s">
        <v>326</v>
      </c>
      <c r="B7" s="89"/>
      <c r="C7" s="20">
        <v>0.05</v>
      </c>
      <c r="D7" s="94" t="s">
        <v>363</v>
      </c>
      <c r="E7" s="89"/>
      <c r="F7" s="89"/>
      <c r="G7" s="89"/>
      <c r="H7" s="89"/>
      <c r="I7" s="89"/>
      <c r="J7" s="89"/>
      <c r="K7" s="89"/>
    </row>
    <row r="8" spans="1:11" x14ac:dyDescent="0.35">
      <c r="A8" s="104" t="s">
        <v>328</v>
      </c>
      <c r="B8" s="89"/>
      <c r="C8" s="16" t="s">
        <v>329</v>
      </c>
      <c r="D8" s="94" t="s">
        <v>364</v>
      </c>
      <c r="E8" s="89"/>
      <c r="F8" s="89"/>
      <c r="G8" s="89"/>
      <c r="H8" s="89"/>
      <c r="I8" s="89"/>
      <c r="J8" s="89"/>
      <c r="K8" s="89"/>
    </row>
    <row r="9" spans="1:11" x14ac:dyDescent="0.35">
      <c r="A9" s="1"/>
      <c r="B9" s="1"/>
      <c r="C9" s="1"/>
      <c r="D9" s="1"/>
      <c r="E9" s="1"/>
      <c r="F9" s="1"/>
      <c r="G9" s="1"/>
      <c r="H9" s="1"/>
      <c r="I9" s="1"/>
      <c r="J9" s="1"/>
      <c r="K9" s="1"/>
    </row>
    <row r="10" spans="1:11" ht="18" customHeight="1" x14ac:dyDescent="0.35">
      <c r="A10" s="92" t="s">
        <v>365</v>
      </c>
      <c r="B10" s="93"/>
      <c r="C10" s="93"/>
      <c r="D10" s="93"/>
      <c r="E10" s="93"/>
      <c r="F10" s="93"/>
      <c r="G10" s="93"/>
      <c r="H10" s="93"/>
      <c r="I10" s="93"/>
      <c r="J10" s="93"/>
      <c r="K10" s="93"/>
    </row>
    <row r="11" spans="1:11" x14ac:dyDescent="0.35">
      <c r="A11" s="1"/>
      <c r="B11" s="3" t="s">
        <v>366</v>
      </c>
      <c r="C11" s="3" t="s">
        <v>367</v>
      </c>
      <c r="D11" s="3" t="s">
        <v>368</v>
      </c>
      <c r="E11" s="3" t="s">
        <v>369</v>
      </c>
      <c r="F11" s="3" t="s">
        <v>370</v>
      </c>
      <c r="G11" s="3" t="s">
        <v>371</v>
      </c>
      <c r="H11" s="3" t="s">
        <v>372</v>
      </c>
      <c r="I11" s="3" t="s">
        <v>373</v>
      </c>
      <c r="J11" s="1"/>
      <c r="K11" s="1"/>
    </row>
    <row r="12" spans="1:11" ht="28" customHeight="1" x14ac:dyDescent="0.35">
      <c r="A12" s="1"/>
      <c r="B12" s="4">
        <f>$C$4*50*$C$6*$C$5/(1-$C$7)</f>
        <v>1653.4736842105265</v>
      </c>
      <c r="C12" s="4">
        <f>$C$4*50*$C$6*(1-$C$5)</f>
        <v>4039.2</v>
      </c>
      <c r="D12" s="4">
        <f>YC_MaxConc</f>
        <v>94.73684210526315</v>
      </c>
      <c r="E12" s="5">
        <f>FLOOR(YC_UsableConc/(50*$C$6*$C$5),1)</f>
        <v>7</v>
      </c>
      <c r="F12" s="5">
        <f>FLOOR(YC_AlcOnHand/(50*$C$6*(1-$C$5)),1)</f>
        <v>132</v>
      </c>
      <c r="G12" s="5">
        <f>SUM($H$27:$H$53)</f>
        <v>92</v>
      </c>
      <c r="H12" s="80">
        <f>SUM($I$27:$I$53)</f>
        <v>3090.9499999999994</v>
      </c>
      <c r="I12" s="128" t="str">
        <f>YC_LimitMat</f>
        <v>Iso E Super</v>
      </c>
      <c r="J12" s="114"/>
      <c r="K12" s="115"/>
    </row>
    <row r="13" spans="1:11" x14ac:dyDescent="0.35">
      <c r="A13" s="1"/>
      <c r="B13" s="1"/>
      <c r="C13" s="1"/>
      <c r="D13" s="1"/>
      <c r="E13" s="1"/>
      <c r="F13" s="1"/>
      <c r="G13" s="1"/>
      <c r="H13" s="1"/>
      <c r="I13" s="1"/>
      <c r="J13" s="1"/>
      <c r="K13" s="1"/>
    </row>
    <row r="14" spans="1:11" x14ac:dyDescent="0.35">
      <c r="A14" s="99" t="str">
        <f>"Plan: "&amp;TEXT($C$4,"0")&amp;" × 50 ml at "&amp;TEXT($C$5,"0%")&amp;" needs "&amp;TEXT($B$12,"0.0")&amp;" g concentrate. Buy the red rows below first; once they are covered, alcohol becomes the ceiling."</f>
        <v>Plan: 132 × 50 ml at 28% needs 1653.5 g concentrate. Buy the red rows below first; once they are covered, alcohol becomes the ceiling.</v>
      </c>
      <c r="B14" s="89"/>
      <c r="C14" s="89"/>
      <c r="D14" s="89"/>
      <c r="E14" s="89"/>
      <c r="F14" s="89"/>
      <c r="G14" s="89"/>
      <c r="H14" s="89"/>
      <c r="I14" s="89"/>
      <c r="J14" s="89"/>
      <c r="K14" s="89"/>
    </row>
    <row r="15" spans="1:11" x14ac:dyDescent="0.35">
      <c r="A15" s="89"/>
      <c r="B15" s="89"/>
      <c r="C15" s="89"/>
      <c r="D15" s="89"/>
      <c r="E15" s="89"/>
      <c r="F15" s="89"/>
      <c r="G15" s="89"/>
      <c r="H15" s="89"/>
      <c r="I15" s="89"/>
      <c r="J15" s="89"/>
      <c r="K15" s="89"/>
    </row>
    <row r="16" spans="1:11" x14ac:dyDescent="0.35">
      <c r="A16" s="1"/>
      <c r="B16" s="1"/>
      <c r="C16" s="1"/>
      <c r="D16" s="1"/>
      <c r="E16" s="1"/>
      <c r="F16" s="1"/>
      <c r="G16" s="1"/>
      <c r="H16" s="1"/>
      <c r="I16" s="1"/>
      <c r="J16" s="1"/>
      <c r="K16" s="1"/>
    </row>
    <row r="17" spans="1:11" ht="18" customHeight="1" x14ac:dyDescent="0.35">
      <c r="A17" s="92" t="s">
        <v>374</v>
      </c>
      <c r="B17" s="93"/>
      <c r="C17" s="93"/>
      <c r="D17" s="93"/>
      <c r="E17" s="93"/>
      <c r="F17" s="93"/>
      <c r="G17" s="93"/>
      <c r="H17" s="93"/>
      <c r="I17" s="93"/>
      <c r="J17" s="93"/>
      <c r="K17" s="93"/>
    </row>
    <row r="18" spans="1:11" ht="24" customHeight="1" x14ac:dyDescent="0.35">
      <c r="A18" s="17" t="s">
        <v>53</v>
      </c>
      <c r="B18" s="17" t="s">
        <v>52</v>
      </c>
      <c r="C18" s="17" t="s">
        <v>57</v>
      </c>
      <c r="D18" s="17" t="s">
        <v>349</v>
      </c>
      <c r="E18" s="17" t="s">
        <v>375</v>
      </c>
      <c r="F18" s="17" t="s">
        <v>376</v>
      </c>
      <c r="G18" s="17" t="s">
        <v>377</v>
      </c>
      <c r="H18" s="17" t="s">
        <v>246</v>
      </c>
      <c r="I18" s="17" t="s">
        <v>378</v>
      </c>
      <c r="J18" s="17" t="s">
        <v>233</v>
      </c>
      <c r="K18" s="17" t="s">
        <v>379</v>
      </c>
    </row>
    <row r="19" spans="1:11" x14ac:dyDescent="0.35">
      <c r="A19" s="53" t="str">
        <f>'Formula Master'!$B$7</f>
        <v>Bergamot Accord</v>
      </c>
      <c r="B19" s="61" t="str">
        <f>'Formula Master'!$A$7</f>
        <v>TOP</v>
      </c>
      <c r="C19" s="71">
        <f>'Formula Master'!$F$7</f>
        <v>4.4999999999999998E-2</v>
      </c>
      <c r="D19" s="24">
        <f t="shared" ref="D19:D43" si="0">IF($C$8="On hand",INDEX(Inv_OnHand,MATCH($A19,Inv_Mat,0)),INDEX(Inv_GramsBought,MATCH($A19,Inv_Mat,0)))</f>
        <v>9</v>
      </c>
      <c r="E19" s="24">
        <f>$B$12*C19*IF('Formula Master'!$D$7="D10",0.1,1)</f>
        <v>74.406315789473695</v>
      </c>
      <c r="F19" s="57">
        <f t="shared" ref="F19:F43" si="1">MAX(E19-D19,0)</f>
        <v>65.406315789473695</v>
      </c>
      <c r="G19" s="24">
        <f>IF(INDEX(Inventory!$C$4:$C$30,MATCH($A19,Inv_Mat,0))="ml",INDEX(Inventory!$B$4:$B$30,MATCH($A19,Inv_Mat,0))*INDEX(Inventory!$E$4:$E$30,MATCH($A19,Inv_Mat,0)),INDEX(Inventory!$B$4:$B$30,MATCH($A19,Inv_Mat,0)))</f>
        <v>9</v>
      </c>
      <c r="H19" s="63">
        <f t="shared" ref="H19:H43" si="2">IF(F19=0,0,CEILING(F19/G19,1))</f>
        <v>8</v>
      </c>
      <c r="I19" s="24">
        <f>H19*INDEX(Inventory!$G$4:$G$30,MATCH($A19,Inv_Mat,0))</f>
        <v>150</v>
      </c>
      <c r="J19" s="61" t="str">
        <f t="shared" ref="J19:J43" si="3">IF(H19&gt;0,"BUY","OK")</f>
        <v>BUY</v>
      </c>
      <c r="K19" s="61" t="str">
        <f t="shared" ref="K19:K43" si="4">IF(H19&gt;0,"Increase to hit target","Enough for target")</f>
        <v>Increase to hit target</v>
      </c>
    </row>
    <row r="20" spans="1:11" x14ac:dyDescent="0.35">
      <c r="A20" s="53" t="str">
        <f>'Formula Master'!$B$8</f>
        <v>Pink Peppercorn</v>
      </c>
      <c r="B20" s="61" t="str">
        <f>'Formula Master'!$A$8</f>
        <v>TOP</v>
      </c>
      <c r="C20" s="71">
        <f>'Formula Master'!$F$8</f>
        <v>0.01</v>
      </c>
      <c r="D20" s="24">
        <f t="shared" si="0"/>
        <v>9</v>
      </c>
      <c r="E20" s="24">
        <f>$B$12*C20*IF('Formula Master'!$D$8="D10",0.1,1)</f>
        <v>1.6534736842105264</v>
      </c>
      <c r="F20" s="57">
        <f t="shared" si="1"/>
        <v>0</v>
      </c>
      <c r="G20" s="24">
        <f>IF(INDEX(Inventory!$C$4:$C$30,MATCH($A20,Inv_Mat,0))="ml",INDEX(Inventory!$B$4:$B$30,MATCH($A20,Inv_Mat,0))*INDEX(Inventory!$E$4:$E$30,MATCH($A20,Inv_Mat,0)),INDEX(Inventory!$B$4:$B$30,MATCH($A20,Inv_Mat,0)))</f>
        <v>9</v>
      </c>
      <c r="H20" s="63">
        <f t="shared" si="2"/>
        <v>0</v>
      </c>
      <c r="I20" s="24">
        <f>H20*INDEX(Inventory!$G$4:$G$30,MATCH($A20,Inv_Mat,0))</f>
        <v>0</v>
      </c>
      <c r="J20" s="61" t="str">
        <f t="shared" si="3"/>
        <v>OK</v>
      </c>
      <c r="K20" s="61" t="str">
        <f t="shared" si="4"/>
        <v>Enough for target</v>
      </c>
    </row>
    <row r="21" spans="1:11" x14ac:dyDescent="0.35">
      <c r="A21" s="53" t="str">
        <f>'Formula Master'!$B$9</f>
        <v>Aldehyde C-14 Peach</v>
      </c>
      <c r="B21" s="61" t="str">
        <f>'Formula Master'!$A$9</f>
        <v>TOP</v>
      </c>
      <c r="C21" s="71">
        <f>'Formula Master'!$F$9</f>
        <v>0.02</v>
      </c>
      <c r="D21" s="24">
        <f t="shared" si="0"/>
        <v>9</v>
      </c>
      <c r="E21" s="24">
        <f>$B$12*C21*IF('Formula Master'!$D$9="D10",0.1,1)</f>
        <v>33.069473684210529</v>
      </c>
      <c r="F21" s="57">
        <f t="shared" si="1"/>
        <v>24.069473684210529</v>
      </c>
      <c r="G21" s="24">
        <f>IF(INDEX(Inventory!$C$4:$C$30,MATCH($A21,Inv_Mat,0))="ml",INDEX(Inventory!$B$4:$B$30,MATCH($A21,Inv_Mat,0))*INDEX(Inventory!$E$4:$E$30,MATCH($A21,Inv_Mat,0)),INDEX(Inventory!$B$4:$B$30,MATCH($A21,Inv_Mat,0)))</f>
        <v>9</v>
      </c>
      <c r="H21" s="63">
        <f t="shared" si="2"/>
        <v>3</v>
      </c>
      <c r="I21" s="24">
        <f>H21*INDEX(Inventory!$G$4:$G$30,MATCH($A21,Inv_Mat,0))</f>
        <v>50.22</v>
      </c>
      <c r="J21" s="61" t="str">
        <f t="shared" si="3"/>
        <v>BUY</v>
      </c>
      <c r="K21" s="61" t="str">
        <f t="shared" si="4"/>
        <v>Increase to hit target</v>
      </c>
    </row>
    <row r="22" spans="1:11" x14ac:dyDescent="0.35">
      <c r="A22" s="53" t="str">
        <f>'Formula Master'!$B$10</f>
        <v>Raspberry Accord</v>
      </c>
      <c r="B22" s="61" t="str">
        <f>'Formula Master'!$A$10</f>
        <v>TOP</v>
      </c>
      <c r="C22" s="71">
        <f>'Formula Master'!$F$10</f>
        <v>0.01</v>
      </c>
      <c r="D22" s="24">
        <f t="shared" si="0"/>
        <v>9</v>
      </c>
      <c r="E22" s="24">
        <f>$B$12*C22*IF('Formula Master'!$D$10="D10",0.1,1)</f>
        <v>16.534736842105264</v>
      </c>
      <c r="F22" s="57">
        <f t="shared" si="1"/>
        <v>7.5347368421052643</v>
      </c>
      <c r="G22" s="24">
        <f>IF(INDEX(Inventory!$C$4:$C$30,MATCH($A22,Inv_Mat,0))="ml",INDEX(Inventory!$B$4:$B$30,MATCH($A22,Inv_Mat,0))*INDEX(Inventory!$E$4:$E$30,MATCH($A22,Inv_Mat,0)),INDEX(Inventory!$B$4:$B$30,MATCH($A22,Inv_Mat,0)))</f>
        <v>9</v>
      </c>
      <c r="H22" s="63">
        <f t="shared" si="2"/>
        <v>1</v>
      </c>
      <c r="I22" s="24">
        <f>H22*INDEX(Inventory!$G$4:$G$30,MATCH($A22,Inv_Mat,0))</f>
        <v>22.5</v>
      </c>
      <c r="J22" s="61" t="str">
        <f t="shared" si="3"/>
        <v>BUY</v>
      </c>
      <c r="K22" s="61" t="str">
        <f t="shared" si="4"/>
        <v>Increase to hit target</v>
      </c>
    </row>
    <row r="23" spans="1:11" x14ac:dyDescent="0.35">
      <c r="A23" s="53" t="str">
        <f>'Formula Master'!$B$11</f>
        <v>Hedione (Firmenich)</v>
      </c>
      <c r="B23" s="61" t="str">
        <f>'Formula Master'!$A$11</f>
        <v>HEART</v>
      </c>
      <c r="C23" s="71">
        <f>'Formula Master'!$F$11</f>
        <v>0.14699999999999999</v>
      </c>
      <c r="D23" s="24">
        <f t="shared" si="0"/>
        <v>27</v>
      </c>
      <c r="E23" s="24">
        <f>$B$12*C23*IF('Formula Master'!$D$11="D10",0.1,1)</f>
        <v>243.06063157894738</v>
      </c>
      <c r="F23" s="57">
        <f t="shared" si="1"/>
        <v>216.06063157894738</v>
      </c>
      <c r="G23" s="24">
        <f>IF(INDEX(Inventory!$C$4:$C$30,MATCH($A23,Inv_Mat,0))="ml",INDEX(Inventory!$B$4:$B$30,MATCH($A23,Inv_Mat,0))*INDEX(Inventory!$E$4:$E$30,MATCH($A23,Inv_Mat,0)),INDEX(Inventory!$B$4:$B$30,MATCH($A23,Inv_Mat,0)))</f>
        <v>27</v>
      </c>
      <c r="H23" s="63">
        <f t="shared" si="2"/>
        <v>9</v>
      </c>
      <c r="I23" s="24">
        <f>H23*INDEX(Inventory!$G$4:$G$30,MATCH($A23,Inv_Mat,0))</f>
        <v>215.1</v>
      </c>
      <c r="J23" s="61" t="str">
        <f t="shared" si="3"/>
        <v>BUY</v>
      </c>
      <c r="K23" s="61" t="str">
        <f t="shared" si="4"/>
        <v>Increase to hit target</v>
      </c>
    </row>
    <row r="24" spans="1:11" x14ac:dyDescent="0.35">
      <c r="A24" s="53" t="str">
        <f>'Formula Master'!$B$12</f>
        <v>Jasmin Absolute Accord</v>
      </c>
      <c r="B24" s="61" t="str">
        <f>'Formula Master'!$A$12</f>
        <v>HEART</v>
      </c>
      <c r="C24" s="71">
        <f>'Formula Master'!$F$12</f>
        <v>0.03</v>
      </c>
      <c r="D24" s="24">
        <f t="shared" si="0"/>
        <v>9</v>
      </c>
      <c r="E24" s="24">
        <f>$B$12*C24*IF('Formula Master'!$D$12="D10",0.1,1)</f>
        <v>49.604210526315789</v>
      </c>
      <c r="F24" s="57">
        <f t="shared" si="1"/>
        <v>40.604210526315789</v>
      </c>
      <c r="G24" s="24">
        <f>IF(INDEX(Inventory!$C$4:$C$30,MATCH($A24,Inv_Mat,0))="ml",INDEX(Inventory!$B$4:$B$30,MATCH($A24,Inv_Mat,0))*INDEX(Inventory!$E$4:$E$30,MATCH($A24,Inv_Mat,0)),INDEX(Inventory!$B$4:$B$30,MATCH($A24,Inv_Mat,0)))</f>
        <v>9</v>
      </c>
      <c r="H24" s="63">
        <f t="shared" si="2"/>
        <v>5</v>
      </c>
      <c r="I24" s="24">
        <f>H24*INDEX(Inventory!$G$4:$G$30,MATCH($A24,Inv_Mat,0))</f>
        <v>225</v>
      </c>
      <c r="J24" s="61" t="str">
        <f t="shared" si="3"/>
        <v>BUY</v>
      </c>
      <c r="K24" s="61" t="str">
        <f t="shared" si="4"/>
        <v>Increase to hit target</v>
      </c>
    </row>
    <row r="25" spans="1:11" x14ac:dyDescent="0.35">
      <c r="A25" s="53" t="str">
        <f>'Formula Master'!$B$13</f>
        <v>Tuberose Accord</v>
      </c>
      <c r="B25" s="61" t="str">
        <f>'Formula Master'!$A$13</f>
        <v>HEART</v>
      </c>
      <c r="C25" s="71">
        <f>'Formula Master'!$F$13</f>
        <v>1.4999999999999999E-2</v>
      </c>
      <c r="D25" s="24">
        <f t="shared" si="0"/>
        <v>9</v>
      </c>
      <c r="E25" s="24">
        <f>$B$12*C25*IF('Formula Master'!$D$13="D10",0.1,1)</f>
        <v>24.802105263157895</v>
      </c>
      <c r="F25" s="57">
        <f t="shared" si="1"/>
        <v>15.802105263157895</v>
      </c>
      <c r="G25" s="24">
        <f>IF(INDEX(Inventory!$C$4:$C$30,MATCH($A25,Inv_Mat,0))="ml",INDEX(Inventory!$B$4:$B$30,MATCH($A25,Inv_Mat,0))*INDEX(Inventory!$E$4:$E$30,MATCH($A25,Inv_Mat,0)),INDEX(Inventory!$B$4:$B$30,MATCH($A25,Inv_Mat,0)))</f>
        <v>9</v>
      </c>
      <c r="H25" s="63">
        <f t="shared" si="2"/>
        <v>2</v>
      </c>
      <c r="I25" s="24">
        <f>H25*INDEX(Inventory!$G$4:$G$30,MATCH($A25,Inv_Mat,0))</f>
        <v>71.260000000000005</v>
      </c>
      <c r="J25" s="61" t="str">
        <f t="shared" si="3"/>
        <v>BUY</v>
      </c>
      <c r="K25" s="61" t="str">
        <f t="shared" si="4"/>
        <v>Increase to hit target</v>
      </c>
    </row>
    <row r="26" spans="1:11" x14ac:dyDescent="0.35">
      <c r="A26" s="53" t="str">
        <f>'Formula Master'!$B$14</f>
        <v>Methyl Alpha Ionone Iso</v>
      </c>
      <c r="B26" s="61" t="str">
        <f>'Formula Master'!$A$14</f>
        <v>HEART</v>
      </c>
      <c r="C26" s="71">
        <f>'Formula Master'!$F$14</f>
        <v>0.04</v>
      </c>
      <c r="D26" s="24">
        <f t="shared" si="0"/>
        <v>9</v>
      </c>
      <c r="E26" s="24">
        <f>$B$12*C26*IF('Formula Master'!$D$14="D10",0.1,1)</f>
        <v>66.138947368421057</v>
      </c>
      <c r="F26" s="57">
        <f t="shared" si="1"/>
        <v>57.138947368421057</v>
      </c>
      <c r="G26" s="24">
        <f>IF(INDEX(Inventory!$C$4:$C$30,MATCH($A26,Inv_Mat,0))="ml",INDEX(Inventory!$B$4:$B$30,MATCH($A26,Inv_Mat,0))*INDEX(Inventory!$E$4:$E$30,MATCH($A26,Inv_Mat,0)),INDEX(Inventory!$B$4:$B$30,MATCH($A26,Inv_Mat,0)))</f>
        <v>9</v>
      </c>
      <c r="H26" s="63">
        <f t="shared" si="2"/>
        <v>7</v>
      </c>
      <c r="I26" s="24">
        <f>H26*INDEX(Inventory!$G$4:$G$30,MATCH($A26,Inv_Mat,0))</f>
        <v>122.22</v>
      </c>
      <c r="J26" s="61" t="str">
        <f t="shared" si="3"/>
        <v>BUY</v>
      </c>
      <c r="K26" s="61" t="str">
        <f t="shared" si="4"/>
        <v>Increase to hit target</v>
      </c>
    </row>
    <row r="27" spans="1:11" x14ac:dyDescent="0.35">
      <c r="A27" s="53" t="str">
        <f>'Formula Master'!$B$15</f>
        <v>Benzyl Salicylate</v>
      </c>
      <c r="B27" s="61" t="str">
        <f>'Formula Master'!$A$15</f>
        <v>HEART</v>
      </c>
      <c r="C27" s="71">
        <f>'Formula Master'!$F$15</f>
        <v>7.0000000000000007E-2</v>
      </c>
      <c r="D27" s="24">
        <f t="shared" si="0"/>
        <v>9</v>
      </c>
      <c r="E27" s="24">
        <f>$B$12*C27*IF('Formula Master'!$D$15="D10",0.1,1)</f>
        <v>115.74315789473687</v>
      </c>
      <c r="F27" s="57">
        <f t="shared" si="1"/>
        <v>106.74315789473687</v>
      </c>
      <c r="G27" s="24">
        <f>IF(INDEX(Inventory!$C$4:$C$30,MATCH($A27,Inv_Mat,0))="ml",INDEX(Inventory!$B$4:$B$30,MATCH($A27,Inv_Mat,0))*INDEX(Inventory!$E$4:$E$30,MATCH($A27,Inv_Mat,0)),INDEX(Inventory!$B$4:$B$30,MATCH($A27,Inv_Mat,0)))</f>
        <v>9</v>
      </c>
      <c r="H27" s="63">
        <f t="shared" si="2"/>
        <v>12</v>
      </c>
      <c r="I27" s="24">
        <f>H27*INDEX(Inventory!$G$4:$G$30,MATCH($A27,Inv_Mat,0))</f>
        <v>133.92000000000002</v>
      </c>
      <c r="J27" s="61" t="str">
        <f t="shared" si="3"/>
        <v>BUY</v>
      </c>
      <c r="K27" s="61" t="str">
        <f t="shared" si="4"/>
        <v>Increase to hit target</v>
      </c>
    </row>
    <row r="28" spans="1:11" x14ac:dyDescent="0.35">
      <c r="A28" s="53" t="str">
        <f>'Formula Master'!$B$16</f>
        <v>Linalool</v>
      </c>
      <c r="B28" s="61" t="str">
        <f>'Formula Master'!$A$16</f>
        <v>HEART</v>
      </c>
      <c r="C28" s="71">
        <f>'Formula Master'!$F$16</f>
        <v>1.4999999999999999E-2</v>
      </c>
      <c r="D28" s="24">
        <f t="shared" si="0"/>
        <v>9</v>
      </c>
      <c r="E28" s="24">
        <f>$B$12*C28*IF('Formula Master'!$D$16="D10",0.1,1)</f>
        <v>24.802105263157895</v>
      </c>
      <c r="F28" s="57">
        <f t="shared" si="1"/>
        <v>15.802105263157895</v>
      </c>
      <c r="G28" s="24">
        <f>IF(INDEX(Inventory!$C$4:$C$30,MATCH($A28,Inv_Mat,0))="ml",INDEX(Inventory!$B$4:$B$30,MATCH($A28,Inv_Mat,0))*INDEX(Inventory!$E$4:$E$30,MATCH($A28,Inv_Mat,0)),INDEX(Inventory!$B$4:$B$30,MATCH($A28,Inv_Mat,0)))</f>
        <v>9</v>
      </c>
      <c r="H28" s="63">
        <f t="shared" si="2"/>
        <v>2</v>
      </c>
      <c r="I28" s="24">
        <f>H28*INDEX(Inventory!$G$4:$G$30,MATCH($A28,Inv_Mat,0))</f>
        <v>33.479999999999997</v>
      </c>
      <c r="J28" s="61" t="str">
        <f t="shared" si="3"/>
        <v>BUY</v>
      </c>
      <c r="K28" s="61" t="str">
        <f t="shared" si="4"/>
        <v>Increase to hit target</v>
      </c>
    </row>
    <row r="29" spans="1:11" x14ac:dyDescent="0.35">
      <c r="A29" s="53" t="str">
        <f>'Formula Master'!$B$17</f>
        <v>Damascone Beta</v>
      </c>
      <c r="B29" s="61" t="str">
        <f>'Formula Master'!$A$17</f>
        <v>HEART</v>
      </c>
      <c r="C29" s="71">
        <f>'Formula Master'!$F$17</f>
        <v>3.0000000000000001E-3</v>
      </c>
      <c r="D29" s="24">
        <f t="shared" si="0"/>
        <v>9</v>
      </c>
      <c r="E29" s="24">
        <f>$B$12*C29*IF('Formula Master'!$D$17="D10",0.1,1)</f>
        <v>0.49604210526315795</v>
      </c>
      <c r="F29" s="57">
        <f t="shared" si="1"/>
        <v>0</v>
      </c>
      <c r="G29" s="24">
        <f>IF(INDEX(Inventory!$C$4:$C$30,MATCH($A29,Inv_Mat,0))="ml",INDEX(Inventory!$B$4:$B$30,MATCH($A29,Inv_Mat,0))*INDEX(Inventory!$E$4:$E$30,MATCH($A29,Inv_Mat,0)),INDEX(Inventory!$B$4:$B$30,MATCH($A29,Inv_Mat,0)))</f>
        <v>9</v>
      </c>
      <c r="H29" s="63">
        <f t="shared" si="2"/>
        <v>0</v>
      </c>
      <c r="I29" s="24">
        <f>H29*INDEX(Inventory!$G$4:$G$30,MATCH($A29,Inv_Mat,0))</f>
        <v>0</v>
      </c>
      <c r="J29" s="61" t="str">
        <f t="shared" si="3"/>
        <v>OK</v>
      </c>
      <c r="K29" s="61" t="str">
        <f t="shared" si="4"/>
        <v>Enough for target</v>
      </c>
    </row>
    <row r="30" spans="1:11" x14ac:dyDescent="0.35">
      <c r="A30" s="53" t="str">
        <f>'Formula Master'!$B$18</f>
        <v>Vanillin Crystals</v>
      </c>
      <c r="B30" s="61" t="str">
        <f>'Formula Master'!$A$18</f>
        <v>BASE</v>
      </c>
      <c r="C30" s="71">
        <f>'Formula Master'!$F$18</f>
        <v>6.5000000000000002E-2</v>
      </c>
      <c r="D30" s="24">
        <f t="shared" si="0"/>
        <v>10</v>
      </c>
      <c r="E30" s="24">
        <f>$B$12*C30*IF('Formula Master'!$D$18="D10",0.1,1)</f>
        <v>107.47578947368423</v>
      </c>
      <c r="F30" s="57">
        <f t="shared" si="1"/>
        <v>97.47578947368423</v>
      </c>
      <c r="G30" s="24">
        <f>IF(INDEX(Inventory!$C$4:$C$30,MATCH($A30,Inv_Mat,0))="ml",INDEX(Inventory!$B$4:$B$30,MATCH($A30,Inv_Mat,0))*INDEX(Inventory!$E$4:$E$30,MATCH($A30,Inv_Mat,0)),INDEX(Inventory!$B$4:$B$30,MATCH($A30,Inv_Mat,0)))</f>
        <v>10</v>
      </c>
      <c r="H30" s="63">
        <f t="shared" si="2"/>
        <v>10</v>
      </c>
      <c r="I30" s="24">
        <f>H30*INDEX(Inventory!$G$4:$G$30,MATCH($A30,Inv_Mat,0))</f>
        <v>146.5</v>
      </c>
      <c r="J30" s="61" t="str">
        <f t="shared" si="3"/>
        <v>BUY</v>
      </c>
      <c r="K30" s="61" t="str">
        <f t="shared" si="4"/>
        <v>Increase to hit target</v>
      </c>
    </row>
    <row r="31" spans="1:11" x14ac:dyDescent="0.35">
      <c r="A31" s="53" t="str">
        <f>'Formula Master'!$B$19</f>
        <v>Ethyl Vanillin</v>
      </c>
      <c r="B31" s="61" t="str">
        <f>'Formula Master'!$A$19</f>
        <v>BASE</v>
      </c>
      <c r="C31" s="71">
        <f>'Formula Master'!$F$19</f>
        <v>2.5000000000000001E-2</v>
      </c>
      <c r="D31" s="24">
        <f t="shared" si="0"/>
        <v>10</v>
      </c>
      <c r="E31" s="24">
        <f>$B$12*C31*IF('Formula Master'!$D$19="D10",0.1,1)</f>
        <v>41.336842105263166</v>
      </c>
      <c r="F31" s="57">
        <f t="shared" si="1"/>
        <v>31.336842105263166</v>
      </c>
      <c r="G31" s="24">
        <f>IF(INDEX(Inventory!$C$4:$C$30,MATCH($A31,Inv_Mat,0))="ml",INDEX(Inventory!$B$4:$B$30,MATCH($A31,Inv_Mat,0))*INDEX(Inventory!$E$4:$E$30,MATCH($A31,Inv_Mat,0)),INDEX(Inventory!$B$4:$B$30,MATCH($A31,Inv_Mat,0)))</f>
        <v>10</v>
      </c>
      <c r="H31" s="63">
        <f t="shared" si="2"/>
        <v>4</v>
      </c>
      <c r="I31" s="24">
        <f>H31*INDEX(Inventory!$G$4:$G$30,MATCH($A31,Inv_Mat,0))</f>
        <v>62.76</v>
      </c>
      <c r="J31" s="61" t="str">
        <f t="shared" si="3"/>
        <v>BUY</v>
      </c>
      <c r="K31" s="61" t="str">
        <f t="shared" si="4"/>
        <v>Increase to hit target</v>
      </c>
    </row>
    <row r="32" spans="1:11" x14ac:dyDescent="0.35">
      <c r="A32" s="53" t="str">
        <f>'Formula Master'!$B$20</f>
        <v>Maltol (Crystals)</v>
      </c>
      <c r="B32" s="61" t="str">
        <f>'Formula Master'!$A$20</f>
        <v>BASE</v>
      </c>
      <c r="C32" s="71">
        <f>'Formula Master'!$F$20</f>
        <v>0.02</v>
      </c>
      <c r="D32" s="24">
        <f t="shared" si="0"/>
        <v>10</v>
      </c>
      <c r="E32" s="24">
        <f>$B$12*C32*IF('Formula Master'!$D$20="D10",0.1,1)</f>
        <v>3.3069473684210529</v>
      </c>
      <c r="F32" s="57">
        <f t="shared" si="1"/>
        <v>0</v>
      </c>
      <c r="G32" s="24">
        <f>IF(INDEX(Inventory!$C$4:$C$30,MATCH($A32,Inv_Mat,0))="ml",INDEX(Inventory!$B$4:$B$30,MATCH($A32,Inv_Mat,0))*INDEX(Inventory!$E$4:$E$30,MATCH($A32,Inv_Mat,0)),INDEX(Inventory!$B$4:$B$30,MATCH($A32,Inv_Mat,0)))</f>
        <v>10</v>
      </c>
      <c r="H32" s="63">
        <f t="shared" si="2"/>
        <v>0</v>
      </c>
      <c r="I32" s="24">
        <f>H32*INDEX(Inventory!$G$4:$G$30,MATCH($A32,Inv_Mat,0))</f>
        <v>0</v>
      </c>
      <c r="J32" s="61" t="str">
        <f t="shared" si="3"/>
        <v>OK</v>
      </c>
      <c r="K32" s="61" t="str">
        <f t="shared" si="4"/>
        <v>Enough for target</v>
      </c>
    </row>
    <row r="33" spans="1:11" x14ac:dyDescent="0.35">
      <c r="A33" s="53" t="str">
        <f>'Formula Master'!$B$21</f>
        <v>Coumarin</v>
      </c>
      <c r="B33" s="61" t="str">
        <f>'Formula Master'!$A$21</f>
        <v>BASE</v>
      </c>
      <c r="C33" s="71">
        <f>'Formula Master'!$F$21</f>
        <v>0.05</v>
      </c>
      <c r="D33" s="24">
        <f t="shared" si="0"/>
        <v>500</v>
      </c>
      <c r="E33" s="24">
        <f>$B$12*C33*IF('Formula Master'!$D$21="D10",0.1,1)</f>
        <v>82.673684210526332</v>
      </c>
      <c r="F33" s="57">
        <f t="shared" si="1"/>
        <v>0</v>
      </c>
      <c r="G33" s="24">
        <f>IF(INDEX(Inventory!$C$4:$C$30,MATCH($A33,Inv_Mat,0))="ml",INDEX(Inventory!$B$4:$B$30,MATCH($A33,Inv_Mat,0))*INDEX(Inventory!$E$4:$E$30,MATCH($A33,Inv_Mat,0)),INDEX(Inventory!$B$4:$B$30,MATCH($A33,Inv_Mat,0)))</f>
        <v>500</v>
      </c>
      <c r="H33" s="63">
        <f t="shared" si="2"/>
        <v>0</v>
      </c>
      <c r="I33" s="24">
        <f>H33*INDEX(Inventory!$G$4:$G$30,MATCH($A33,Inv_Mat,0))</f>
        <v>0</v>
      </c>
      <c r="J33" s="61" t="str">
        <f t="shared" si="3"/>
        <v>OK</v>
      </c>
      <c r="K33" s="61" t="str">
        <f t="shared" si="4"/>
        <v>Enough for target</v>
      </c>
    </row>
    <row r="34" spans="1:11" x14ac:dyDescent="0.35">
      <c r="A34" s="53" t="str">
        <f>'Formula Master'!$B$22</f>
        <v>Heliotrope Accord</v>
      </c>
      <c r="B34" s="61" t="str">
        <f>'Formula Master'!$A$22</f>
        <v>BASE</v>
      </c>
      <c r="C34" s="71">
        <f>'Formula Master'!$F$22</f>
        <v>2.5000000000000001E-2</v>
      </c>
      <c r="D34" s="24">
        <f t="shared" si="0"/>
        <v>9</v>
      </c>
      <c r="E34" s="24">
        <f>$B$12*C34*IF('Formula Master'!$D$22="D10",0.1,1)</f>
        <v>41.336842105263166</v>
      </c>
      <c r="F34" s="57">
        <f t="shared" si="1"/>
        <v>32.336842105263166</v>
      </c>
      <c r="G34" s="24">
        <f>IF(INDEX(Inventory!$C$4:$C$30,MATCH($A34,Inv_Mat,0))="ml",INDEX(Inventory!$B$4:$B$30,MATCH($A34,Inv_Mat,0))*INDEX(Inventory!$E$4:$E$30,MATCH($A34,Inv_Mat,0)),INDEX(Inventory!$B$4:$B$30,MATCH($A34,Inv_Mat,0)))</f>
        <v>9</v>
      </c>
      <c r="H34" s="63">
        <f t="shared" si="2"/>
        <v>4</v>
      </c>
      <c r="I34" s="24">
        <f>H34*INDEX(Inventory!$G$4:$G$30,MATCH($A34,Inv_Mat,0))</f>
        <v>135</v>
      </c>
      <c r="J34" s="61" t="str">
        <f t="shared" si="3"/>
        <v>BUY</v>
      </c>
      <c r="K34" s="61" t="str">
        <f t="shared" si="4"/>
        <v>Increase to hit target</v>
      </c>
    </row>
    <row r="35" spans="1:11" x14ac:dyDescent="0.35">
      <c r="A35" s="53" t="str">
        <f>'Formula Master'!$B$23</f>
        <v>Aldehyde C-18 Coconut</v>
      </c>
      <c r="B35" s="61" t="str">
        <f>'Formula Master'!$A$23</f>
        <v>BASE</v>
      </c>
      <c r="C35" s="71">
        <f>'Formula Master'!$F$23</f>
        <v>1.4999999999999999E-2</v>
      </c>
      <c r="D35" s="24">
        <f t="shared" si="0"/>
        <v>9</v>
      </c>
      <c r="E35" s="24">
        <f>$B$12*C35*IF('Formula Master'!$D$23="D10",0.1,1)</f>
        <v>2.4802105263157896</v>
      </c>
      <c r="F35" s="57">
        <f t="shared" si="1"/>
        <v>0</v>
      </c>
      <c r="G35" s="24">
        <f>IF(INDEX(Inventory!$C$4:$C$30,MATCH($A35,Inv_Mat,0))="ml",INDEX(Inventory!$B$4:$B$30,MATCH($A35,Inv_Mat,0))*INDEX(Inventory!$E$4:$E$30,MATCH($A35,Inv_Mat,0)),INDEX(Inventory!$B$4:$B$30,MATCH($A35,Inv_Mat,0)))</f>
        <v>9</v>
      </c>
      <c r="H35" s="63">
        <f t="shared" si="2"/>
        <v>0</v>
      </c>
      <c r="I35" s="24">
        <f>H35*INDEX(Inventory!$G$4:$G$30,MATCH($A35,Inv_Mat,0))</f>
        <v>0</v>
      </c>
      <c r="J35" s="61" t="str">
        <f t="shared" si="3"/>
        <v>OK</v>
      </c>
      <c r="K35" s="61" t="str">
        <f t="shared" si="4"/>
        <v>Enough for target</v>
      </c>
    </row>
    <row r="36" spans="1:11" x14ac:dyDescent="0.35">
      <c r="A36" s="53" t="str">
        <f>'Formula Master'!$B$24</f>
        <v>Ambroxan</v>
      </c>
      <c r="B36" s="61" t="str">
        <f>'Formula Master'!$A$24</f>
        <v>BASE</v>
      </c>
      <c r="C36" s="71">
        <f>'Formula Master'!$F$24</f>
        <v>7.4999999999999997E-2</v>
      </c>
      <c r="D36" s="24">
        <f t="shared" si="0"/>
        <v>10</v>
      </c>
      <c r="E36" s="24">
        <f>$B$12*C36*IF('Formula Master'!$D$24="D10",0.1,1)</f>
        <v>124.01052631578948</v>
      </c>
      <c r="F36" s="57">
        <f t="shared" si="1"/>
        <v>114.01052631578948</v>
      </c>
      <c r="G36" s="24">
        <f>IF(INDEX(Inventory!$C$4:$C$30,MATCH($A36,Inv_Mat,0))="ml",INDEX(Inventory!$B$4:$B$30,MATCH($A36,Inv_Mat,0))*INDEX(Inventory!$E$4:$E$30,MATCH($A36,Inv_Mat,0)),INDEX(Inventory!$B$4:$B$30,MATCH($A36,Inv_Mat,0)))</f>
        <v>10</v>
      </c>
      <c r="H36" s="63">
        <f t="shared" si="2"/>
        <v>12</v>
      </c>
      <c r="I36" s="24">
        <f>H36*INDEX(Inventory!$G$4:$G$30,MATCH($A36,Inv_Mat,0))</f>
        <v>1605</v>
      </c>
      <c r="J36" s="61" t="str">
        <f t="shared" si="3"/>
        <v>BUY</v>
      </c>
      <c r="K36" s="61" t="str">
        <f t="shared" si="4"/>
        <v>Increase to hit target</v>
      </c>
    </row>
    <row r="37" spans="1:11" x14ac:dyDescent="0.35">
      <c r="A37" s="53" t="str">
        <f>'Formula Master'!$B$25</f>
        <v>Iso E Super</v>
      </c>
      <c r="B37" s="61" t="str">
        <f>'Formula Master'!$A$25</f>
        <v>BASE</v>
      </c>
      <c r="C37" s="71">
        <f>'Formula Master'!$F$25</f>
        <v>9.5000000000000001E-2</v>
      </c>
      <c r="D37" s="24">
        <f t="shared" si="0"/>
        <v>9</v>
      </c>
      <c r="E37" s="24">
        <f>$B$12*C37*IF('Formula Master'!$D$25="D10",0.1,1)</f>
        <v>157.08000000000001</v>
      </c>
      <c r="F37" s="57">
        <f t="shared" si="1"/>
        <v>148.08000000000001</v>
      </c>
      <c r="G37" s="24">
        <f>IF(INDEX(Inventory!$C$4:$C$30,MATCH($A37,Inv_Mat,0))="ml",INDEX(Inventory!$B$4:$B$30,MATCH($A37,Inv_Mat,0))*INDEX(Inventory!$E$4:$E$30,MATCH($A37,Inv_Mat,0)),INDEX(Inventory!$B$4:$B$30,MATCH($A37,Inv_Mat,0)))</f>
        <v>9</v>
      </c>
      <c r="H37" s="63">
        <f t="shared" si="2"/>
        <v>17</v>
      </c>
      <c r="I37" s="24">
        <f>H37*INDEX(Inventory!$G$4:$G$30,MATCH($A37,Inv_Mat,0))</f>
        <v>231.2</v>
      </c>
      <c r="J37" s="61" t="str">
        <f t="shared" si="3"/>
        <v>BUY</v>
      </c>
      <c r="K37" s="61" t="str">
        <f t="shared" si="4"/>
        <v>Increase to hit target</v>
      </c>
    </row>
    <row r="38" spans="1:11" x14ac:dyDescent="0.35">
      <c r="A38" s="53" t="str">
        <f>'Formula Master'!$B$26</f>
        <v>Cashmeran IFF</v>
      </c>
      <c r="B38" s="61" t="str">
        <f>'Formula Master'!$A$26</f>
        <v>BASE</v>
      </c>
      <c r="C38" s="71">
        <f>'Formula Master'!$F$26</f>
        <v>0.03</v>
      </c>
      <c r="D38" s="24">
        <f t="shared" si="0"/>
        <v>9</v>
      </c>
      <c r="E38" s="24">
        <f>$B$12*C38*IF('Formula Master'!$D$26="D10",0.1,1)</f>
        <v>49.604210526315789</v>
      </c>
      <c r="F38" s="57">
        <f t="shared" si="1"/>
        <v>40.604210526315789</v>
      </c>
      <c r="G38" s="24">
        <f>IF(INDEX(Inventory!$C$4:$C$30,MATCH($A38,Inv_Mat,0))="ml",INDEX(Inventory!$B$4:$B$30,MATCH($A38,Inv_Mat,0))*INDEX(Inventory!$E$4:$E$30,MATCH($A38,Inv_Mat,0)),INDEX(Inventory!$B$4:$B$30,MATCH($A38,Inv_Mat,0)))</f>
        <v>9</v>
      </c>
      <c r="H38" s="63">
        <f t="shared" si="2"/>
        <v>5</v>
      </c>
      <c r="I38" s="24">
        <f>H38*INDEX(Inventory!$G$4:$G$30,MATCH($A38,Inv_Mat,0))</f>
        <v>279.3</v>
      </c>
      <c r="J38" s="61" t="str">
        <f t="shared" si="3"/>
        <v>BUY</v>
      </c>
      <c r="K38" s="61" t="str">
        <f t="shared" si="4"/>
        <v>Increase to hit target</v>
      </c>
    </row>
    <row r="39" spans="1:11" x14ac:dyDescent="0.35">
      <c r="A39" s="53" t="str">
        <f>'Formula Master'!$B$27</f>
        <v>Sandalore (Givaudan)</v>
      </c>
      <c r="B39" s="61" t="str">
        <f>'Formula Master'!$A$27</f>
        <v>BASE</v>
      </c>
      <c r="C39" s="71">
        <f>'Formula Master'!$F$27</f>
        <v>3.5000000000000003E-2</v>
      </c>
      <c r="D39" s="24">
        <f t="shared" si="0"/>
        <v>9</v>
      </c>
      <c r="E39" s="24">
        <f>$B$12*C39*IF('Formula Master'!$D$27="D10",0.1,1)</f>
        <v>57.871578947368434</v>
      </c>
      <c r="F39" s="57">
        <f t="shared" si="1"/>
        <v>48.871578947368434</v>
      </c>
      <c r="G39" s="24">
        <f>IF(INDEX(Inventory!$C$4:$C$30,MATCH($A39,Inv_Mat,0))="ml",INDEX(Inventory!$B$4:$B$30,MATCH($A39,Inv_Mat,0))*INDEX(Inventory!$E$4:$E$30,MATCH($A39,Inv_Mat,0)),INDEX(Inventory!$B$4:$B$30,MATCH($A39,Inv_Mat,0)))</f>
        <v>9</v>
      </c>
      <c r="H39" s="63">
        <f t="shared" si="2"/>
        <v>6</v>
      </c>
      <c r="I39" s="24">
        <f>H39*INDEX(Inventory!$G$4:$G$30,MATCH($A39,Inv_Mat,0))</f>
        <v>141.24</v>
      </c>
      <c r="J39" s="61" t="str">
        <f t="shared" si="3"/>
        <v>BUY</v>
      </c>
      <c r="K39" s="61" t="str">
        <f t="shared" si="4"/>
        <v>Increase to hit target</v>
      </c>
    </row>
    <row r="40" spans="1:11" x14ac:dyDescent="0.35">
      <c r="A40" s="53" t="str">
        <f>'Formula Master'!$B$28</f>
        <v>Ethylene Brassylate</v>
      </c>
      <c r="B40" s="61" t="str">
        <f>'Formula Master'!$A$28</f>
        <v>BASE</v>
      </c>
      <c r="C40" s="71">
        <f>'Formula Master'!$F$28</f>
        <v>7.4999999999999997E-2</v>
      </c>
      <c r="D40" s="24">
        <f t="shared" si="0"/>
        <v>9</v>
      </c>
      <c r="E40" s="24">
        <f>$B$12*C40*IF('Formula Master'!$D$28="D10",0.1,1)</f>
        <v>124.01052631578948</v>
      </c>
      <c r="F40" s="57">
        <f t="shared" si="1"/>
        <v>115.01052631578948</v>
      </c>
      <c r="G40" s="24">
        <f>IF(INDEX(Inventory!$C$4:$C$30,MATCH($A40,Inv_Mat,0))="ml",INDEX(Inventory!$B$4:$B$30,MATCH($A40,Inv_Mat,0))*INDEX(Inventory!$E$4:$E$30,MATCH($A40,Inv_Mat,0)),INDEX(Inventory!$B$4:$B$30,MATCH($A40,Inv_Mat,0)))</f>
        <v>9</v>
      </c>
      <c r="H40" s="63">
        <f t="shared" si="2"/>
        <v>13</v>
      </c>
      <c r="I40" s="24">
        <f>H40*INDEX(Inventory!$G$4:$G$30,MATCH($A40,Inv_Mat,0))</f>
        <v>131.43</v>
      </c>
      <c r="J40" s="61" t="str">
        <f t="shared" si="3"/>
        <v>BUY</v>
      </c>
      <c r="K40" s="61" t="str">
        <f t="shared" si="4"/>
        <v>Increase to hit target</v>
      </c>
    </row>
    <row r="41" spans="1:11" x14ac:dyDescent="0.35">
      <c r="A41" s="53" t="str">
        <f>'Formula Master'!$B$29</f>
        <v>Galaxolide</v>
      </c>
      <c r="B41" s="61" t="str">
        <f>'Formula Master'!$A$29</f>
        <v>BASE</v>
      </c>
      <c r="C41" s="71">
        <f>'Formula Master'!$F$29</f>
        <v>5.5E-2</v>
      </c>
      <c r="D41" s="24">
        <f t="shared" si="0"/>
        <v>27</v>
      </c>
      <c r="E41" s="24">
        <f>$B$12*C41*IF('Formula Master'!$D$29="D10",0.1,1)</f>
        <v>90.941052631578955</v>
      </c>
      <c r="F41" s="57">
        <f t="shared" si="1"/>
        <v>63.941052631578955</v>
      </c>
      <c r="G41" s="24">
        <f>IF(INDEX(Inventory!$C$4:$C$30,MATCH($A41,Inv_Mat,0))="ml",INDEX(Inventory!$B$4:$B$30,MATCH($A41,Inv_Mat,0))*INDEX(Inventory!$E$4:$E$30,MATCH($A41,Inv_Mat,0)),INDEX(Inventory!$B$4:$B$30,MATCH($A41,Inv_Mat,0)))</f>
        <v>27</v>
      </c>
      <c r="H41" s="63">
        <f t="shared" si="2"/>
        <v>3</v>
      </c>
      <c r="I41" s="24">
        <f>H41*INDEX(Inventory!$G$4:$G$30,MATCH($A41,Inv_Mat,0))</f>
        <v>81</v>
      </c>
      <c r="J41" s="61" t="str">
        <f t="shared" si="3"/>
        <v>BUY</v>
      </c>
      <c r="K41" s="61" t="str">
        <f t="shared" si="4"/>
        <v>Increase to hit target</v>
      </c>
    </row>
    <row r="42" spans="1:11" x14ac:dyDescent="0.35">
      <c r="A42" s="53" t="str">
        <f>'Formula Master'!$B$30</f>
        <v>Exaltolide Total (Firmenich)</v>
      </c>
      <c r="B42" s="61" t="str">
        <f>'Formula Master'!$A$30</f>
        <v>BASE</v>
      </c>
      <c r="C42" s="71">
        <f>'Formula Master'!$F$30</f>
        <v>2.5000000000000001E-2</v>
      </c>
      <c r="D42" s="24">
        <f t="shared" si="0"/>
        <v>9</v>
      </c>
      <c r="E42" s="24">
        <f>$B$12*C42*IF('Formula Master'!$D$30="D10",0.1,1)</f>
        <v>41.336842105263166</v>
      </c>
      <c r="F42" s="57">
        <f t="shared" si="1"/>
        <v>32.336842105263166</v>
      </c>
      <c r="G42" s="24">
        <f>IF(INDEX(Inventory!$C$4:$C$30,MATCH($A42,Inv_Mat,0))="ml",INDEX(Inventory!$B$4:$B$30,MATCH($A42,Inv_Mat,0))*INDEX(Inventory!$E$4:$E$30,MATCH($A42,Inv_Mat,0)),INDEX(Inventory!$B$4:$B$30,MATCH($A42,Inv_Mat,0)))</f>
        <v>9</v>
      </c>
      <c r="H42" s="63">
        <f t="shared" si="2"/>
        <v>4</v>
      </c>
      <c r="I42" s="24">
        <f>H42*INDEX(Inventory!$G$4:$G$30,MATCH($A42,Inv_Mat,0))</f>
        <v>110.12</v>
      </c>
      <c r="J42" s="61" t="str">
        <f t="shared" si="3"/>
        <v>BUY</v>
      </c>
      <c r="K42" s="61" t="str">
        <f t="shared" si="4"/>
        <v>Increase to hit target</v>
      </c>
    </row>
    <row r="43" spans="1:11" x14ac:dyDescent="0.35">
      <c r="A43" s="53" t="str">
        <f>'Formula Master'!$B$31</f>
        <v>Saffron Accord</v>
      </c>
      <c r="B43" s="61" t="str">
        <f>'Formula Master'!$A$31</f>
        <v>BASE</v>
      </c>
      <c r="C43" s="71">
        <f>'Formula Master'!$F$31</f>
        <v>5.0000000000000001E-3</v>
      </c>
      <c r="D43" s="24">
        <f t="shared" si="0"/>
        <v>9</v>
      </c>
      <c r="E43" s="24">
        <f>$B$12*C43*IF('Formula Master'!$D$31="D10",0.1,1)</f>
        <v>8.2673684210526321</v>
      </c>
      <c r="F43" s="57">
        <f t="shared" si="1"/>
        <v>0</v>
      </c>
      <c r="G43" s="24">
        <f>IF(INDEX(Inventory!$C$4:$C$30,MATCH($A43,Inv_Mat,0))="ml",INDEX(Inventory!$B$4:$B$30,MATCH($A43,Inv_Mat,0))*INDEX(Inventory!$E$4:$E$30,MATCH($A43,Inv_Mat,0)),INDEX(Inventory!$B$4:$B$30,MATCH($A43,Inv_Mat,0)))</f>
        <v>9</v>
      </c>
      <c r="H43" s="63">
        <f t="shared" si="2"/>
        <v>0</v>
      </c>
      <c r="I43" s="24">
        <f>H43*INDEX(Inventory!$G$4:$G$30,MATCH($A43,Inv_Mat,0))</f>
        <v>0</v>
      </c>
      <c r="J43" s="61" t="str">
        <f t="shared" si="3"/>
        <v>OK</v>
      </c>
      <c r="K43" s="61" t="str">
        <f t="shared" si="4"/>
        <v>Enough for target</v>
      </c>
    </row>
    <row r="44" spans="1:11" x14ac:dyDescent="0.35">
      <c r="A44" s="1"/>
      <c r="B44" s="1"/>
      <c r="C44" s="1"/>
      <c r="D44" s="1"/>
      <c r="E44" s="1"/>
      <c r="F44" s="1"/>
      <c r="G44" s="1"/>
      <c r="H44" s="1"/>
      <c r="I44" s="1"/>
      <c r="J44" s="1"/>
      <c r="K44" s="1"/>
    </row>
    <row r="45" spans="1:11" x14ac:dyDescent="0.35">
      <c r="A45" s="1"/>
      <c r="B45" s="1"/>
      <c r="C45" s="1"/>
      <c r="D45" s="1"/>
      <c r="E45" s="1"/>
      <c r="F45" s="1"/>
      <c r="G45" s="1"/>
      <c r="H45" s="1"/>
      <c r="I45" s="1"/>
      <c r="J45" s="1"/>
      <c r="K45" s="1"/>
    </row>
    <row r="46" spans="1:11" x14ac:dyDescent="0.35">
      <c r="A46" s="1"/>
      <c r="B46" s="1"/>
      <c r="C46" s="1"/>
      <c r="D46" s="1"/>
      <c r="E46" s="1"/>
      <c r="F46" s="1"/>
      <c r="G46" s="1"/>
      <c r="H46" s="1"/>
      <c r="I46" s="1"/>
      <c r="J46" s="1"/>
      <c r="K46" s="1"/>
    </row>
    <row r="47" spans="1:11" x14ac:dyDescent="0.35">
      <c r="A47" s="1"/>
      <c r="B47" s="1"/>
      <c r="C47" s="1"/>
      <c r="D47" s="1"/>
      <c r="E47" s="1"/>
      <c r="F47" s="1"/>
      <c r="G47" s="1"/>
      <c r="H47" s="1"/>
      <c r="I47" s="1"/>
      <c r="J47" s="1"/>
      <c r="K47" s="1"/>
    </row>
    <row r="48" spans="1:11" x14ac:dyDescent="0.35">
      <c r="A48" s="1"/>
      <c r="B48" s="1"/>
      <c r="C48" s="1"/>
      <c r="D48" s="1"/>
      <c r="E48" s="1"/>
      <c r="F48" s="1"/>
      <c r="G48" s="1"/>
      <c r="H48" s="1"/>
      <c r="I48" s="1"/>
      <c r="J48" s="1"/>
      <c r="K48" s="1"/>
    </row>
    <row r="49" spans="1:11" x14ac:dyDescent="0.35">
      <c r="A49" s="1"/>
      <c r="B49" s="1"/>
      <c r="C49" s="1"/>
      <c r="D49" s="1"/>
      <c r="E49" s="1"/>
      <c r="F49" s="1"/>
      <c r="G49" s="1"/>
      <c r="H49" s="1"/>
      <c r="I49" s="1"/>
      <c r="J49" s="1"/>
      <c r="K49" s="1"/>
    </row>
    <row r="50" spans="1:11" x14ac:dyDescent="0.35">
      <c r="A50" s="1"/>
      <c r="B50" s="1"/>
      <c r="C50" s="1"/>
      <c r="D50" s="1"/>
      <c r="E50" s="1"/>
      <c r="F50" s="1"/>
      <c r="G50" s="1"/>
      <c r="H50" s="1"/>
      <c r="I50" s="1"/>
      <c r="J50" s="1"/>
      <c r="K50" s="1"/>
    </row>
    <row r="51" spans="1:11" x14ac:dyDescent="0.35">
      <c r="A51" s="1"/>
      <c r="B51" s="1"/>
      <c r="C51" s="1"/>
      <c r="D51" s="1"/>
      <c r="E51" s="1"/>
      <c r="F51" s="1"/>
      <c r="G51" s="1"/>
      <c r="H51" s="1"/>
      <c r="I51" s="1"/>
      <c r="J51" s="1"/>
      <c r="K51" s="1"/>
    </row>
    <row r="52" spans="1:11" x14ac:dyDescent="0.35">
      <c r="A52" s="53" t="s">
        <v>238</v>
      </c>
      <c r="B52" s="61" t="s">
        <v>355</v>
      </c>
      <c r="C52" s="71">
        <f>D10ActivePct</f>
        <v>4.8000000000000001E-2</v>
      </c>
      <c r="D52" s="24">
        <f>IF($C$8="On hand",INDEX(Inv_OnHand,MATCH($A52,Inv_Mat,0)),INDEX(Inv_GramsBought,MATCH($A52,Inv_Mat,0)))</f>
        <v>510</v>
      </c>
      <c r="E52" s="24">
        <f>$B$12*D10ActivePct*0.9</f>
        <v>71.43006315789475</v>
      </c>
      <c r="F52" s="57">
        <f>MAX(E52-D52,0)</f>
        <v>0</v>
      </c>
      <c r="G52" s="24">
        <f>IF(INDEX(Inventory!$C$4:$C$30,MATCH($A52,Inv_Mat,0))="ml",INDEX(Inventory!$B$4:$B$30,MATCH($A52,Inv_Mat,0))*INDEX(Inventory!$E$4:$E$30,MATCH($A52,Inv_Mat,0)),INDEX(Inventory!$B$4:$B$30,MATCH($A52,Inv_Mat,0)))</f>
        <v>510</v>
      </c>
      <c r="H52" s="63">
        <f>IF(F52=0,0,CEILING(F52/G52,1))</f>
        <v>0</v>
      </c>
      <c r="I52" s="24">
        <f>H52*INDEX(Inventory!$G$4:$G$30,MATCH($A52,Inv_Mat,0))</f>
        <v>0</v>
      </c>
      <c r="J52" s="61" t="str">
        <f>IF(H52&gt;0,"BUY","OK")</f>
        <v>OK</v>
      </c>
      <c r="K52" s="61" t="str">
        <f>IF(H52&gt;0,"Increase to hit target","Enough for target")</f>
        <v>Enough for target</v>
      </c>
    </row>
    <row r="53" spans="1:11" x14ac:dyDescent="0.35">
      <c r="A53" s="53" t="s">
        <v>178</v>
      </c>
      <c r="B53" s="61" t="s">
        <v>380</v>
      </c>
      <c r="C53" s="71">
        <f>1-$C$5</f>
        <v>0.72</v>
      </c>
      <c r="D53" s="24">
        <f>IF($C$8="On hand",INDEX(Inv_OnHand,MATCH($A53,Inv_Mat,0)),INDEX(Inv_GramsBought,MATCH($A53,Inv_Mat,0)))</f>
        <v>4050.0000000000005</v>
      </c>
      <c r="E53" s="24">
        <f>$C$12</f>
        <v>4039.2</v>
      </c>
      <c r="F53" s="57">
        <f>MAX(E53-D53,0)</f>
        <v>0</v>
      </c>
      <c r="G53" s="24">
        <f>IF(INDEX(Inventory!$C$4:$C$30,MATCH($A53,Inv_Mat,0))="ml",INDEX(Inventory!$B$4:$B$30,MATCH($A53,Inv_Mat,0))*INDEX(Inventory!$E$4:$E$30,MATCH($A53,Inv_Mat,0)),INDEX(Inventory!$B$4:$B$30,MATCH($A53,Inv_Mat,0)))</f>
        <v>4050.0000000000005</v>
      </c>
      <c r="H53" s="63">
        <f>IF(F53=0,0,CEILING(F53/G53,1))</f>
        <v>0</v>
      </c>
      <c r="I53" s="24">
        <f>H53*INDEX(Inventory!$G$4:$G$30,MATCH($A53,Inv_Mat,0))</f>
        <v>0</v>
      </c>
      <c r="J53" s="61" t="str">
        <f>IF(H53&gt;0,"BUY","OK")</f>
        <v>OK</v>
      </c>
      <c r="K53" s="61" t="str">
        <f>IF(H53&gt;0,"Increase to hit target","Enough for target")</f>
        <v>Enough for target</v>
      </c>
    </row>
  </sheetData>
  <mergeCells count="17">
    <mergeCell ref="A1:K1"/>
    <mergeCell ref="D4:K4"/>
    <mergeCell ref="D8:K8"/>
    <mergeCell ref="A14:K15"/>
    <mergeCell ref="A5:B5"/>
    <mergeCell ref="A2:K2"/>
    <mergeCell ref="A17:K17"/>
    <mergeCell ref="A10:K10"/>
    <mergeCell ref="I12:K12"/>
    <mergeCell ref="D5:K5"/>
    <mergeCell ref="A6:B6"/>
    <mergeCell ref="A8:B8"/>
    <mergeCell ref="A4:B4"/>
    <mergeCell ref="A3:K3"/>
    <mergeCell ref="A7:B7"/>
    <mergeCell ref="D6:K6"/>
    <mergeCell ref="D7:K7"/>
  </mergeCells>
  <conditionalFormatting sqref="A19:K53">
    <cfRule type="expression" dxfId="0" priority="1">
      <formula>$H19&gt;0</formula>
    </cfRule>
  </conditionalFormatting>
  <dataValidations count="5">
    <dataValidation type="whole" sqref="C4" xr:uid="{00000000-0002-0000-0B00-000000000000}">
      <formula1>1</formula1>
      <formula2>100000</formula2>
    </dataValidation>
    <dataValidation type="decimal" sqref="C5" xr:uid="{00000000-0002-0000-0B00-000001000000}">
      <formula1>0.02</formula1>
      <formula2>0.35</formula2>
    </dataValidation>
    <dataValidation type="decimal" sqref="C6" xr:uid="{00000000-0002-0000-0B00-000002000000}">
      <formula1>0.5</formula1>
      <formula2>1.2</formula2>
    </dataValidation>
    <dataValidation type="decimal" sqref="C7" xr:uid="{00000000-0002-0000-0B00-000003000000}">
      <formula1>0</formula1>
      <formula2>0.3</formula2>
    </dataValidation>
    <dataValidation type="list" sqref="C8" xr:uid="{00000000-0002-0000-0B00-000004000000}">
      <formula1>"On hand,Purchased"</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4A566"/>
  </sheetPr>
  <dimension ref="A1:K36"/>
  <sheetViews>
    <sheetView showGridLines="0" workbookViewId="0">
      <pane ySplit="11" topLeftCell="A12" activePane="bottomLeft" state="frozen"/>
      <selection pane="bottomLeft"/>
    </sheetView>
  </sheetViews>
  <sheetFormatPr defaultRowHeight="14.5" x14ac:dyDescent="0.35"/>
  <cols>
    <col min="1" max="1" width="22" customWidth="1"/>
    <col min="2" max="3" width="13" customWidth="1"/>
    <col min="4" max="4" width="12" customWidth="1"/>
    <col min="5" max="5" width="13" customWidth="1"/>
    <col min="6" max="6" width="11" customWidth="1"/>
    <col min="7" max="7" width="15" customWidth="1"/>
    <col min="8" max="8" width="11" customWidth="1"/>
    <col min="9" max="9" width="15" customWidth="1"/>
    <col min="10" max="10" width="13" customWidth="1"/>
    <col min="11" max="11" width="12" customWidth="1"/>
  </cols>
  <sheetData>
    <row r="1" spans="1:11" ht="28" customHeight="1" x14ac:dyDescent="0.35">
      <c r="A1" s="108" t="s">
        <v>381</v>
      </c>
      <c r="B1" s="89"/>
      <c r="C1" s="89"/>
      <c r="D1" s="89"/>
      <c r="E1" s="89"/>
      <c r="F1" s="89"/>
      <c r="G1" s="89"/>
      <c r="H1" s="89"/>
      <c r="I1" s="89"/>
      <c r="J1" s="1"/>
      <c r="K1" s="1"/>
    </row>
    <row r="2" spans="1:11" x14ac:dyDescent="0.35">
      <c r="A2" s="105" t="s">
        <v>382</v>
      </c>
      <c r="B2" s="106"/>
      <c r="C2" s="106"/>
      <c r="D2" s="106"/>
      <c r="E2" s="106"/>
      <c r="F2" s="106"/>
      <c r="G2" s="106"/>
      <c r="H2" s="106"/>
      <c r="I2" s="106"/>
      <c r="J2" s="89"/>
      <c r="K2" s="89"/>
    </row>
    <row r="3" spans="1:11" ht="18" customHeight="1" x14ac:dyDescent="0.35">
      <c r="A3" s="92" t="s">
        <v>383</v>
      </c>
      <c r="B3" s="93"/>
      <c r="C3" s="93"/>
      <c r="D3" s="93"/>
      <c r="E3" s="93"/>
      <c r="F3" s="93"/>
      <c r="G3" s="93"/>
      <c r="H3" s="93"/>
      <c r="I3" s="93"/>
      <c r="J3" s="93"/>
      <c r="K3" s="93"/>
    </row>
    <row r="4" spans="1:11" x14ac:dyDescent="0.35">
      <c r="A4" s="104" t="s">
        <v>132</v>
      </c>
      <c r="B4" s="89"/>
      <c r="C4" s="20">
        <v>0.28000000000000003</v>
      </c>
      <c r="D4" s="94" t="s">
        <v>384</v>
      </c>
      <c r="E4" s="89"/>
      <c r="F4" s="89"/>
      <c r="G4" s="89"/>
      <c r="H4" s="89"/>
      <c r="I4" s="89"/>
      <c r="J4" s="1"/>
      <c r="K4" s="1"/>
    </row>
    <row r="5" spans="1:11" x14ac:dyDescent="0.35">
      <c r="A5" s="104" t="s">
        <v>133</v>
      </c>
      <c r="B5" s="89"/>
      <c r="C5" s="43">
        <v>0.85</v>
      </c>
      <c r="D5" s="94" t="s">
        <v>385</v>
      </c>
      <c r="E5" s="89"/>
      <c r="F5" s="89"/>
      <c r="G5" s="89"/>
      <c r="H5" s="89"/>
      <c r="I5" s="89"/>
      <c r="J5" s="1"/>
      <c r="K5" s="1"/>
    </row>
    <row r="6" spans="1:11" x14ac:dyDescent="0.35">
      <c r="A6" s="104" t="s">
        <v>386</v>
      </c>
      <c r="B6" s="89"/>
      <c r="C6" s="42">
        <v>0</v>
      </c>
      <c r="D6" s="94" t="s">
        <v>387</v>
      </c>
      <c r="E6" s="89"/>
      <c r="F6" s="89"/>
      <c r="G6" s="89"/>
      <c r="H6" s="89"/>
      <c r="I6" s="89"/>
      <c r="J6" s="1"/>
      <c r="K6" s="1"/>
    </row>
    <row r="7" spans="1:11" x14ac:dyDescent="0.35">
      <c r="A7" s="104" t="s">
        <v>388</v>
      </c>
      <c r="B7" s="89"/>
      <c r="C7" s="81">
        <v>3</v>
      </c>
      <c r="D7" s="94" t="s">
        <v>389</v>
      </c>
      <c r="E7" s="89"/>
      <c r="F7" s="89"/>
      <c r="G7" s="89"/>
      <c r="H7" s="89"/>
      <c r="I7" s="89"/>
      <c r="J7" s="1"/>
      <c r="K7" s="1"/>
    </row>
    <row r="8" spans="1:11" x14ac:dyDescent="0.35">
      <c r="A8" s="104" t="s">
        <v>390</v>
      </c>
      <c r="B8" s="89"/>
      <c r="C8" s="20">
        <v>0.15</v>
      </c>
      <c r="D8" s="94" t="s">
        <v>391</v>
      </c>
      <c r="E8" s="89"/>
      <c r="F8" s="89"/>
      <c r="G8" s="89"/>
      <c r="H8" s="89"/>
      <c r="I8" s="89"/>
      <c r="J8" s="1"/>
      <c r="K8" s="1"/>
    </row>
    <row r="9" spans="1:11" x14ac:dyDescent="0.35">
      <c r="A9" s="1"/>
      <c r="B9" s="1"/>
      <c r="C9" s="1"/>
      <c r="D9" s="1"/>
      <c r="E9" s="1"/>
      <c r="F9" s="1"/>
      <c r="G9" s="1"/>
      <c r="H9" s="1"/>
      <c r="I9" s="1"/>
      <c r="J9" s="1"/>
      <c r="K9" s="1"/>
    </row>
    <row r="10" spans="1:11" ht="18" customHeight="1" x14ac:dyDescent="0.35">
      <c r="A10" s="92" t="s">
        <v>392</v>
      </c>
      <c r="B10" s="93"/>
      <c r="C10" s="93"/>
      <c r="D10" s="93"/>
      <c r="E10" s="93"/>
      <c r="F10" s="93"/>
      <c r="G10" s="93"/>
      <c r="H10" s="93"/>
      <c r="I10" s="93"/>
      <c r="J10" s="93"/>
      <c r="K10" s="93"/>
    </row>
    <row r="11" spans="1:11" ht="24" customHeight="1" x14ac:dyDescent="0.35">
      <c r="A11" s="17" t="s">
        <v>339</v>
      </c>
      <c r="B11" s="17" t="s">
        <v>393</v>
      </c>
      <c r="C11" s="17" t="s">
        <v>394</v>
      </c>
      <c r="D11" s="17" t="s">
        <v>395</v>
      </c>
      <c r="E11" s="17" t="s">
        <v>396</v>
      </c>
      <c r="F11" s="17" t="s">
        <v>397</v>
      </c>
      <c r="G11" s="17" t="s">
        <v>398</v>
      </c>
      <c r="H11" s="17" t="s">
        <v>399</v>
      </c>
      <c r="I11" s="17" t="s">
        <v>400</v>
      </c>
      <c r="J11" s="17" t="s">
        <v>401</v>
      </c>
      <c r="K11" s="17" t="s">
        <v>402</v>
      </c>
    </row>
    <row r="12" spans="1:11" ht="18" x14ac:dyDescent="0.35">
      <c r="A12" s="66">
        <v>10</v>
      </c>
      <c r="B12" s="24">
        <f t="shared" ref="B12:B17" si="0">$A12*PR_Density*PR_ConcPct*ConcCostPerGLoaded+$A12*PR_Density*(1-PR_ConcPct)*AlcCostPerG</f>
        <v>8.3128707666098656</v>
      </c>
      <c r="C12" s="42">
        <v>12</v>
      </c>
      <c r="D12" s="24">
        <f t="shared" ref="D12:D17" si="1">PR_Labour</f>
        <v>0</v>
      </c>
      <c r="E12" s="50">
        <f t="shared" ref="E12:E17" si="2">B12+C12+D12</f>
        <v>20.312870766609866</v>
      </c>
      <c r="F12" s="24">
        <f t="shared" ref="F12:F17" si="3">IF(A12=0,"",E12/A12)</f>
        <v>2.0312870766609867</v>
      </c>
      <c r="G12" s="4">
        <f t="shared" ref="G12:G17" si="4">E12*PR_Mult</f>
        <v>60.9386122998296</v>
      </c>
      <c r="H12" s="24">
        <f t="shared" ref="H12:H17" si="5">IF(A12=0,"",G12/A12)</f>
        <v>6.0938612299829602</v>
      </c>
      <c r="I12" s="24">
        <f t="shared" ref="I12:I17" si="6">G12*(1+PR_Vat)</f>
        <v>70.07940414480403</v>
      </c>
      <c r="J12" s="24">
        <f t="shared" ref="J12:J17" si="7">G12-E12</f>
        <v>40.625741533219738</v>
      </c>
      <c r="K12" s="75">
        <f t="shared" ref="K12:K17" si="8">IF(G12=0,"",(G12-E12)/G12)</f>
        <v>0.66666666666666674</v>
      </c>
    </row>
    <row r="13" spans="1:11" ht="18" x14ac:dyDescent="0.35">
      <c r="A13" s="66">
        <v>20</v>
      </c>
      <c r="B13" s="24">
        <f t="shared" si="0"/>
        <v>16.625741533219731</v>
      </c>
      <c r="C13" s="42">
        <v>18</v>
      </c>
      <c r="D13" s="24">
        <f t="shared" si="1"/>
        <v>0</v>
      </c>
      <c r="E13" s="50">
        <f t="shared" si="2"/>
        <v>34.625741533219731</v>
      </c>
      <c r="F13" s="24">
        <f t="shared" si="3"/>
        <v>1.7312870766609865</v>
      </c>
      <c r="G13" s="4">
        <f t="shared" si="4"/>
        <v>103.8772245996592</v>
      </c>
      <c r="H13" s="24">
        <f t="shared" si="5"/>
        <v>5.1938612299829598</v>
      </c>
      <c r="I13" s="24">
        <f t="shared" si="6"/>
        <v>119.45880828960807</v>
      </c>
      <c r="J13" s="24">
        <f t="shared" si="7"/>
        <v>69.251483066439476</v>
      </c>
      <c r="K13" s="75">
        <f t="shared" si="8"/>
        <v>0.66666666666666674</v>
      </c>
    </row>
    <row r="14" spans="1:11" ht="18" x14ac:dyDescent="0.35">
      <c r="A14" s="66">
        <v>30</v>
      </c>
      <c r="B14" s="24">
        <f t="shared" si="0"/>
        <v>24.938612299829597</v>
      </c>
      <c r="C14" s="42">
        <v>30</v>
      </c>
      <c r="D14" s="24">
        <f t="shared" si="1"/>
        <v>0</v>
      </c>
      <c r="E14" s="50">
        <f t="shared" si="2"/>
        <v>54.9386122998296</v>
      </c>
      <c r="F14" s="24">
        <f t="shared" si="3"/>
        <v>1.8312870766609868</v>
      </c>
      <c r="G14" s="4">
        <f t="shared" si="4"/>
        <v>164.8158368994888</v>
      </c>
      <c r="H14" s="24">
        <f t="shared" si="5"/>
        <v>5.4938612299829597</v>
      </c>
      <c r="I14" s="24">
        <f t="shared" si="6"/>
        <v>189.53821243441212</v>
      </c>
      <c r="J14" s="24">
        <f t="shared" si="7"/>
        <v>109.8772245996592</v>
      </c>
      <c r="K14" s="75">
        <f t="shared" si="8"/>
        <v>0.66666666666666663</v>
      </c>
    </row>
    <row r="15" spans="1:11" ht="18" x14ac:dyDescent="0.35">
      <c r="A15" s="66">
        <v>50</v>
      </c>
      <c r="B15" s="24">
        <f t="shared" si="0"/>
        <v>41.564353833049331</v>
      </c>
      <c r="C15" s="42">
        <v>40</v>
      </c>
      <c r="D15" s="24">
        <f t="shared" si="1"/>
        <v>0</v>
      </c>
      <c r="E15" s="50">
        <f t="shared" si="2"/>
        <v>81.564353833049324</v>
      </c>
      <c r="F15" s="24">
        <f t="shared" si="3"/>
        <v>1.6312870766609864</v>
      </c>
      <c r="G15" s="4">
        <f t="shared" si="4"/>
        <v>244.69306149914797</v>
      </c>
      <c r="H15" s="24">
        <f t="shared" si="5"/>
        <v>4.8938612299829591</v>
      </c>
      <c r="I15" s="24">
        <f t="shared" si="6"/>
        <v>281.39702072402014</v>
      </c>
      <c r="J15" s="24">
        <f t="shared" si="7"/>
        <v>163.12870766609865</v>
      </c>
      <c r="K15" s="75">
        <f t="shared" si="8"/>
        <v>0.66666666666666663</v>
      </c>
    </row>
    <row r="16" spans="1:11" ht="18" x14ac:dyDescent="0.35">
      <c r="A16" s="66">
        <v>70</v>
      </c>
      <c r="B16" s="24">
        <f t="shared" si="0"/>
        <v>58.190095366269063</v>
      </c>
      <c r="C16" s="42">
        <v>48</v>
      </c>
      <c r="D16" s="24">
        <f t="shared" si="1"/>
        <v>0</v>
      </c>
      <c r="E16" s="50">
        <f t="shared" si="2"/>
        <v>106.19009536626906</v>
      </c>
      <c r="F16" s="24">
        <f t="shared" si="3"/>
        <v>1.5170013623752723</v>
      </c>
      <c r="G16" s="4">
        <f t="shared" si="4"/>
        <v>318.57028609880717</v>
      </c>
      <c r="H16" s="24">
        <f t="shared" si="5"/>
        <v>4.5510040871258166</v>
      </c>
      <c r="I16" s="24">
        <f t="shared" si="6"/>
        <v>366.35582901362824</v>
      </c>
      <c r="J16" s="24">
        <f t="shared" si="7"/>
        <v>212.3801907325381</v>
      </c>
      <c r="K16" s="75">
        <f t="shared" si="8"/>
        <v>0.66666666666666663</v>
      </c>
    </row>
    <row r="17" spans="1:11" ht="18" x14ac:dyDescent="0.35">
      <c r="A17" s="66">
        <v>100</v>
      </c>
      <c r="B17" s="24">
        <f t="shared" si="0"/>
        <v>83.128707666098663</v>
      </c>
      <c r="C17" s="42">
        <v>55</v>
      </c>
      <c r="D17" s="24">
        <f t="shared" si="1"/>
        <v>0</v>
      </c>
      <c r="E17" s="50">
        <f t="shared" si="2"/>
        <v>138.12870766609865</v>
      </c>
      <c r="F17" s="24">
        <f t="shared" si="3"/>
        <v>1.3812870766609864</v>
      </c>
      <c r="G17" s="4">
        <f t="shared" si="4"/>
        <v>414.38612299829595</v>
      </c>
      <c r="H17" s="24">
        <f t="shared" si="5"/>
        <v>4.1438612299829591</v>
      </c>
      <c r="I17" s="24">
        <f t="shared" si="6"/>
        <v>476.54404144804028</v>
      </c>
      <c r="J17" s="24">
        <f t="shared" si="7"/>
        <v>276.2574153321973</v>
      </c>
      <c r="K17" s="75">
        <f t="shared" si="8"/>
        <v>0.66666666666666663</v>
      </c>
    </row>
    <row r="18" spans="1:11" x14ac:dyDescent="0.35">
      <c r="A18" s="1"/>
      <c r="B18" s="1"/>
      <c r="C18" s="1"/>
      <c r="D18" s="1"/>
      <c r="E18" s="1"/>
      <c r="F18" s="1"/>
      <c r="G18" s="1"/>
      <c r="H18" s="1"/>
      <c r="I18" s="1"/>
      <c r="J18" s="1"/>
      <c r="K18" s="1"/>
    </row>
    <row r="19" spans="1:11" ht="18" customHeight="1" x14ac:dyDescent="0.35">
      <c r="A19" s="92" t="s">
        <v>403</v>
      </c>
      <c r="B19" s="93"/>
      <c r="C19" s="93"/>
      <c r="D19" s="93"/>
      <c r="E19" s="93"/>
      <c r="F19" s="93"/>
      <c r="G19" s="93"/>
      <c r="H19" s="93"/>
      <c r="I19" s="93"/>
      <c r="J19" s="93"/>
      <c r="K19" s="93"/>
    </row>
    <row r="20" spans="1:11" ht="24" customHeight="1" x14ac:dyDescent="0.35">
      <c r="A20" s="17" t="s">
        <v>404</v>
      </c>
      <c r="B20" s="17" t="s">
        <v>405</v>
      </c>
      <c r="C20" s="17" t="s">
        <v>406</v>
      </c>
      <c r="D20" s="17" t="s">
        <v>407</v>
      </c>
      <c r="E20" s="17" t="s">
        <v>408</v>
      </c>
      <c r="F20" s="129" t="s">
        <v>409</v>
      </c>
      <c r="G20" s="114"/>
      <c r="H20" s="114"/>
      <c r="I20" s="114"/>
      <c r="J20" s="114"/>
      <c r="K20" s="115"/>
    </row>
    <row r="21" spans="1:11" x14ac:dyDescent="0.35">
      <c r="A21" s="82" t="s">
        <v>410</v>
      </c>
      <c r="B21" s="24">
        <f>$E$15*2</f>
        <v>163.12870766609865</v>
      </c>
      <c r="C21" s="24">
        <f>$E$15*2.5</f>
        <v>203.91088458262331</v>
      </c>
      <c r="D21" s="24">
        <f>$E$15*3</f>
        <v>244.69306149914797</v>
      </c>
      <c r="E21" s="24">
        <f>$E$15*4</f>
        <v>326.2574153321973</v>
      </c>
      <c r="F21" s="110" t="str">
        <f>"Your total cost for a 50 ml = "&amp;TEXT($E$15,"0.00")&amp;" SAR, cost/ml = "&amp;TEXT($F$15,"0.00")&amp;" SAR, retail/ml = "&amp;TEXT($H$15,"0.00")&amp;" SAR"</f>
        <v>Your total cost for a 50 ml = 81.56 SAR, cost/ml = 1.63 SAR, retail/ml = 4.89 SAR</v>
      </c>
      <c r="G21" s="89"/>
      <c r="H21" s="89"/>
      <c r="I21" s="89"/>
      <c r="J21" s="89"/>
      <c r="K21" s="89"/>
    </row>
    <row r="22" spans="1:11" x14ac:dyDescent="0.35">
      <c r="A22" s="1"/>
      <c r="B22" s="1"/>
      <c r="C22" s="1"/>
      <c r="D22" s="1"/>
      <c r="E22" s="1"/>
      <c r="F22" s="1"/>
      <c r="G22" s="1"/>
      <c r="H22" s="1"/>
      <c r="I22" s="1"/>
      <c r="J22" s="1"/>
      <c r="K22" s="1"/>
    </row>
    <row r="23" spans="1:11" ht="18" customHeight="1" x14ac:dyDescent="0.35">
      <c r="A23" s="92" t="s">
        <v>411</v>
      </c>
      <c r="B23" s="93"/>
      <c r="C23" s="93"/>
      <c r="D23" s="93"/>
      <c r="E23" s="93"/>
      <c r="F23" s="93"/>
      <c r="G23" s="93"/>
      <c r="H23" s="93"/>
      <c r="I23" s="93"/>
      <c r="J23" s="93"/>
      <c r="K23" s="93"/>
    </row>
    <row r="24" spans="1:11" x14ac:dyDescent="0.35">
      <c r="A24" s="104" t="s">
        <v>412</v>
      </c>
      <c r="B24" s="89"/>
      <c r="C24" s="66">
        <v>4</v>
      </c>
      <c r="D24" s="94" t="s">
        <v>413</v>
      </c>
      <c r="E24" s="89"/>
      <c r="F24" s="89"/>
      <c r="G24" s="89"/>
      <c r="H24" s="89"/>
      <c r="I24" s="89"/>
      <c r="J24" s="89"/>
      <c r="K24" s="89"/>
    </row>
    <row r="25" spans="1:11" x14ac:dyDescent="0.35">
      <c r="A25" s="90" t="s">
        <v>414</v>
      </c>
      <c r="B25" s="89"/>
      <c r="C25" s="46">
        <f>PR_NSell*$G$15</f>
        <v>978.77224599659189</v>
      </c>
      <c r="D25" s="94" t="s">
        <v>415</v>
      </c>
      <c r="E25" s="89"/>
      <c r="F25" s="89"/>
      <c r="G25" s="89"/>
      <c r="H25" s="89"/>
      <c r="I25" s="89"/>
      <c r="J25" s="89"/>
      <c r="K25" s="89"/>
    </row>
    <row r="26" spans="1:11" x14ac:dyDescent="0.35">
      <c r="A26" s="90" t="s">
        <v>416</v>
      </c>
      <c r="B26" s="89"/>
      <c r="C26" s="46">
        <f>PR_NSell*$E$15</f>
        <v>326.2574153321973</v>
      </c>
      <c r="D26" s="94" t="s">
        <v>417</v>
      </c>
      <c r="E26" s="89"/>
      <c r="F26" s="89"/>
      <c r="G26" s="89"/>
      <c r="H26" s="89"/>
      <c r="I26" s="89"/>
      <c r="J26" s="89"/>
      <c r="K26" s="89"/>
    </row>
    <row r="27" spans="1:11" x14ac:dyDescent="0.35">
      <c r="A27" s="90" t="s">
        <v>418</v>
      </c>
      <c r="B27" s="89"/>
      <c r="C27" s="46">
        <f>PR_NSell*($G$15-$E$15)</f>
        <v>652.51483066439459</v>
      </c>
      <c r="D27" s="94" t="s">
        <v>419</v>
      </c>
      <c r="E27" s="89"/>
      <c r="F27" s="89"/>
      <c r="G27" s="89"/>
      <c r="H27" s="89"/>
      <c r="I27" s="89"/>
      <c r="J27" s="89"/>
      <c r="K27" s="89"/>
    </row>
    <row r="28" spans="1:11" x14ac:dyDescent="0.35">
      <c r="A28" s="90" t="s">
        <v>420</v>
      </c>
      <c r="B28" s="89"/>
      <c r="C28" s="46">
        <f>$E$15</f>
        <v>81.564353833049324</v>
      </c>
      <c r="D28" s="94" t="s">
        <v>421</v>
      </c>
      <c r="E28" s="89"/>
      <c r="F28" s="89"/>
      <c r="G28" s="89"/>
      <c r="H28" s="89"/>
      <c r="I28" s="89"/>
      <c r="J28" s="89"/>
      <c r="K28" s="89"/>
    </row>
    <row r="29" spans="1:11" x14ac:dyDescent="0.35">
      <c r="A29" s="1"/>
      <c r="B29" s="1"/>
      <c r="C29" s="1"/>
      <c r="D29" s="1"/>
      <c r="E29" s="1"/>
      <c r="F29" s="1"/>
      <c r="G29" s="1"/>
      <c r="H29" s="1"/>
      <c r="I29" s="1"/>
      <c r="J29" s="1"/>
      <c r="K29" s="1"/>
    </row>
    <row r="30" spans="1:11" ht="18" customHeight="1" x14ac:dyDescent="0.35">
      <c r="A30" s="130" t="s">
        <v>422</v>
      </c>
      <c r="B30" s="131"/>
      <c r="C30" s="131"/>
      <c r="D30" s="131"/>
      <c r="E30" s="131"/>
      <c r="F30" s="131"/>
      <c r="G30" s="131"/>
      <c r="H30" s="131"/>
      <c r="I30" s="131"/>
      <c r="J30" s="131"/>
      <c r="K30" s="131"/>
    </row>
    <row r="31" spans="1:11" ht="28" customHeight="1" x14ac:dyDescent="0.35">
      <c r="A31" s="107" t="s">
        <v>423</v>
      </c>
      <c r="B31" s="89"/>
      <c r="C31" s="89"/>
      <c r="D31" s="89"/>
      <c r="E31" s="89"/>
      <c r="F31" s="89"/>
      <c r="G31" s="89"/>
      <c r="H31" s="89"/>
      <c r="I31" s="89"/>
      <c r="J31" s="89"/>
      <c r="K31" s="89"/>
    </row>
    <row r="32" spans="1:11" ht="28" customHeight="1" x14ac:dyDescent="0.35">
      <c r="A32" s="107" t="s">
        <v>424</v>
      </c>
      <c r="B32" s="89"/>
      <c r="C32" s="89"/>
      <c r="D32" s="89"/>
      <c r="E32" s="89"/>
      <c r="F32" s="89"/>
      <c r="G32" s="89"/>
      <c r="H32" s="89"/>
      <c r="I32" s="89"/>
      <c r="J32" s="89"/>
      <c r="K32" s="89"/>
    </row>
    <row r="33" spans="1:11" ht="28" customHeight="1" x14ac:dyDescent="0.35">
      <c r="A33" s="107" t="s">
        <v>425</v>
      </c>
      <c r="B33" s="89"/>
      <c r="C33" s="89"/>
      <c r="D33" s="89"/>
      <c r="E33" s="89"/>
      <c r="F33" s="89"/>
      <c r="G33" s="89"/>
      <c r="H33" s="89"/>
      <c r="I33" s="89"/>
      <c r="J33" s="89"/>
      <c r="K33" s="89"/>
    </row>
    <row r="34" spans="1:11" ht="28" customHeight="1" x14ac:dyDescent="0.35">
      <c r="A34" s="107" t="s">
        <v>426</v>
      </c>
      <c r="B34" s="89"/>
      <c r="C34" s="89"/>
      <c r="D34" s="89"/>
      <c r="E34" s="89"/>
      <c r="F34" s="89"/>
      <c r="G34" s="89"/>
      <c r="H34" s="89"/>
      <c r="I34" s="89"/>
      <c r="J34" s="89"/>
      <c r="K34" s="89"/>
    </row>
    <row r="35" spans="1:11" ht="28" customHeight="1" x14ac:dyDescent="0.35">
      <c r="A35" s="107" t="s">
        <v>427</v>
      </c>
      <c r="B35" s="89"/>
      <c r="C35" s="89"/>
      <c r="D35" s="89"/>
      <c r="E35" s="89"/>
      <c r="F35" s="89"/>
      <c r="G35" s="89"/>
      <c r="H35" s="89"/>
      <c r="I35" s="89"/>
      <c r="J35" s="89"/>
      <c r="K35" s="89"/>
    </row>
    <row r="36" spans="1:11" ht="28" customHeight="1" x14ac:dyDescent="0.35">
      <c r="A36" s="107" t="s">
        <v>428</v>
      </c>
      <c r="B36" s="89"/>
      <c r="C36" s="89"/>
      <c r="D36" s="89"/>
      <c r="E36" s="89"/>
      <c r="F36" s="89"/>
      <c r="G36" s="89"/>
      <c r="H36" s="89"/>
      <c r="I36" s="89"/>
      <c r="J36" s="89"/>
      <c r="K36" s="89"/>
    </row>
  </sheetData>
  <mergeCells count="35">
    <mergeCell ref="A1:I1"/>
    <mergeCell ref="A19:K19"/>
    <mergeCell ref="A10:K10"/>
    <mergeCell ref="D6:I6"/>
    <mergeCell ref="F21:K21"/>
    <mergeCell ref="A3:K3"/>
    <mergeCell ref="D5:I5"/>
    <mergeCell ref="A5:B5"/>
    <mergeCell ref="A2:K2"/>
    <mergeCell ref="A33:K33"/>
    <mergeCell ref="D28:K28"/>
    <mergeCell ref="A32:K32"/>
    <mergeCell ref="A8:B8"/>
    <mergeCell ref="A23:K23"/>
    <mergeCell ref="A4:B4"/>
    <mergeCell ref="D25:K25"/>
    <mergeCell ref="D24:K24"/>
    <mergeCell ref="A28:B28"/>
    <mergeCell ref="A31:K31"/>
    <mergeCell ref="D4:I4"/>
    <mergeCell ref="D27:K27"/>
    <mergeCell ref="A27:B27"/>
    <mergeCell ref="D8:I8"/>
    <mergeCell ref="A26:B26"/>
    <mergeCell ref="A36:K36"/>
    <mergeCell ref="D7:I7"/>
    <mergeCell ref="A6:B6"/>
    <mergeCell ref="A7:B7"/>
    <mergeCell ref="A25:B25"/>
    <mergeCell ref="A35:K35"/>
    <mergeCell ref="D26:K26"/>
    <mergeCell ref="A24:B24"/>
    <mergeCell ref="F20:K20"/>
    <mergeCell ref="A34:K34"/>
    <mergeCell ref="A30:K30"/>
  </mergeCells>
  <dataValidations count="6">
    <dataValidation type="decimal" sqref="C4" xr:uid="{00000000-0002-0000-0C00-000000000000}">
      <formula1>0.02</formula1>
      <formula2>0.35</formula2>
    </dataValidation>
    <dataValidation type="decimal" sqref="C5" xr:uid="{00000000-0002-0000-0C00-000001000000}">
      <formula1>0.5</formula1>
      <formula2>1.2</formula2>
    </dataValidation>
    <dataValidation type="decimal" sqref="C6 C12:C17" xr:uid="{00000000-0002-0000-0C00-000002000000}">
      <formula1>0</formula1>
      <formula2>100000</formula2>
    </dataValidation>
    <dataValidation type="decimal" sqref="C7" xr:uid="{00000000-0002-0000-0C00-000003000000}">
      <formula1>1</formula1>
      <formula2>20</formula2>
    </dataValidation>
    <dataValidation type="decimal" sqref="C8" xr:uid="{00000000-0002-0000-0C00-000004000000}">
      <formula1>0</formula1>
      <formula2>0.3</formula2>
    </dataValidation>
    <dataValidation type="whole" sqref="C24" xr:uid="{00000000-0002-0000-0C00-000005000000}">
      <formula1>0</formula1>
      <formula2>100000</formula2>
    </dataValidation>
  </dataValidations>
  <pageMargins left="0.75" right="0.75" top="1" bottom="1" header="0.5" footer="0.5"/>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4A566"/>
  </sheetPr>
  <dimension ref="A1:K31"/>
  <sheetViews>
    <sheetView showGridLines="0" workbookViewId="0">
      <pane ySplit="11" topLeftCell="A12" activePane="bottomLeft" state="frozen"/>
      <selection pane="bottomLeft"/>
    </sheetView>
  </sheetViews>
  <sheetFormatPr defaultRowHeight="14.5" x14ac:dyDescent="0.35"/>
  <cols>
    <col min="1" max="1" width="20" customWidth="1"/>
    <col min="2" max="2" width="12" customWidth="1"/>
    <col min="3" max="3" width="11" customWidth="1"/>
    <col min="4" max="4" width="13" customWidth="1"/>
    <col min="5" max="5" width="11" customWidth="1"/>
    <col min="6" max="8" width="13" customWidth="1"/>
    <col min="9" max="9" width="11" customWidth="1"/>
    <col min="10" max="10" width="16" customWidth="1"/>
    <col min="11" max="11" width="22" customWidth="1"/>
  </cols>
  <sheetData>
    <row r="1" spans="1:11" ht="28" customHeight="1" x14ac:dyDescent="0.35">
      <c r="A1" s="108" t="s">
        <v>429</v>
      </c>
      <c r="B1" s="89"/>
      <c r="C1" s="89"/>
      <c r="D1" s="89"/>
      <c r="E1" s="89"/>
      <c r="F1" s="89"/>
      <c r="G1" s="89"/>
      <c r="H1" s="89"/>
      <c r="I1" s="89"/>
      <c r="J1" s="1"/>
      <c r="K1" s="1"/>
    </row>
    <row r="2" spans="1:11" x14ac:dyDescent="0.35">
      <c r="A2" s="105" t="s">
        <v>430</v>
      </c>
      <c r="B2" s="106"/>
      <c r="C2" s="106"/>
      <c r="D2" s="106"/>
      <c r="E2" s="106"/>
      <c r="F2" s="106"/>
      <c r="G2" s="106"/>
      <c r="H2" s="106"/>
      <c r="I2" s="106"/>
      <c r="J2" s="89"/>
      <c r="K2" s="89"/>
    </row>
    <row r="3" spans="1:11" ht="18" customHeight="1" x14ac:dyDescent="0.35">
      <c r="A3" s="92" t="s">
        <v>431</v>
      </c>
      <c r="B3" s="93"/>
      <c r="C3" s="93"/>
      <c r="D3" s="93"/>
      <c r="E3" s="93"/>
      <c r="F3" s="93"/>
      <c r="G3" s="93"/>
      <c r="H3" s="93"/>
      <c r="I3" s="93"/>
      <c r="J3" s="93"/>
      <c r="K3" s="93"/>
    </row>
    <row r="4" spans="1:11" x14ac:dyDescent="0.35">
      <c r="A4" s="104" t="s">
        <v>432</v>
      </c>
      <c r="B4" s="89"/>
      <c r="C4" s="60">
        <f>ScaleTargetBottles50</f>
        <v>132</v>
      </c>
      <c r="D4" s="94" t="s">
        <v>433</v>
      </c>
      <c r="E4" s="89"/>
      <c r="F4" s="89"/>
      <c r="G4" s="89"/>
      <c r="H4" s="89"/>
      <c r="I4" s="89"/>
      <c r="J4" s="89"/>
      <c r="K4" s="89"/>
    </row>
    <row r="5" spans="1:11" x14ac:dyDescent="0.35">
      <c r="A5" s="104" t="s">
        <v>434</v>
      </c>
      <c r="B5" s="89"/>
      <c r="C5" s="60">
        <f>MIN(8,$C$4)</f>
        <v>8</v>
      </c>
      <c r="D5" s="94" t="s">
        <v>435</v>
      </c>
      <c r="E5" s="89"/>
      <c r="F5" s="89"/>
      <c r="G5" s="89"/>
      <c r="H5" s="89"/>
      <c r="I5" s="89"/>
      <c r="J5" s="89"/>
      <c r="K5" s="89"/>
    </row>
    <row r="6" spans="1:11" x14ac:dyDescent="0.35">
      <c r="A6" s="104" t="s">
        <v>436</v>
      </c>
      <c r="B6" s="89"/>
      <c r="C6" s="20">
        <v>0.35</v>
      </c>
      <c r="D6" s="94" t="s">
        <v>437</v>
      </c>
      <c r="E6" s="89"/>
      <c r="F6" s="89"/>
      <c r="G6" s="89"/>
      <c r="H6" s="89"/>
      <c r="I6" s="89"/>
      <c r="J6" s="89"/>
      <c r="K6" s="89"/>
    </row>
    <row r="7" spans="1:11" x14ac:dyDescent="0.35">
      <c r="A7" s="104" t="s">
        <v>438</v>
      </c>
      <c r="B7" s="89"/>
      <c r="C7" s="20">
        <v>0.1</v>
      </c>
      <c r="D7" s="94" t="s">
        <v>439</v>
      </c>
      <c r="E7" s="89"/>
      <c r="F7" s="89"/>
      <c r="G7" s="89"/>
      <c r="H7" s="89"/>
      <c r="I7" s="89"/>
      <c r="J7" s="89"/>
      <c r="K7" s="89"/>
    </row>
    <row r="8" spans="1:11" x14ac:dyDescent="0.35">
      <c r="A8" s="104" t="s">
        <v>440</v>
      </c>
      <c r="B8" s="89"/>
      <c r="C8" s="20">
        <f>PR_Vat</f>
        <v>0.15</v>
      </c>
      <c r="D8" s="94" t="s">
        <v>441</v>
      </c>
      <c r="E8" s="89"/>
      <c r="F8" s="89"/>
      <c r="G8" s="89"/>
      <c r="H8" s="89"/>
      <c r="I8" s="89"/>
      <c r="J8" s="89"/>
      <c r="K8" s="89"/>
    </row>
    <row r="9" spans="1:11" x14ac:dyDescent="0.35">
      <c r="A9" s="1"/>
      <c r="B9" s="1"/>
      <c r="C9" s="1"/>
      <c r="D9" s="1"/>
      <c r="E9" s="1"/>
      <c r="F9" s="1"/>
      <c r="G9" s="1"/>
      <c r="H9" s="1"/>
      <c r="I9" s="1"/>
      <c r="J9" s="1"/>
      <c r="K9" s="1"/>
    </row>
    <row r="10" spans="1:11" ht="18" customHeight="1" x14ac:dyDescent="0.35">
      <c r="A10" s="92" t="s">
        <v>442</v>
      </c>
      <c r="B10" s="93"/>
      <c r="C10" s="93"/>
      <c r="D10" s="93"/>
      <c r="E10" s="93"/>
      <c r="F10" s="93"/>
      <c r="G10" s="93"/>
      <c r="H10" s="93"/>
      <c r="I10" s="93"/>
      <c r="J10" s="93"/>
      <c r="K10" s="93"/>
    </row>
    <row r="11" spans="1:11" ht="24" customHeight="1" x14ac:dyDescent="0.35">
      <c r="A11" s="17" t="s">
        <v>443</v>
      </c>
      <c r="B11" s="17" t="s">
        <v>444</v>
      </c>
      <c r="C11" s="17" t="s">
        <v>397</v>
      </c>
      <c r="D11" s="17" t="s">
        <v>445</v>
      </c>
      <c r="E11" s="17" t="s">
        <v>399</v>
      </c>
      <c r="F11" s="17" t="s">
        <v>446</v>
      </c>
      <c r="G11" s="17" t="s">
        <v>447</v>
      </c>
      <c r="H11" s="17" t="s">
        <v>448</v>
      </c>
      <c r="I11" s="17" t="s">
        <v>449</v>
      </c>
      <c r="J11" s="17" t="s">
        <v>450</v>
      </c>
      <c r="K11" s="17" t="s">
        <v>451</v>
      </c>
    </row>
    <row r="12" spans="1:11" ht="18" x14ac:dyDescent="0.35">
      <c r="A12" s="83" t="s">
        <v>452</v>
      </c>
      <c r="B12" s="24">
        <f>'Pricing &amp; Sales'!$E$12</f>
        <v>20.312870766609866</v>
      </c>
      <c r="C12" s="24">
        <f>'Pricing &amp; Sales'!$F$12</f>
        <v>2.0312870766609867</v>
      </c>
      <c r="D12" s="24">
        <f>'Pricing &amp; Sales'!$G$12</f>
        <v>60.9386122998296</v>
      </c>
      <c r="E12" s="24">
        <f>'Pricing &amp; Sales'!$H$12</f>
        <v>6.0938612299829602</v>
      </c>
      <c r="F12" s="80">
        <f t="shared" ref="F12:F17" si="0">CEILING(D12*(1+$C$7),10)</f>
        <v>70</v>
      </c>
      <c r="G12" s="24">
        <f t="shared" ref="G12:G17" si="1">F12*(1+$C$8)</f>
        <v>80.5</v>
      </c>
      <c r="H12" s="24">
        <f t="shared" ref="H12:H17" si="2">F12-B12</f>
        <v>49.687129233390138</v>
      </c>
      <c r="I12" s="75">
        <f t="shared" ref="I12:I17" si="3">IF(F12=0,"",H12/F12)</f>
        <v>0.70981613190557336</v>
      </c>
      <c r="J12" s="61" t="s">
        <v>453</v>
      </c>
      <c r="K12" s="61" t="s">
        <v>454</v>
      </c>
    </row>
    <row r="13" spans="1:11" ht="18" x14ac:dyDescent="0.35">
      <c r="A13" s="83" t="s">
        <v>455</v>
      </c>
      <c r="B13" s="24">
        <f>'Pricing &amp; Sales'!$E$13</f>
        <v>34.625741533219731</v>
      </c>
      <c r="C13" s="24">
        <f>'Pricing &amp; Sales'!$F$13</f>
        <v>1.7312870766609865</v>
      </c>
      <c r="D13" s="24">
        <f>'Pricing &amp; Sales'!$G$13</f>
        <v>103.8772245996592</v>
      </c>
      <c r="E13" s="24">
        <f>'Pricing &amp; Sales'!$H$13</f>
        <v>5.1938612299829598</v>
      </c>
      <c r="F13" s="80">
        <f t="shared" si="0"/>
        <v>120</v>
      </c>
      <c r="G13" s="24">
        <f t="shared" si="1"/>
        <v>138</v>
      </c>
      <c r="H13" s="24">
        <f t="shared" si="2"/>
        <v>85.374258466780276</v>
      </c>
      <c r="I13" s="75">
        <f t="shared" si="3"/>
        <v>0.71145215388983563</v>
      </c>
      <c r="J13" s="61" t="s">
        <v>456</v>
      </c>
      <c r="K13" s="61" t="s">
        <v>457</v>
      </c>
    </row>
    <row r="14" spans="1:11" ht="18" x14ac:dyDescent="0.35">
      <c r="A14" s="83" t="s">
        <v>458</v>
      </c>
      <c r="B14" s="24">
        <f>'Pricing &amp; Sales'!$E$14</f>
        <v>54.9386122998296</v>
      </c>
      <c r="C14" s="24">
        <f>'Pricing &amp; Sales'!$F$14</f>
        <v>1.8312870766609868</v>
      </c>
      <c r="D14" s="24">
        <f>'Pricing &amp; Sales'!$G$14</f>
        <v>164.8158368994888</v>
      </c>
      <c r="E14" s="24">
        <f>'Pricing &amp; Sales'!$H$14</f>
        <v>5.4938612299829597</v>
      </c>
      <c r="F14" s="80">
        <f t="shared" si="0"/>
        <v>190</v>
      </c>
      <c r="G14" s="24">
        <f t="shared" si="1"/>
        <v>218.49999999999997</v>
      </c>
      <c r="H14" s="24">
        <f t="shared" si="2"/>
        <v>135.0613877001704</v>
      </c>
      <c r="I14" s="75">
        <f t="shared" si="3"/>
        <v>0.71084940894826532</v>
      </c>
      <c r="J14" s="61" t="s">
        <v>459</v>
      </c>
      <c r="K14" s="61" t="s">
        <v>460</v>
      </c>
    </row>
    <row r="15" spans="1:11" ht="18" x14ac:dyDescent="0.35">
      <c r="A15" s="83" t="s">
        <v>461</v>
      </c>
      <c r="B15" s="24">
        <f>'Pricing &amp; Sales'!$E$15</f>
        <v>81.564353833049324</v>
      </c>
      <c r="C15" s="24">
        <f>'Pricing &amp; Sales'!$F$15</f>
        <v>1.6312870766609864</v>
      </c>
      <c r="D15" s="24">
        <f>'Pricing &amp; Sales'!$G$15</f>
        <v>244.69306149914797</v>
      </c>
      <c r="E15" s="24">
        <f>'Pricing &amp; Sales'!$H$15</f>
        <v>4.8938612299829591</v>
      </c>
      <c r="F15" s="80">
        <f t="shared" si="0"/>
        <v>270</v>
      </c>
      <c r="G15" s="24">
        <f t="shared" si="1"/>
        <v>310.5</v>
      </c>
      <c r="H15" s="24">
        <f t="shared" si="2"/>
        <v>188.43564616695068</v>
      </c>
      <c r="I15" s="75">
        <f t="shared" si="3"/>
        <v>0.69790980061833585</v>
      </c>
      <c r="J15" s="61" t="s">
        <v>462</v>
      </c>
      <c r="K15" s="61" t="s">
        <v>463</v>
      </c>
    </row>
    <row r="16" spans="1:11" ht="18" x14ac:dyDescent="0.35">
      <c r="A16" s="83" t="s">
        <v>464</v>
      </c>
      <c r="B16" s="24">
        <f>'Pricing &amp; Sales'!$E$16</f>
        <v>106.19009536626906</v>
      </c>
      <c r="C16" s="24">
        <f>'Pricing &amp; Sales'!$F$16</f>
        <v>1.5170013623752723</v>
      </c>
      <c r="D16" s="24">
        <f>'Pricing &amp; Sales'!$G$16</f>
        <v>318.57028609880717</v>
      </c>
      <c r="E16" s="24">
        <f>'Pricing &amp; Sales'!$H$16</f>
        <v>4.5510040871258166</v>
      </c>
      <c r="F16" s="80">
        <f t="shared" si="0"/>
        <v>360</v>
      </c>
      <c r="G16" s="24">
        <f t="shared" si="1"/>
        <v>413.99999999999994</v>
      </c>
      <c r="H16" s="24">
        <f t="shared" si="2"/>
        <v>253.80990463373092</v>
      </c>
      <c r="I16" s="75">
        <f t="shared" si="3"/>
        <v>0.7050275128714748</v>
      </c>
      <c r="J16" s="61" t="s">
        <v>465</v>
      </c>
      <c r="K16" s="61" t="s">
        <v>466</v>
      </c>
    </row>
    <row r="17" spans="1:11" ht="18" x14ac:dyDescent="0.35">
      <c r="A17" s="83" t="s">
        <v>467</v>
      </c>
      <c r="B17" s="24">
        <f>'Pricing &amp; Sales'!$E$17</f>
        <v>138.12870766609865</v>
      </c>
      <c r="C17" s="24">
        <f>'Pricing &amp; Sales'!$F$17</f>
        <v>1.3812870766609864</v>
      </c>
      <c r="D17" s="24">
        <f>'Pricing &amp; Sales'!$G$17</f>
        <v>414.38612299829595</v>
      </c>
      <c r="E17" s="24">
        <f>'Pricing &amp; Sales'!$H$17</f>
        <v>4.1438612299829591</v>
      </c>
      <c r="F17" s="80">
        <f t="shared" si="0"/>
        <v>460</v>
      </c>
      <c r="G17" s="24">
        <f t="shared" si="1"/>
        <v>529</v>
      </c>
      <c r="H17" s="24">
        <f t="shared" si="2"/>
        <v>321.87129233390135</v>
      </c>
      <c r="I17" s="75">
        <f t="shared" si="3"/>
        <v>0.69972020072587249</v>
      </c>
      <c r="J17" s="61" t="s">
        <v>468</v>
      </c>
      <c r="K17" s="61" t="s">
        <v>466</v>
      </c>
    </row>
    <row r="18" spans="1:11" x14ac:dyDescent="0.35">
      <c r="A18" s="1"/>
      <c r="B18" s="1"/>
      <c r="C18" s="1"/>
      <c r="D18" s="1"/>
      <c r="E18" s="1"/>
      <c r="F18" s="1"/>
      <c r="G18" s="1"/>
      <c r="H18" s="1"/>
      <c r="I18" s="1"/>
      <c r="J18" s="1"/>
      <c r="K18" s="1"/>
    </row>
    <row r="19" spans="1:11" x14ac:dyDescent="0.35">
      <c r="A19" s="1"/>
      <c r="B19" s="1"/>
      <c r="C19" s="1"/>
      <c r="D19" s="1"/>
      <c r="E19" s="1"/>
      <c r="F19" s="1"/>
      <c r="G19" s="1"/>
      <c r="H19" s="1"/>
      <c r="I19" s="1"/>
      <c r="J19" s="1"/>
      <c r="K19" s="1"/>
    </row>
    <row r="20" spans="1:11" ht="18" customHeight="1" x14ac:dyDescent="0.35">
      <c r="A20" s="92" t="s">
        <v>469</v>
      </c>
      <c r="B20" s="93"/>
      <c r="C20" s="93"/>
      <c r="D20" s="93"/>
      <c r="E20" s="93"/>
      <c r="F20" s="93"/>
      <c r="G20" s="93"/>
      <c r="H20" s="93"/>
      <c r="I20" s="93"/>
      <c r="J20" s="93"/>
      <c r="K20" s="93"/>
    </row>
    <row r="21" spans="1:11" ht="24" customHeight="1" x14ac:dyDescent="0.35">
      <c r="A21" s="17" t="s">
        <v>470</v>
      </c>
      <c r="B21" s="17" t="s">
        <v>471</v>
      </c>
      <c r="C21" s="17" t="s">
        <v>472</v>
      </c>
      <c r="D21" s="17" t="s">
        <v>473</v>
      </c>
      <c r="E21" s="17" t="s">
        <v>474</v>
      </c>
      <c r="F21" s="17" t="s">
        <v>475</v>
      </c>
      <c r="G21" s="17" t="s">
        <v>476</v>
      </c>
      <c r="H21" s="17" t="s">
        <v>477</v>
      </c>
      <c r="I21" s="17" t="s">
        <v>279</v>
      </c>
      <c r="J21" s="17"/>
      <c r="K21" s="17"/>
    </row>
    <row r="22" spans="1:11" ht="60" x14ac:dyDescent="0.35">
      <c r="A22" s="82" t="s">
        <v>478</v>
      </c>
      <c r="B22" s="69">
        <f>MAX($C$4-B23-B24,0)</f>
        <v>93</v>
      </c>
      <c r="C22" s="24">
        <f>$F$15*(1-$C$7)</f>
        <v>243</v>
      </c>
      <c r="D22" s="75">
        <v>0</v>
      </c>
      <c r="E22" s="24">
        <f>B22*C22*(1-D22)</f>
        <v>22599</v>
      </c>
      <c r="F22" s="24">
        <f>'Pricing &amp; Sales'!$E$15</f>
        <v>81.564353833049324</v>
      </c>
      <c r="G22" s="24">
        <f>E22-B22*F22</f>
        <v>15013.515093526414</v>
      </c>
      <c r="H22" s="61" t="s">
        <v>479</v>
      </c>
      <c r="I22" s="84" t="s">
        <v>480</v>
      </c>
      <c r="J22" s="1"/>
      <c r="K22" s="1"/>
    </row>
    <row r="23" spans="1:11" ht="72" x14ac:dyDescent="0.35">
      <c r="A23" s="82" t="s">
        <v>434</v>
      </c>
      <c r="B23" s="69">
        <f>MIN($C$5,$C$4)</f>
        <v>8</v>
      </c>
      <c r="C23" s="24">
        <v>0</v>
      </c>
      <c r="D23" s="75">
        <v>0</v>
      </c>
      <c r="E23" s="24">
        <f>B23*C23*(1-D23)</f>
        <v>0</v>
      </c>
      <c r="F23" s="24">
        <f>'Pricing &amp; Sales'!$E$15</f>
        <v>81.564353833049324</v>
      </c>
      <c r="G23" s="24">
        <f>E23-B23*F23</f>
        <v>-652.51483066439459</v>
      </c>
      <c r="H23" s="61" t="s">
        <v>479</v>
      </c>
      <c r="I23" s="84" t="s">
        <v>481</v>
      </c>
      <c r="J23" s="1"/>
      <c r="K23" s="1"/>
    </row>
    <row r="24" spans="1:11" ht="48" x14ac:dyDescent="0.35">
      <c r="A24" s="82" t="s">
        <v>482</v>
      </c>
      <c r="B24" s="69">
        <f>ROUND(MAX($C$4-B23,0)*0.25,0)</f>
        <v>31</v>
      </c>
      <c r="C24" s="24">
        <f>$F$15</f>
        <v>270</v>
      </c>
      <c r="D24" s="75">
        <f>$C$6</f>
        <v>0.35</v>
      </c>
      <c r="E24" s="24">
        <f>B24*C24*(1-D24)</f>
        <v>5440.5</v>
      </c>
      <c r="F24" s="24">
        <f>'Pricing &amp; Sales'!$E$15</f>
        <v>81.564353833049324</v>
      </c>
      <c r="G24" s="24">
        <f>E24-B24*F24</f>
        <v>2912.0050311754708</v>
      </c>
      <c r="H24" s="61" t="s">
        <v>479</v>
      </c>
      <c r="I24" s="84" t="s">
        <v>483</v>
      </c>
      <c r="J24" s="1"/>
      <c r="K24" s="1"/>
    </row>
    <row r="25" spans="1:11" x14ac:dyDescent="0.35">
      <c r="A25" s="1"/>
      <c r="B25" s="1"/>
      <c r="C25" s="1"/>
      <c r="D25" s="1"/>
      <c r="E25" s="1"/>
      <c r="F25" s="1"/>
      <c r="G25" s="1"/>
      <c r="H25" s="1"/>
      <c r="I25" s="1"/>
      <c r="J25" s="1"/>
      <c r="K25" s="1"/>
    </row>
    <row r="26" spans="1:11" x14ac:dyDescent="0.35">
      <c r="A26" s="1"/>
      <c r="B26" s="1"/>
      <c r="C26" s="1"/>
      <c r="D26" s="1"/>
      <c r="E26" s="1"/>
      <c r="F26" s="1"/>
      <c r="G26" s="1"/>
      <c r="H26" s="1"/>
      <c r="I26" s="1"/>
      <c r="J26" s="1"/>
      <c r="K26" s="1"/>
    </row>
    <row r="27" spans="1:11" ht="18" customHeight="1" x14ac:dyDescent="0.35">
      <c r="A27" s="92" t="s">
        <v>484</v>
      </c>
      <c r="B27" s="93"/>
      <c r="C27" s="93"/>
      <c r="D27" s="93"/>
      <c r="E27" s="93"/>
      <c r="F27" s="93"/>
      <c r="G27" s="93"/>
      <c r="H27" s="93"/>
      <c r="I27" s="93"/>
      <c r="J27" s="93"/>
      <c r="K27" s="93"/>
    </row>
    <row r="28" spans="1:11" x14ac:dyDescent="0.35">
      <c r="A28" s="107" t="s">
        <v>485</v>
      </c>
      <c r="B28" s="89"/>
      <c r="C28" s="89"/>
      <c r="D28" s="89"/>
      <c r="E28" s="89"/>
      <c r="F28" s="89"/>
      <c r="G28" s="89"/>
      <c r="H28" s="89"/>
      <c r="I28" s="89"/>
      <c r="J28" s="89"/>
      <c r="K28" s="89"/>
    </row>
    <row r="29" spans="1:11" x14ac:dyDescent="0.35">
      <c r="A29" s="107" t="s">
        <v>486</v>
      </c>
      <c r="B29" s="89"/>
      <c r="C29" s="89"/>
      <c r="D29" s="89"/>
      <c r="E29" s="89"/>
      <c r="F29" s="89"/>
      <c r="G29" s="89"/>
      <c r="H29" s="89"/>
      <c r="I29" s="89"/>
      <c r="J29" s="89"/>
      <c r="K29" s="89"/>
    </row>
    <row r="30" spans="1:11" x14ac:dyDescent="0.35">
      <c r="A30" s="107" t="s">
        <v>487</v>
      </c>
      <c r="B30" s="89"/>
      <c r="C30" s="89"/>
      <c r="D30" s="89"/>
      <c r="E30" s="89"/>
      <c r="F30" s="89"/>
      <c r="G30" s="89"/>
      <c r="H30" s="89"/>
      <c r="I30" s="89"/>
      <c r="J30" s="89"/>
      <c r="K30" s="89"/>
    </row>
    <row r="31" spans="1:11" x14ac:dyDescent="0.35">
      <c r="A31" s="107" t="s">
        <v>488</v>
      </c>
      <c r="B31" s="89"/>
      <c r="C31" s="89"/>
      <c r="D31" s="89"/>
      <c r="E31" s="89"/>
      <c r="F31" s="89"/>
      <c r="G31" s="89"/>
      <c r="H31" s="89"/>
      <c r="I31" s="89"/>
      <c r="J31" s="89"/>
      <c r="K31" s="89"/>
    </row>
  </sheetData>
  <mergeCells count="20">
    <mergeCell ref="A1:I1"/>
    <mergeCell ref="A10:K10"/>
    <mergeCell ref="A28:K28"/>
    <mergeCell ref="D5:K5"/>
    <mergeCell ref="A31:K31"/>
    <mergeCell ref="A3:K3"/>
    <mergeCell ref="D7:K7"/>
    <mergeCell ref="A5:B5"/>
    <mergeCell ref="A2:K2"/>
    <mergeCell ref="A8:B8"/>
    <mergeCell ref="D4:K4"/>
    <mergeCell ref="A4:B4"/>
    <mergeCell ref="D8:K8"/>
    <mergeCell ref="A30:K30"/>
    <mergeCell ref="A6:B6"/>
    <mergeCell ref="A7:B7"/>
    <mergeCell ref="D6:K6"/>
    <mergeCell ref="A27:K27"/>
    <mergeCell ref="A20:K20"/>
    <mergeCell ref="A29:K29"/>
  </mergeCells>
  <dataValidations count="2">
    <dataValidation type="whole" sqref="C4:C5" xr:uid="{00000000-0002-0000-0D00-000000000000}">
      <formula1>0</formula1>
      <formula2>100000</formula2>
    </dataValidation>
    <dataValidation type="decimal" sqref="C6:C8" xr:uid="{00000000-0002-0000-0D00-000001000000}">
      <formula1>0</formula1>
      <formula2>0.9</formula2>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A8072"/>
  </sheetPr>
  <dimension ref="A1:I44"/>
  <sheetViews>
    <sheetView showGridLines="0" workbookViewId="0"/>
  </sheetViews>
  <sheetFormatPr defaultRowHeight="14.5" x14ac:dyDescent="0.35"/>
  <cols>
    <col min="1" max="1" width="5" customWidth="1"/>
    <col min="2" max="9" width="14" customWidth="1"/>
  </cols>
  <sheetData>
    <row r="1" spans="1:9" ht="28" customHeight="1" x14ac:dyDescent="0.35">
      <c r="A1" s="108" t="s">
        <v>489</v>
      </c>
      <c r="B1" s="89"/>
      <c r="C1" s="89"/>
      <c r="D1" s="89"/>
      <c r="E1" s="89"/>
      <c r="F1" s="89"/>
      <c r="G1" s="89"/>
      <c r="H1" s="89"/>
      <c r="I1" s="89"/>
    </row>
    <row r="2" spans="1:9" x14ac:dyDescent="0.35">
      <c r="A2" s="105" t="s">
        <v>490</v>
      </c>
      <c r="B2" s="106"/>
      <c r="C2" s="106"/>
      <c r="D2" s="106"/>
      <c r="E2" s="106"/>
      <c r="F2" s="106"/>
      <c r="G2" s="106"/>
      <c r="H2" s="106"/>
      <c r="I2" s="106"/>
    </row>
    <row r="3" spans="1:9" x14ac:dyDescent="0.35">
      <c r="A3" s="1"/>
      <c r="B3" s="1"/>
      <c r="C3" s="1"/>
      <c r="D3" s="1"/>
      <c r="E3" s="1"/>
      <c r="F3" s="1"/>
      <c r="G3" s="1"/>
      <c r="H3" s="1"/>
      <c r="I3" s="1"/>
    </row>
    <row r="4" spans="1:9" ht="18" customHeight="1" x14ac:dyDescent="0.35">
      <c r="A4" s="92" t="s">
        <v>491</v>
      </c>
      <c r="B4" s="93"/>
      <c r="C4" s="93"/>
      <c r="D4" s="93"/>
      <c r="E4" s="93"/>
      <c r="F4" s="93"/>
      <c r="G4" s="93"/>
      <c r="H4" s="93"/>
      <c r="I4" s="93"/>
    </row>
    <row r="5" spans="1:9" ht="16" customHeight="1" x14ac:dyDescent="0.35">
      <c r="A5" s="1"/>
      <c r="B5" s="101" t="s">
        <v>492</v>
      </c>
      <c r="C5" s="89"/>
      <c r="D5" s="89"/>
      <c r="E5" s="89"/>
      <c r="F5" s="89"/>
      <c r="G5" s="89"/>
      <c r="H5" s="89"/>
      <c r="I5" s="89"/>
    </row>
    <row r="6" spans="1:9" ht="28" customHeight="1" x14ac:dyDescent="0.35">
      <c r="A6" s="1"/>
      <c r="B6" s="101" t="s">
        <v>493</v>
      </c>
      <c r="C6" s="89"/>
      <c r="D6" s="89"/>
      <c r="E6" s="89"/>
      <c r="F6" s="89"/>
      <c r="G6" s="89"/>
      <c r="H6" s="89"/>
      <c r="I6" s="89"/>
    </row>
    <row r="7" spans="1:9" ht="16" customHeight="1" x14ac:dyDescent="0.35">
      <c r="A7" s="1"/>
      <c r="B7" s="101" t="s">
        <v>494</v>
      </c>
      <c r="C7" s="89"/>
      <c r="D7" s="89"/>
      <c r="E7" s="89"/>
      <c r="F7" s="89"/>
      <c r="G7" s="89"/>
      <c r="H7" s="89"/>
      <c r="I7" s="89"/>
    </row>
    <row r="8" spans="1:9" x14ac:dyDescent="0.35">
      <c r="A8" s="1"/>
      <c r="B8" s="1"/>
      <c r="C8" s="1"/>
      <c r="D8" s="1"/>
      <c r="E8" s="1"/>
      <c r="F8" s="1"/>
      <c r="G8" s="1"/>
      <c r="H8" s="1"/>
      <c r="I8" s="1"/>
    </row>
    <row r="9" spans="1:9" ht="18" customHeight="1" x14ac:dyDescent="0.35">
      <c r="A9" s="92" t="s">
        <v>495</v>
      </c>
      <c r="B9" s="93"/>
      <c r="C9" s="93"/>
      <c r="D9" s="93"/>
      <c r="E9" s="93"/>
      <c r="F9" s="93"/>
      <c r="G9" s="93"/>
      <c r="H9" s="93"/>
      <c r="I9" s="93"/>
    </row>
    <row r="10" spans="1:9" ht="56" customHeight="1" x14ac:dyDescent="0.35">
      <c r="A10" s="1"/>
      <c r="B10" s="101" t="s">
        <v>496</v>
      </c>
      <c r="C10" s="89"/>
      <c r="D10" s="89"/>
      <c r="E10" s="89"/>
      <c r="F10" s="89"/>
      <c r="G10" s="89"/>
      <c r="H10" s="89"/>
      <c r="I10" s="89"/>
    </row>
    <row r="11" spans="1:9" ht="42" customHeight="1" x14ac:dyDescent="0.35">
      <c r="A11" s="1"/>
      <c r="B11" s="101" t="s">
        <v>497</v>
      </c>
      <c r="C11" s="89"/>
      <c r="D11" s="89"/>
      <c r="E11" s="89"/>
      <c r="F11" s="89"/>
      <c r="G11" s="89"/>
      <c r="H11" s="89"/>
      <c r="I11" s="89"/>
    </row>
    <row r="12" spans="1:9" ht="28" customHeight="1" x14ac:dyDescent="0.35">
      <c r="A12" s="1"/>
      <c r="B12" s="101" t="s">
        <v>498</v>
      </c>
      <c r="C12" s="89"/>
      <c r="D12" s="89"/>
      <c r="E12" s="89"/>
      <c r="F12" s="89"/>
      <c r="G12" s="89"/>
      <c r="H12" s="89"/>
      <c r="I12" s="89"/>
    </row>
    <row r="13" spans="1:9" ht="42" customHeight="1" x14ac:dyDescent="0.35">
      <c r="A13" s="1"/>
      <c r="B13" s="101" t="s">
        <v>499</v>
      </c>
      <c r="C13" s="89"/>
      <c r="D13" s="89"/>
      <c r="E13" s="89"/>
      <c r="F13" s="89"/>
      <c r="G13" s="89"/>
      <c r="H13" s="89"/>
      <c r="I13" s="89"/>
    </row>
    <row r="14" spans="1:9" ht="56" customHeight="1" x14ac:dyDescent="0.35">
      <c r="A14" s="1"/>
      <c r="B14" s="101" t="s">
        <v>500</v>
      </c>
      <c r="C14" s="89"/>
      <c r="D14" s="89"/>
      <c r="E14" s="89"/>
      <c r="F14" s="89"/>
      <c r="G14" s="89"/>
      <c r="H14" s="89"/>
      <c r="I14" s="89"/>
    </row>
    <row r="15" spans="1:9" ht="28" customHeight="1" x14ac:dyDescent="0.35">
      <c r="A15" s="1"/>
      <c r="B15" s="101" t="s">
        <v>501</v>
      </c>
      <c r="C15" s="89"/>
      <c r="D15" s="89"/>
      <c r="E15" s="89"/>
      <c r="F15" s="89"/>
      <c r="G15" s="89"/>
      <c r="H15" s="89"/>
      <c r="I15" s="89"/>
    </row>
    <row r="16" spans="1:9" ht="42" customHeight="1" x14ac:dyDescent="0.35">
      <c r="A16" s="1"/>
      <c r="B16" s="101" t="s">
        <v>502</v>
      </c>
      <c r="C16" s="89"/>
      <c r="D16" s="89"/>
      <c r="E16" s="89"/>
      <c r="F16" s="89"/>
      <c r="G16" s="89"/>
      <c r="H16" s="89"/>
      <c r="I16" s="89"/>
    </row>
    <row r="17" spans="1:9" ht="16" customHeight="1" x14ac:dyDescent="0.35">
      <c r="A17" s="1"/>
      <c r="B17" s="101" t="s">
        <v>503</v>
      </c>
      <c r="C17" s="89"/>
      <c r="D17" s="89"/>
      <c r="E17" s="89"/>
      <c r="F17" s="89"/>
      <c r="G17" s="89"/>
      <c r="H17" s="89"/>
      <c r="I17" s="89"/>
    </row>
    <row r="18" spans="1:9" ht="16" customHeight="1" x14ac:dyDescent="0.35">
      <c r="A18" s="1"/>
      <c r="B18" s="101" t="s">
        <v>504</v>
      </c>
      <c r="C18" s="89"/>
      <c r="D18" s="89"/>
      <c r="E18" s="89"/>
      <c r="F18" s="89"/>
      <c r="G18" s="89"/>
      <c r="H18" s="89"/>
      <c r="I18" s="89"/>
    </row>
    <row r="19" spans="1:9" ht="42" customHeight="1" x14ac:dyDescent="0.35">
      <c r="A19" s="1"/>
      <c r="B19" s="101" t="s">
        <v>505</v>
      </c>
      <c r="C19" s="89"/>
      <c r="D19" s="89"/>
      <c r="E19" s="89"/>
      <c r="F19" s="89"/>
      <c r="G19" s="89"/>
      <c r="H19" s="89"/>
      <c r="I19" s="89"/>
    </row>
    <row r="20" spans="1:9" ht="28" customHeight="1" x14ac:dyDescent="0.35">
      <c r="A20" s="1"/>
      <c r="B20" s="101" t="s">
        <v>506</v>
      </c>
      <c r="C20" s="89"/>
      <c r="D20" s="89"/>
      <c r="E20" s="89"/>
      <c r="F20" s="89"/>
      <c r="G20" s="89"/>
      <c r="H20" s="89"/>
      <c r="I20" s="89"/>
    </row>
    <row r="21" spans="1:9" x14ac:dyDescent="0.35">
      <c r="A21" s="1"/>
      <c r="B21" s="1"/>
      <c r="C21" s="1"/>
      <c r="D21" s="1"/>
      <c r="E21" s="1"/>
      <c r="F21" s="1"/>
      <c r="G21" s="1"/>
      <c r="H21" s="1"/>
      <c r="I21" s="1"/>
    </row>
    <row r="22" spans="1:9" ht="18" customHeight="1" x14ac:dyDescent="0.35">
      <c r="A22" s="92" t="s">
        <v>507</v>
      </c>
      <c r="B22" s="93"/>
      <c r="C22" s="93"/>
      <c r="D22" s="93"/>
      <c r="E22" s="93"/>
      <c r="F22" s="93"/>
      <c r="G22" s="93"/>
      <c r="H22" s="93"/>
      <c r="I22" s="93"/>
    </row>
    <row r="23" spans="1:9" ht="28" customHeight="1" x14ac:dyDescent="0.35">
      <c r="A23" s="1"/>
      <c r="B23" s="101" t="s">
        <v>508</v>
      </c>
      <c r="C23" s="89"/>
      <c r="D23" s="89"/>
      <c r="E23" s="89"/>
      <c r="F23" s="89"/>
      <c r="G23" s="89"/>
      <c r="H23" s="89"/>
      <c r="I23" s="89"/>
    </row>
    <row r="24" spans="1:9" ht="16" customHeight="1" x14ac:dyDescent="0.35">
      <c r="A24" s="1"/>
      <c r="B24" s="101" t="s">
        <v>509</v>
      </c>
      <c r="C24" s="89"/>
      <c r="D24" s="89"/>
      <c r="E24" s="89"/>
      <c r="F24" s="89"/>
      <c r="G24" s="89"/>
      <c r="H24" s="89"/>
      <c r="I24" s="89"/>
    </row>
    <row r="25" spans="1:9" x14ac:dyDescent="0.35">
      <c r="A25" s="1"/>
      <c r="B25" s="1"/>
      <c r="C25" s="1"/>
      <c r="D25" s="1"/>
      <c r="E25" s="1"/>
      <c r="F25" s="1"/>
      <c r="G25" s="1"/>
      <c r="H25" s="1"/>
      <c r="I25" s="1"/>
    </row>
    <row r="26" spans="1:9" ht="18" customHeight="1" x14ac:dyDescent="0.35">
      <c r="A26" s="92" t="s">
        <v>510</v>
      </c>
      <c r="B26" s="93"/>
      <c r="C26" s="93"/>
      <c r="D26" s="93"/>
      <c r="E26" s="93"/>
      <c r="F26" s="93"/>
      <c r="G26" s="93"/>
      <c r="H26" s="93"/>
      <c r="I26" s="93"/>
    </row>
    <row r="27" spans="1:9" ht="16" customHeight="1" x14ac:dyDescent="0.35">
      <c r="A27" s="1"/>
      <c r="B27" s="101" t="s">
        <v>511</v>
      </c>
      <c r="C27" s="89"/>
      <c r="D27" s="89"/>
      <c r="E27" s="89"/>
      <c r="F27" s="89"/>
      <c r="G27" s="89"/>
      <c r="H27" s="89"/>
      <c r="I27" s="89"/>
    </row>
    <row r="28" spans="1:9" ht="16" customHeight="1" x14ac:dyDescent="0.35">
      <c r="A28" s="1"/>
      <c r="B28" s="101" t="s">
        <v>512</v>
      </c>
      <c r="C28" s="89"/>
      <c r="D28" s="89"/>
      <c r="E28" s="89"/>
      <c r="F28" s="89"/>
      <c r="G28" s="89"/>
      <c r="H28" s="89"/>
      <c r="I28" s="89"/>
    </row>
    <row r="29" spans="1:9" ht="16" customHeight="1" x14ac:dyDescent="0.35">
      <c r="A29" s="1"/>
      <c r="B29" s="101" t="s">
        <v>513</v>
      </c>
      <c r="C29" s="89"/>
      <c r="D29" s="89"/>
      <c r="E29" s="89"/>
      <c r="F29" s="89"/>
      <c r="G29" s="89"/>
      <c r="H29" s="89"/>
      <c r="I29" s="89"/>
    </row>
    <row r="30" spans="1:9" ht="16" customHeight="1" x14ac:dyDescent="0.35">
      <c r="A30" s="1"/>
      <c r="B30" s="101" t="s">
        <v>514</v>
      </c>
      <c r="C30" s="89"/>
      <c r="D30" s="89"/>
      <c r="E30" s="89"/>
      <c r="F30" s="89"/>
      <c r="G30" s="89"/>
      <c r="H30" s="89"/>
      <c r="I30" s="89"/>
    </row>
    <row r="31" spans="1:9" ht="28" customHeight="1" x14ac:dyDescent="0.35">
      <c r="A31" s="1"/>
      <c r="B31" s="101" t="s">
        <v>515</v>
      </c>
      <c r="C31" s="89"/>
      <c r="D31" s="89"/>
      <c r="E31" s="89"/>
      <c r="F31" s="89"/>
      <c r="G31" s="89"/>
      <c r="H31" s="89"/>
      <c r="I31" s="89"/>
    </row>
    <row r="32" spans="1:9" x14ac:dyDescent="0.35">
      <c r="A32" s="1"/>
      <c r="B32" s="1"/>
      <c r="C32" s="1"/>
      <c r="D32" s="1"/>
      <c r="E32" s="1"/>
      <c r="F32" s="1"/>
      <c r="G32" s="1"/>
      <c r="H32" s="1"/>
      <c r="I32" s="1"/>
    </row>
    <row r="33" spans="1:9" ht="18" customHeight="1" x14ac:dyDescent="0.35">
      <c r="A33" s="92" t="s">
        <v>516</v>
      </c>
      <c r="B33" s="93"/>
      <c r="C33" s="93"/>
      <c r="D33" s="93"/>
      <c r="E33" s="93"/>
      <c r="F33" s="93"/>
      <c r="G33" s="93"/>
      <c r="H33" s="93"/>
      <c r="I33" s="93"/>
    </row>
    <row r="34" spans="1:9" ht="16" customHeight="1" x14ac:dyDescent="0.35">
      <c r="A34" s="1"/>
      <c r="B34" s="101" t="s">
        <v>517</v>
      </c>
      <c r="C34" s="89"/>
      <c r="D34" s="89"/>
      <c r="E34" s="89"/>
      <c r="F34" s="89"/>
      <c r="G34" s="89"/>
      <c r="H34" s="89"/>
      <c r="I34" s="89"/>
    </row>
    <row r="35" spans="1:9" ht="28" customHeight="1" x14ac:dyDescent="0.35">
      <c r="A35" s="1"/>
      <c r="B35" s="101" t="s">
        <v>518</v>
      </c>
      <c r="C35" s="89"/>
      <c r="D35" s="89"/>
      <c r="E35" s="89"/>
      <c r="F35" s="89"/>
      <c r="G35" s="89"/>
      <c r="H35" s="89"/>
      <c r="I35" s="89"/>
    </row>
    <row r="36" spans="1:9" ht="16" customHeight="1" x14ac:dyDescent="0.35">
      <c r="A36" s="1"/>
      <c r="B36" s="101" t="s">
        <v>519</v>
      </c>
      <c r="C36" s="89"/>
      <c r="D36" s="89"/>
      <c r="E36" s="89"/>
      <c r="F36" s="89"/>
      <c r="G36" s="89"/>
      <c r="H36" s="89"/>
      <c r="I36" s="89"/>
    </row>
    <row r="37" spans="1:9" x14ac:dyDescent="0.35">
      <c r="A37" s="1"/>
      <c r="B37" s="1"/>
      <c r="C37" s="1"/>
      <c r="D37" s="1"/>
      <c r="E37" s="1"/>
      <c r="F37" s="1"/>
      <c r="G37" s="1"/>
      <c r="H37" s="1"/>
      <c r="I37" s="1"/>
    </row>
    <row r="38" spans="1:9" ht="18" customHeight="1" x14ac:dyDescent="0.35">
      <c r="A38" s="92" t="s">
        <v>520</v>
      </c>
      <c r="B38" s="93"/>
      <c r="C38" s="93"/>
      <c r="D38" s="93"/>
      <c r="E38" s="93"/>
      <c r="F38" s="93"/>
      <c r="G38" s="93"/>
      <c r="H38" s="93"/>
      <c r="I38" s="93"/>
    </row>
    <row r="39" spans="1:9" ht="16" customHeight="1" x14ac:dyDescent="0.35">
      <c r="A39" s="1"/>
      <c r="B39" s="101" t="s">
        <v>521</v>
      </c>
      <c r="C39" s="89"/>
      <c r="D39" s="89"/>
      <c r="E39" s="89"/>
      <c r="F39" s="89"/>
      <c r="G39" s="89"/>
      <c r="H39" s="89"/>
      <c r="I39" s="89"/>
    </row>
    <row r="40" spans="1:9" ht="16" customHeight="1" x14ac:dyDescent="0.35">
      <c r="A40" s="1"/>
      <c r="B40" s="101" t="s">
        <v>522</v>
      </c>
      <c r="C40" s="89"/>
      <c r="D40" s="89"/>
      <c r="E40" s="89"/>
      <c r="F40" s="89"/>
      <c r="G40" s="89"/>
      <c r="H40" s="89"/>
      <c r="I40" s="89"/>
    </row>
    <row r="41" spans="1:9" ht="16" customHeight="1" x14ac:dyDescent="0.35">
      <c r="A41" s="1"/>
      <c r="B41" s="101" t="s">
        <v>523</v>
      </c>
      <c r="C41" s="89"/>
      <c r="D41" s="89"/>
      <c r="E41" s="89"/>
      <c r="F41" s="89"/>
      <c r="G41" s="89"/>
      <c r="H41" s="89"/>
      <c r="I41" s="89"/>
    </row>
    <row r="42" spans="1:9" ht="16" customHeight="1" x14ac:dyDescent="0.35">
      <c r="A42" s="1"/>
      <c r="B42" s="101" t="s">
        <v>524</v>
      </c>
      <c r="C42" s="89"/>
      <c r="D42" s="89"/>
      <c r="E42" s="89"/>
      <c r="F42" s="89"/>
      <c r="G42" s="89"/>
      <c r="H42" s="89"/>
      <c r="I42" s="89"/>
    </row>
    <row r="43" spans="1:9" ht="16" customHeight="1" x14ac:dyDescent="0.35">
      <c r="A43" s="1"/>
      <c r="B43" s="101" t="s">
        <v>525</v>
      </c>
      <c r="C43" s="89"/>
      <c r="D43" s="89"/>
      <c r="E43" s="89"/>
      <c r="F43" s="89"/>
      <c r="G43" s="89"/>
      <c r="H43" s="89"/>
      <c r="I43" s="89"/>
    </row>
    <row r="44" spans="1:9" ht="16" customHeight="1" x14ac:dyDescent="0.35">
      <c r="A44" s="1"/>
      <c r="B44" s="101" t="s">
        <v>526</v>
      </c>
      <c r="C44" s="89"/>
      <c r="D44" s="89"/>
      <c r="E44" s="89"/>
      <c r="F44" s="89"/>
      <c r="G44" s="89"/>
      <c r="H44" s="89"/>
      <c r="I44" s="89"/>
    </row>
  </sheetData>
  <mergeCells count="38">
    <mergeCell ref="B6:I6"/>
    <mergeCell ref="B24:I24"/>
    <mergeCell ref="B20:I20"/>
    <mergeCell ref="A1:I1"/>
    <mergeCell ref="B5:I5"/>
    <mergeCell ref="B44:I44"/>
    <mergeCell ref="B29:I29"/>
    <mergeCell ref="B34:I34"/>
    <mergeCell ref="B10:I10"/>
    <mergeCell ref="B28:I28"/>
    <mergeCell ref="B19:I19"/>
    <mergeCell ref="B40:I40"/>
    <mergeCell ref="B30:I30"/>
    <mergeCell ref="B15:I15"/>
    <mergeCell ref="B36:I36"/>
    <mergeCell ref="B41:I41"/>
    <mergeCell ref="B35:I35"/>
    <mergeCell ref="B43:I43"/>
    <mergeCell ref="B12:I12"/>
    <mergeCell ref="B18:I18"/>
    <mergeCell ref="A2:I2"/>
    <mergeCell ref="A33:I33"/>
    <mergeCell ref="B39:I39"/>
    <mergeCell ref="B11:I11"/>
    <mergeCell ref="B42:I42"/>
    <mergeCell ref="B14:I14"/>
    <mergeCell ref="A22:I22"/>
    <mergeCell ref="B23:I23"/>
    <mergeCell ref="A4:I4"/>
    <mergeCell ref="A38:I38"/>
    <mergeCell ref="B17:I17"/>
    <mergeCell ref="B13:I13"/>
    <mergeCell ref="A9:I9"/>
    <mergeCell ref="B7:I7"/>
    <mergeCell ref="B16:I16"/>
    <mergeCell ref="B31:I31"/>
    <mergeCell ref="B27:I27"/>
    <mergeCell ref="A26:I26"/>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93226"/>
  </sheetPr>
  <dimension ref="A1:I28"/>
  <sheetViews>
    <sheetView showGridLines="0" workbookViewId="0"/>
  </sheetViews>
  <sheetFormatPr defaultRowHeight="14.5" x14ac:dyDescent="0.35"/>
  <cols>
    <col min="1" max="1" width="12" customWidth="1"/>
    <col min="2" max="9" width="14" customWidth="1"/>
  </cols>
  <sheetData>
    <row r="1" spans="1:9" ht="28" customHeight="1" x14ac:dyDescent="0.35">
      <c r="A1" s="108" t="s">
        <v>527</v>
      </c>
      <c r="B1" s="89"/>
      <c r="C1" s="89"/>
      <c r="D1" s="89"/>
      <c r="E1" s="89"/>
      <c r="F1" s="89"/>
      <c r="G1" s="89"/>
      <c r="H1" s="89"/>
      <c r="I1" s="89"/>
    </row>
    <row r="2" spans="1:9" x14ac:dyDescent="0.35">
      <c r="A2" s="105" t="s">
        <v>528</v>
      </c>
      <c r="B2" s="106"/>
      <c r="C2" s="106"/>
      <c r="D2" s="106"/>
      <c r="E2" s="106"/>
      <c r="F2" s="106"/>
      <c r="G2" s="106"/>
      <c r="H2" s="106"/>
      <c r="I2" s="106"/>
    </row>
    <row r="3" spans="1:9" x14ac:dyDescent="0.35">
      <c r="A3" s="1"/>
      <c r="B3" s="1"/>
      <c r="C3" s="1"/>
      <c r="D3" s="1"/>
      <c r="E3" s="1"/>
      <c r="F3" s="1"/>
      <c r="G3" s="1"/>
      <c r="H3" s="1"/>
      <c r="I3" s="1"/>
    </row>
    <row r="4" spans="1:9" ht="18" customHeight="1" x14ac:dyDescent="0.35">
      <c r="A4" s="85" t="s">
        <v>529</v>
      </c>
      <c r="B4" s="101" t="s">
        <v>530</v>
      </c>
      <c r="C4" s="89"/>
      <c r="D4" s="89"/>
      <c r="E4" s="89"/>
      <c r="F4" s="89"/>
      <c r="G4" s="89"/>
      <c r="H4" s="89"/>
      <c r="I4" s="89"/>
    </row>
    <row r="5" spans="1:9" x14ac:dyDescent="0.35">
      <c r="A5" s="1"/>
      <c r="B5" s="1"/>
      <c r="C5" s="1"/>
      <c r="D5" s="1"/>
      <c r="E5" s="1"/>
      <c r="F5" s="1"/>
      <c r="G5" s="1"/>
      <c r="H5" s="1"/>
      <c r="I5" s="1"/>
    </row>
    <row r="6" spans="1:9" ht="28" customHeight="1" x14ac:dyDescent="0.35">
      <c r="A6" s="85" t="s">
        <v>529</v>
      </c>
      <c r="B6" s="101" t="s">
        <v>531</v>
      </c>
      <c r="C6" s="89"/>
      <c r="D6" s="89"/>
      <c r="E6" s="89"/>
      <c r="F6" s="89"/>
      <c r="G6" s="89"/>
      <c r="H6" s="89"/>
      <c r="I6" s="89"/>
    </row>
    <row r="7" spans="1:9" x14ac:dyDescent="0.35">
      <c r="A7" s="1"/>
      <c r="B7" s="1"/>
      <c r="C7" s="1"/>
      <c r="D7" s="1"/>
      <c r="E7" s="1"/>
      <c r="F7" s="1"/>
      <c r="G7" s="1"/>
      <c r="H7" s="1"/>
      <c r="I7" s="1"/>
    </row>
    <row r="8" spans="1:9" ht="28" customHeight="1" x14ac:dyDescent="0.35">
      <c r="A8" s="85" t="s">
        <v>529</v>
      </c>
      <c r="B8" s="101" t="s">
        <v>532</v>
      </c>
      <c r="C8" s="89"/>
      <c r="D8" s="89"/>
      <c r="E8" s="89"/>
      <c r="F8" s="89"/>
      <c r="G8" s="89"/>
      <c r="H8" s="89"/>
      <c r="I8" s="89"/>
    </row>
    <row r="9" spans="1:9" x14ac:dyDescent="0.35">
      <c r="A9" s="1"/>
      <c r="B9" s="1"/>
      <c r="C9" s="1"/>
      <c r="D9" s="1"/>
      <c r="E9" s="1"/>
      <c r="F9" s="1"/>
      <c r="G9" s="1"/>
      <c r="H9" s="1"/>
      <c r="I9" s="1"/>
    </row>
    <row r="10" spans="1:9" ht="18" customHeight="1" x14ac:dyDescent="0.35">
      <c r="A10" s="86" t="s">
        <v>533</v>
      </c>
      <c r="B10" s="101" t="s">
        <v>534</v>
      </c>
      <c r="C10" s="89"/>
      <c r="D10" s="89"/>
      <c r="E10" s="89"/>
      <c r="F10" s="89"/>
      <c r="G10" s="89"/>
      <c r="H10" s="89"/>
      <c r="I10" s="89"/>
    </row>
    <row r="11" spans="1:9" x14ac:dyDescent="0.35">
      <c r="A11" s="1"/>
      <c r="B11" s="1"/>
      <c r="C11" s="1"/>
      <c r="D11" s="1"/>
      <c r="E11" s="1"/>
      <c r="F11" s="1"/>
      <c r="G11" s="1"/>
      <c r="H11" s="1"/>
      <c r="I11" s="1"/>
    </row>
    <row r="12" spans="1:9" ht="28" customHeight="1" x14ac:dyDescent="0.35">
      <c r="A12" s="86" t="s">
        <v>533</v>
      </c>
      <c r="B12" s="101" t="s">
        <v>535</v>
      </c>
      <c r="C12" s="89"/>
      <c r="D12" s="89"/>
      <c r="E12" s="89"/>
      <c r="F12" s="89"/>
      <c r="G12" s="89"/>
      <c r="H12" s="89"/>
      <c r="I12" s="89"/>
    </row>
    <row r="13" spans="1:9" x14ac:dyDescent="0.35">
      <c r="A13" s="1"/>
      <c r="B13" s="1"/>
      <c r="C13" s="1"/>
      <c r="D13" s="1"/>
      <c r="E13" s="1"/>
      <c r="F13" s="1"/>
      <c r="G13" s="1"/>
      <c r="H13" s="1"/>
      <c r="I13" s="1"/>
    </row>
    <row r="14" spans="1:9" ht="28" customHeight="1" x14ac:dyDescent="0.35">
      <c r="A14" s="86" t="s">
        <v>533</v>
      </c>
      <c r="B14" s="101" t="s">
        <v>536</v>
      </c>
      <c r="C14" s="89"/>
      <c r="D14" s="89"/>
      <c r="E14" s="89"/>
      <c r="F14" s="89"/>
      <c r="G14" s="89"/>
      <c r="H14" s="89"/>
      <c r="I14" s="89"/>
    </row>
    <row r="15" spans="1:9" x14ac:dyDescent="0.35">
      <c r="A15" s="1"/>
      <c r="B15" s="1"/>
      <c r="C15" s="1"/>
      <c r="D15" s="1"/>
      <c r="E15" s="1"/>
      <c r="F15" s="1"/>
      <c r="G15" s="1"/>
      <c r="H15" s="1"/>
      <c r="I15" s="1"/>
    </row>
    <row r="16" spans="1:9" ht="28" customHeight="1" x14ac:dyDescent="0.35">
      <c r="A16" s="86" t="s">
        <v>533</v>
      </c>
      <c r="B16" s="101" t="s">
        <v>537</v>
      </c>
      <c r="C16" s="89"/>
      <c r="D16" s="89"/>
      <c r="E16" s="89"/>
      <c r="F16" s="89"/>
      <c r="G16" s="89"/>
      <c r="H16" s="89"/>
      <c r="I16" s="89"/>
    </row>
    <row r="17" spans="1:9" x14ac:dyDescent="0.35">
      <c r="A17" s="1"/>
      <c r="B17" s="1"/>
      <c r="C17" s="1"/>
      <c r="D17" s="1"/>
      <c r="E17" s="1"/>
      <c r="F17" s="1"/>
      <c r="G17" s="1"/>
      <c r="H17" s="1"/>
      <c r="I17" s="1"/>
    </row>
    <row r="18" spans="1:9" ht="18" customHeight="1" x14ac:dyDescent="0.35">
      <c r="A18" s="86" t="s">
        <v>533</v>
      </c>
      <c r="B18" s="101" t="s">
        <v>538</v>
      </c>
      <c r="C18" s="89"/>
      <c r="D18" s="89"/>
      <c r="E18" s="89"/>
      <c r="F18" s="89"/>
      <c r="G18" s="89"/>
      <c r="H18" s="89"/>
      <c r="I18" s="89"/>
    </row>
    <row r="19" spans="1:9" x14ac:dyDescent="0.35">
      <c r="A19" s="1"/>
      <c r="B19" s="1"/>
      <c r="C19" s="1"/>
      <c r="D19" s="1"/>
      <c r="E19" s="1"/>
      <c r="F19" s="1"/>
      <c r="G19" s="1"/>
      <c r="H19" s="1"/>
      <c r="I19" s="1"/>
    </row>
    <row r="20" spans="1:9" ht="18" customHeight="1" x14ac:dyDescent="0.35">
      <c r="A20" s="86" t="s">
        <v>533</v>
      </c>
      <c r="B20" s="101" t="s">
        <v>539</v>
      </c>
      <c r="C20" s="89"/>
      <c r="D20" s="89"/>
      <c r="E20" s="89"/>
      <c r="F20" s="89"/>
      <c r="G20" s="89"/>
      <c r="H20" s="89"/>
      <c r="I20" s="89"/>
    </row>
    <row r="21" spans="1:9" x14ac:dyDescent="0.35">
      <c r="A21" s="1"/>
      <c r="B21" s="1"/>
      <c r="C21" s="1"/>
      <c r="D21" s="1"/>
      <c r="E21" s="1"/>
      <c r="F21" s="1"/>
      <c r="G21" s="1"/>
      <c r="H21" s="1"/>
      <c r="I21" s="1"/>
    </row>
    <row r="22" spans="1:9" ht="28" customHeight="1" x14ac:dyDescent="0.35">
      <c r="A22" s="87" t="s">
        <v>540</v>
      </c>
      <c r="B22" s="101" t="s">
        <v>541</v>
      </c>
      <c r="C22" s="89"/>
      <c r="D22" s="89"/>
      <c r="E22" s="89"/>
      <c r="F22" s="89"/>
      <c r="G22" s="89"/>
      <c r="H22" s="89"/>
      <c r="I22" s="89"/>
    </row>
    <row r="23" spans="1:9" x14ac:dyDescent="0.35">
      <c r="A23" s="1"/>
      <c r="B23" s="1"/>
      <c r="C23" s="1"/>
      <c r="D23" s="1"/>
      <c r="E23" s="1"/>
      <c r="F23" s="1"/>
      <c r="G23" s="1"/>
      <c r="H23" s="1"/>
      <c r="I23" s="1"/>
    </row>
    <row r="24" spans="1:9" ht="28" customHeight="1" x14ac:dyDescent="0.35">
      <c r="A24" s="87" t="s">
        <v>540</v>
      </c>
      <c r="B24" s="101" t="s">
        <v>542</v>
      </c>
      <c r="C24" s="89"/>
      <c r="D24" s="89"/>
      <c r="E24" s="89"/>
      <c r="F24" s="89"/>
      <c r="G24" s="89"/>
      <c r="H24" s="89"/>
      <c r="I24" s="89"/>
    </row>
    <row r="25" spans="1:9" x14ac:dyDescent="0.35">
      <c r="A25" s="1"/>
      <c r="B25" s="1"/>
      <c r="C25" s="1"/>
      <c r="D25" s="1"/>
      <c r="E25" s="1"/>
      <c r="F25" s="1"/>
      <c r="G25" s="1"/>
      <c r="H25" s="1"/>
      <c r="I25" s="1"/>
    </row>
    <row r="26" spans="1:9" ht="28" customHeight="1" x14ac:dyDescent="0.35">
      <c r="A26" s="87" t="s">
        <v>540</v>
      </c>
      <c r="B26" s="101" t="s">
        <v>543</v>
      </c>
      <c r="C26" s="89"/>
      <c r="D26" s="89"/>
      <c r="E26" s="89"/>
      <c r="F26" s="89"/>
      <c r="G26" s="89"/>
      <c r="H26" s="89"/>
      <c r="I26" s="89"/>
    </row>
    <row r="27" spans="1:9" x14ac:dyDescent="0.35">
      <c r="A27" s="1"/>
      <c r="B27" s="1"/>
      <c r="C27" s="1"/>
      <c r="D27" s="1"/>
      <c r="E27" s="1"/>
      <c r="F27" s="1"/>
      <c r="G27" s="1"/>
      <c r="H27" s="1"/>
      <c r="I27" s="1"/>
    </row>
    <row r="28" spans="1:9" ht="18" customHeight="1" x14ac:dyDescent="0.35">
      <c r="A28" s="87" t="s">
        <v>540</v>
      </c>
      <c r="B28" s="101" t="s">
        <v>544</v>
      </c>
      <c r="C28" s="89"/>
      <c r="D28" s="89"/>
      <c r="E28" s="89"/>
      <c r="F28" s="89"/>
      <c r="G28" s="89"/>
      <c r="H28" s="89"/>
      <c r="I28" s="89"/>
    </row>
  </sheetData>
  <mergeCells count="15">
    <mergeCell ref="A1:I1"/>
    <mergeCell ref="B28:I28"/>
    <mergeCell ref="B22:I22"/>
    <mergeCell ref="B14:I14"/>
    <mergeCell ref="B8:I8"/>
    <mergeCell ref="B4:I4"/>
    <mergeCell ref="B26:I26"/>
    <mergeCell ref="B12:I12"/>
    <mergeCell ref="B18:I18"/>
    <mergeCell ref="A2:I2"/>
    <mergeCell ref="B6:I6"/>
    <mergeCell ref="B24:I24"/>
    <mergeCell ref="B16:I16"/>
    <mergeCell ref="B20:I20"/>
    <mergeCell ref="B10:I10"/>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7"/>
  <sheetViews>
    <sheetView workbookViewId="0"/>
  </sheetViews>
  <sheetFormatPr defaultRowHeight="14.5" x14ac:dyDescent="0.35"/>
  <sheetData>
    <row r="1" spans="1:9" x14ac:dyDescent="0.35">
      <c r="A1" s="1" t="s">
        <v>10</v>
      </c>
      <c r="B1" s="1" t="s">
        <v>545</v>
      </c>
      <c r="C1" s="1" t="s">
        <v>546</v>
      </c>
      <c r="D1" s="1" t="s">
        <v>547</v>
      </c>
      <c r="E1" s="1" t="s">
        <v>225</v>
      </c>
      <c r="F1" s="1"/>
      <c r="G1" s="1" t="s">
        <v>233</v>
      </c>
      <c r="H1" s="1" t="s">
        <v>548</v>
      </c>
      <c r="I1" s="1" t="s">
        <v>223</v>
      </c>
    </row>
    <row r="2" spans="1:9" x14ac:dyDescent="0.35">
      <c r="A2" s="1" t="s">
        <v>314</v>
      </c>
      <c r="B2" s="1">
        <v>0.2</v>
      </c>
      <c r="C2" s="1">
        <v>0.12</v>
      </c>
      <c r="D2" s="1">
        <v>0.3</v>
      </c>
      <c r="E2" s="1">
        <v>0.85</v>
      </c>
      <c r="F2" s="1"/>
      <c r="G2" s="1" t="s">
        <v>549</v>
      </c>
      <c r="H2" s="1" t="s">
        <v>50</v>
      </c>
      <c r="I2" s="1" t="s">
        <v>130</v>
      </c>
    </row>
    <row r="3" spans="1:9" x14ac:dyDescent="0.35">
      <c r="A3" s="1" t="s">
        <v>125</v>
      </c>
      <c r="B3" s="1">
        <v>0.28000000000000003</v>
      </c>
      <c r="C3" s="1">
        <v>0.2</v>
      </c>
      <c r="D3" s="1">
        <v>0.35</v>
      </c>
      <c r="E3" s="1">
        <v>0.85</v>
      </c>
      <c r="F3" s="1"/>
      <c r="G3" s="1" t="s">
        <v>550</v>
      </c>
      <c r="H3" s="1" t="s">
        <v>551</v>
      </c>
      <c r="I3" s="1" t="s">
        <v>237</v>
      </c>
    </row>
    <row r="4" spans="1:9" x14ac:dyDescent="0.35">
      <c r="A4" s="1" t="s">
        <v>315</v>
      </c>
      <c r="B4" s="1">
        <v>0.05</v>
      </c>
      <c r="C4" s="1">
        <v>0.03</v>
      </c>
      <c r="D4" s="1">
        <v>0.06</v>
      </c>
      <c r="E4" s="1">
        <v>0.87</v>
      </c>
      <c r="F4" s="1"/>
      <c r="G4" s="1" t="s">
        <v>552</v>
      </c>
      <c r="H4" s="1"/>
      <c r="I4" s="1"/>
    </row>
    <row r="5" spans="1:9" x14ac:dyDescent="0.35">
      <c r="A5" s="1" t="s">
        <v>150</v>
      </c>
      <c r="B5" s="1">
        <v>2.5000000000000001E-2</v>
      </c>
      <c r="C5" s="1">
        <v>0.02</v>
      </c>
      <c r="D5" s="1">
        <v>0.03</v>
      </c>
      <c r="E5" s="1">
        <v>0.99</v>
      </c>
      <c r="F5" s="1"/>
      <c r="G5" s="1"/>
      <c r="H5" s="1"/>
      <c r="I5" s="1"/>
    </row>
    <row r="6" spans="1:9" x14ac:dyDescent="0.35">
      <c r="A6" s="1" t="s">
        <v>553</v>
      </c>
      <c r="B6" s="1">
        <v>0.01</v>
      </c>
      <c r="C6" s="1">
        <v>8.0000000000000002E-3</v>
      </c>
      <c r="D6" s="1">
        <v>1.2E-2</v>
      </c>
      <c r="E6" s="1">
        <v>0.98</v>
      </c>
      <c r="F6" s="1"/>
      <c r="G6" s="1"/>
      <c r="H6" s="1"/>
      <c r="I6" s="1"/>
    </row>
    <row r="7" spans="1:9" x14ac:dyDescent="0.35">
      <c r="A7" s="1" t="s">
        <v>554</v>
      </c>
      <c r="B7" s="1">
        <v>0.01</v>
      </c>
      <c r="C7" s="1">
        <v>8.0000000000000002E-3</v>
      </c>
      <c r="D7" s="1">
        <v>1.2E-2</v>
      </c>
      <c r="E7" s="1">
        <v>0.98</v>
      </c>
      <c r="F7" s="1"/>
      <c r="G7" s="1"/>
      <c r="H7" s="1"/>
      <c r="I7"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95</vt:i4>
      </vt:variant>
    </vt:vector>
  </HeadingPairs>
  <TitlesOfParts>
    <vt:vector size="112" baseType="lpstr">
      <vt:lpstr>Dashboard</vt:lpstr>
      <vt:lpstr>The Scent</vt:lpstr>
      <vt:lpstr>Formula Master</vt:lpstr>
      <vt:lpstr>Batch Calculator</vt:lpstr>
      <vt:lpstr>Dilution Prep (D10)</vt:lpstr>
      <vt:lpstr>Inventory</vt:lpstr>
      <vt:lpstr>Inventory Bottles</vt:lpstr>
      <vt:lpstr>Production Log</vt:lpstr>
      <vt:lpstr>Maceration Tracker</vt:lpstr>
      <vt:lpstr>Cost Analysis</vt:lpstr>
      <vt:lpstr>Yield &amp; Capacity</vt:lpstr>
      <vt:lpstr>Scale-Up Plan</vt:lpstr>
      <vt:lpstr>Pricing &amp; Sales</vt:lpstr>
      <vt:lpstr>Selling Strategy</vt:lpstr>
      <vt:lpstr>Process Reference</vt:lpstr>
      <vt:lpstr>Safety Notes</vt:lpstr>
      <vt:lpstr>Lists</vt:lpstr>
      <vt:lpstr>AlcCostPerG</vt:lpstr>
      <vt:lpstr>AlcoholG</vt:lpstr>
      <vt:lpstr>AlcoholUsedG</vt:lpstr>
      <vt:lpstr>AuxCostPerG</vt:lpstr>
      <vt:lpstr>AuxGrams</vt:lpstr>
      <vt:lpstr>BatchCostSAR</vt:lpstr>
      <vt:lpstr>BatchFormat</vt:lpstr>
      <vt:lpstr>BatchSize</vt:lpstr>
      <vt:lpstr>BatchUnit</vt:lpstr>
      <vt:lpstr>BatchVolMl</vt:lpstr>
      <vt:lpstr>ConcCostPerG</vt:lpstr>
      <vt:lpstr>ConcCostPerGLoaded</vt:lpstr>
      <vt:lpstr>ConcG</vt:lpstr>
      <vt:lpstr>ConcPct</vt:lpstr>
      <vt:lpstr>CostPerMl</vt:lpstr>
      <vt:lpstr>CR2ButterPct</vt:lpstr>
      <vt:lpstr>CR2CetPct</vt:lpstr>
      <vt:lpstr>CR2EwaxPct</vt:lpstr>
      <vt:lpstr>CR2GlyPct</vt:lpstr>
      <vt:lpstr>CR2OilPct</vt:lpstr>
      <vt:lpstr>CR2PresPct</vt:lpstr>
      <vt:lpstr>CreamBaseG</vt:lpstr>
      <vt:lpstr>D10ActivePct</vt:lpstr>
      <vt:lpstr>DefaultBatchAlcG</vt:lpstr>
      <vt:lpstr>DefaultBatchConcG</vt:lpstr>
      <vt:lpstr>DPGPricePerG</vt:lpstr>
      <vt:lpstr>FinishedDensity</vt:lpstr>
      <vt:lpstr>FM_Active</vt:lpstr>
      <vt:lpstr>FM_CostG</vt:lpstr>
      <vt:lpstr>FM_D10</vt:lpstr>
      <vt:lpstr>FM_InputPct</vt:lpstr>
      <vt:lpstr>FM_Mat</vt:lpstr>
      <vt:lpstr>FormatDefaults</vt:lpstr>
      <vt:lpstr>FormatList</vt:lpstr>
      <vt:lpstr>GlycerinG</vt:lpstr>
      <vt:lpstr>IncludeOptionals</vt:lpstr>
      <vt:lpstr>Inv_GramsBought</vt:lpstr>
      <vt:lpstr>Inv_LowJoined</vt:lpstr>
      <vt:lpstr>Inv_LowNames</vt:lpstr>
      <vt:lpstr>Inv_Mat</vt:lpstr>
      <vt:lpstr>Inv_OnHand</vt:lpstr>
      <vt:lpstr>Inv_PricePerG</vt:lpstr>
      <vt:lpstr>Inv_Threshold</vt:lpstr>
      <vt:lpstr>Inv_TotalPaid</vt:lpstr>
      <vt:lpstr>LogAlcG</vt:lpstr>
      <vt:lpstr>LogConcG</vt:lpstr>
      <vt:lpstr>LogEnd</vt:lpstr>
      <vt:lpstr>LogID</vt:lpstr>
      <vt:lpstr>LogMacStart</vt:lpstr>
      <vt:lpstr>LogStart</vt:lpstr>
      <vt:lpstr>LogStatus</vt:lpstr>
      <vt:lpstr>MacDays</vt:lpstr>
      <vt:lpstr>MaterialsTotalSAR</vt:lpstr>
      <vt:lpstr>MistGlyPct</vt:lpstr>
      <vt:lpstr>MistWaterPct</vt:lpstr>
      <vt:lpstr>OptPctSum</vt:lpstr>
      <vt:lpstr>PolysorbateG</vt:lpstr>
      <vt:lpstr>PR_ConcPct</vt:lpstr>
      <vt:lpstr>PR_Density</vt:lpstr>
      <vt:lpstr>PR_Labour</vt:lpstr>
      <vt:lpstr>PR_Mult</vt:lpstr>
      <vt:lpstr>PR_NSell</vt:lpstr>
      <vt:lpstr>PR_Vat</vt:lpstr>
      <vt:lpstr>PreservativeG</vt:lpstr>
      <vt:lpstr>'Batch Calculator'!Print_Area</vt:lpstr>
      <vt:lpstr>ScaleBuyCostSAR</vt:lpstr>
      <vt:lpstr>ScaleTargetBottles50</vt:lpstr>
      <vt:lpstr>ScaleTargetConcG</vt:lpstr>
      <vt:lpstr>ShipLoad</vt:lpstr>
      <vt:lpstr>ShippingSAR</vt:lpstr>
      <vt:lpstr>SolubRatio</vt:lpstr>
      <vt:lpstr>StatusList</vt:lpstr>
      <vt:lpstr>StockValueSAR</vt:lpstr>
      <vt:lpstr>StrategyHeroPrice</vt:lpstr>
      <vt:lpstr>StrategyLaunchUnits</vt:lpstr>
      <vt:lpstr>TotalCapital</vt:lpstr>
      <vt:lpstr>TotalConcUsedG</vt:lpstr>
      <vt:lpstr>TotalMassG</vt:lpstr>
      <vt:lpstr>UnitList</vt:lpstr>
      <vt:lpstr>VitEPct</vt:lpstr>
      <vt:lpstr>WaterG</vt:lpstr>
      <vt:lpstr>WaterPct</vt:lpstr>
      <vt:lpstr>WMGlyPct</vt:lpstr>
      <vt:lpstr>WMPresPct</vt:lpstr>
      <vt:lpstr>YC_AlcOnHand</vt:lpstr>
      <vt:lpstr>YC_Basis</vt:lpstr>
      <vt:lpstr>YC_ConcPct</vt:lpstr>
      <vt:lpstr>YC_Density</vt:lpstr>
      <vt:lpstr>YC_DPGOnHand</vt:lpstr>
      <vt:lpstr>YC_LimitMat</vt:lpstr>
      <vt:lpstr>YC_Loss</vt:lpstr>
      <vt:lpstr>YC_MatBottleMl</vt:lpstr>
      <vt:lpstr>YC_MaxConc</vt:lpstr>
      <vt:lpstr>YC_UsableConc</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SAMR Production Suite</dc:title>
  <dc:creator>SAMR</dc:creator>
  <cp:lastModifiedBy>Office</cp:lastModifiedBy>
  <dcterms:created xsi:type="dcterms:W3CDTF">2026-01-01T00:00:00Z</dcterms:created>
  <dcterms:modified xsi:type="dcterms:W3CDTF">2026-07-11T06:53:22Z</dcterms:modified>
</cp:coreProperties>
</file>