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SAMR 011\"/>
    </mc:Choice>
  </mc:AlternateContent>
  <xr:revisionPtr revIDLastSave="0" documentId="13_ncr:1_{CE081454-A89E-454C-A3D8-376279E8D6BE}" xr6:coauthVersionLast="47" xr6:coauthVersionMax="47" xr10:uidLastSave="{00000000-0000-0000-0000-000000000000}"/>
  <bookViews>
    <workbookView xWindow="-110" yWindow="-110" windowWidth="25820" windowHeight="15500" tabRatio="858" activeTab="6" xr2:uid="{00000000-000D-0000-FFFF-FFFF00000000}"/>
  </bookViews>
  <sheets>
    <sheet name="Dashboard" sheetId="1" r:id="rId1"/>
    <sheet name="The Scent" sheetId="2" r:id="rId2"/>
    <sheet name="Formula Master" sheetId="3" r:id="rId3"/>
    <sheet name="SAHAR 28% Formula" sheetId="18" r:id="rId4"/>
    <sheet name="Batch Calculator" sheetId="4" r:id="rId5"/>
    <sheet name="Dilution Prep (D10)" sheetId="5" r:id="rId6"/>
    <sheet name="Inventory" sheetId="6" r:id="rId7"/>
    <sheet name="Inventory Bottles" sheetId="7" r:id="rId8"/>
    <sheet name="Production Log" sheetId="8" r:id="rId9"/>
    <sheet name="Maceration Tracker" sheetId="9" r:id="rId10"/>
    <sheet name="Cost Analysis" sheetId="10" r:id="rId11"/>
    <sheet name="Yield &amp; Capacity" sheetId="11" r:id="rId12"/>
    <sheet name="Scale-Up Plan" sheetId="12" r:id="rId13"/>
    <sheet name="Pricing &amp; Sales" sheetId="13" r:id="rId14"/>
    <sheet name="Selling Strategy" sheetId="14" r:id="rId15"/>
    <sheet name="Process Reference" sheetId="15" r:id="rId16"/>
    <sheet name="Safety Notes" sheetId="16" r:id="rId17"/>
    <sheet name="Lists" sheetId="17" state="hidden" r:id="rId18"/>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4">'Batch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8" l="1"/>
  <c r="O46" i="18"/>
  <c r="J46" i="18"/>
  <c r="O45" i="18"/>
  <c r="J45" i="18"/>
  <c r="O44" i="18"/>
  <c r="J44" i="18"/>
  <c r="O43" i="18"/>
  <c r="J43" i="18"/>
  <c r="O42" i="18"/>
  <c r="J42" i="18"/>
  <c r="O41" i="18"/>
  <c r="J41" i="18"/>
  <c r="O40" i="18"/>
  <c r="J40" i="18"/>
  <c r="O39" i="18"/>
  <c r="J39" i="18"/>
  <c r="O38" i="18"/>
  <c r="J38" i="18"/>
  <c r="O37" i="18"/>
  <c r="O36" i="18"/>
  <c r="J36" i="18"/>
  <c r="O35" i="18"/>
  <c r="J35" i="18"/>
  <c r="O34" i="18"/>
  <c r="J34" i="18"/>
  <c r="O33" i="18"/>
  <c r="J33" i="18"/>
  <c r="O32" i="18"/>
  <c r="J32" i="18"/>
  <c r="O31" i="18"/>
  <c r="J31" i="18"/>
  <c r="O30" i="18"/>
  <c r="J30" i="18"/>
  <c r="O29" i="18"/>
  <c r="J29" i="18"/>
  <c r="O28" i="18"/>
  <c r="O27" i="18"/>
  <c r="O26" i="18"/>
  <c r="J26" i="18"/>
  <c r="O25" i="18"/>
  <c r="J25" i="18"/>
  <c r="O24" i="18"/>
  <c r="J24" i="18"/>
  <c r="O23" i="18"/>
  <c r="O22" i="18"/>
  <c r="J22" i="18"/>
  <c r="B8" i="18"/>
  <c r="D24" i="14"/>
  <c r="C8" i="14"/>
  <c r="D17" i="13"/>
  <c r="D16" i="13"/>
  <c r="D15" i="13"/>
  <c r="D14" i="13"/>
  <c r="D13" i="13"/>
  <c r="D12" i="13"/>
  <c r="G53" i="12"/>
  <c r="C53" i="12"/>
  <c r="G52"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G22" i="12" s="1"/>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J30" i="6"/>
  <c r="H30" i="6"/>
  <c r="F30" i="6"/>
  <c r="H29" i="6"/>
  <c r="F29" i="6"/>
  <c r="H28" i="6"/>
  <c r="F28" i="6"/>
  <c r="H27" i="6"/>
  <c r="F27" i="6"/>
  <c r="H26" i="6"/>
  <c r="F26" i="6"/>
  <c r="H25" i="6"/>
  <c r="F25" i="6"/>
  <c r="H24" i="6"/>
  <c r="F24" i="6"/>
  <c r="H23" i="6"/>
  <c r="F23" i="6"/>
  <c r="H22" i="6"/>
  <c r="F22" i="6"/>
  <c r="H21" i="6"/>
  <c r="F21" i="6"/>
  <c r="I21" i="6" s="1"/>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F30" i="3"/>
  <c r="F29" i="3"/>
  <c r="F28" i="3"/>
  <c r="F27" i="3"/>
  <c r="J24" i="6" s="1"/>
  <c r="F26" i="3"/>
  <c r="J23" i="6" s="1"/>
  <c r="F25" i="3"/>
  <c r="J22" i="6" s="1"/>
  <c r="F24" i="3"/>
  <c r="J21" i="6" s="1"/>
  <c r="K21" i="6" s="1"/>
  <c r="K40" i="18" s="1"/>
  <c r="F23" i="3"/>
  <c r="J20" i="6" s="1"/>
  <c r="F22" i="3"/>
  <c r="J19" i="6" s="1"/>
  <c r="F21" i="3"/>
  <c r="J18" i="6" s="1"/>
  <c r="F20" i="3"/>
  <c r="J17" i="6" s="1"/>
  <c r="F19" i="3"/>
  <c r="J16" i="6" s="1"/>
  <c r="F18" i="3"/>
  <c r="J15" i="6" s="1"/>
  <c r="F17" i="3"/>
  <c r="J14" i="6" s="1"/>
  <c r="F16" i="3"/>
  <c r="J13" i="6" s="1"/>
  <c r="F15" i="3"/>
  <c r="J12" i="6" s="1"/>
  <c r="F14" i="3"/>
  <c r="F13" i="3"/>
  <c r="J10" i="6" s="1"/>
  <c r="F12" i="3"/>
  <c r="J9" i="6" s="1"/>
  <c r="F11" i="3"/>
  <c r="J8" i="6" s="1"/>
  <c r="F10" i="3"/>
  <c r="J7" i="6" s="1"/>
  <c r="F9" i="3"/>
  <c r="J6" i="6" s="1"/>
  <c r="F8" i="3"/>
  <c r="J5" i="6" s="1"/>
  <c r="F7" i="3"/>
  <c r="J4" i="6" s="1"/>
  <c r="I4" i="3"/>
  <c r="I3" i="3"/>
  <c r="G15" i="1"/>
  <c r="G14" i="1"/>
  <c r="G13" i="1"/>
  <c r="G12" i="1"/>
  <c r="G11" i="1"/>
  <c r="C11" i="1"/>
  <c r="G10" i="1"/>
  <c r="C10" i="1"/>
  <c r="F7" i="1"/>
  <c r="E7" i="1"/>
  <c r="I23" i="7" l="1"/>
  <c r="J23" i="7" s="1"/>
  <c r="B9" i="18"/>
  <c r="B10" i="18" s="1"/>
  <c r="H24" i="3"/>
  <c r="L40" i="18"/>
  <c r="M40" i="18" s="1"/>
  <c r="I8" i="6"/>
  <c r="J11" i="6"/>
  <c r="K11" i="6" s="1"/>
  <c r="K8" i="6"/>
  <c r="K29" i="18" s="1"/>
  <c r="D44" i="11"/>
  <c r="E43" i="9"/>
  <c r="G43" i="9"/>
  <c r="G13" i="9"/>
  <c r="E13" i="9"/>
  <c r="G11" i="9"/>
  <c r="E11" i="9"/>
  <c r="C43" i="12"/>
  <c r="J28" i="6"/>
  <c r="K28" i="6" s="1"/>
  <c r="C42" i="12"/>
  <c r="J27" i="6"/>
  <c r="K27" i="6" s="1"/>
  <c r="C41" i="12"/>
  <c r="J26" i="6"/>
  <c r="K26" i="6" s="1"/>
  <c r="C40" i="12"/>
  <c r="J25" i="6"/>
  <c r="K25" i="6" s="1"/>
  <c r="G43" i="12"/>
  <c r="G42" i="12"/>
  <c r="G41" i="12"/>
  <c r="G40" i="12"/>
  <c r="G39" i="12"/>
  <c r="G38" i="12"/>
  <c r="G37" i="12"/>
  <c r="D36" i="12"/>
  <c r="G36" i="12"/>
  <c r="G35" i="12"/>
  <c r="G34" i="12"/>
  <c r="G33" i="12"/>
  <c r="G32" i="12"/>
  <c r="D32" i="12"/>
  <c r="G31" i="12"/>
  <c r="D31" i="12"/>
  <c r="G30" i="12"/>
  <c r="D29" i="12"/>
  <c r="G29" i="12"/>
  <c r="G28" i="12"/>
  <c r="D28" i="12"/>
  <c r="G27" i="12"/>
  <c r="G26" i="12"/>
  <c r="D25" i="12"/>
  <c r="G25" i="12"/>
  <c r="G24" i="12"/>
  <c r="D24" i="12"/>
  <c r="G23" i="12"/>
  <c r="D23" i="12"/>
  <c r="G21" i="12"/>
  <c r="D20" i="12"/>
  <c r="G20" i="12"/>
  <c r="D19" i="12"/>
  <c r="G19" i="12"/>
  <c r="E44" i="9"/>
  <c r="G44" i="9"/>
  <c r="E42" i="9"/>
  <c r="G42" i="9"/>
  <c r="G41" i="9"/>
  <c r="E41" i="9"/>
  <c r="G40" i="9"/>
  <c r="E40" i="9"/>
  <c r="E39" i="9"/>
  <c r="G39" i="9"/>
  <c r="E38" i="9"/>
  <c r="G38" i="9"/>
  <c r="E37" i="9"/>
  <c r="G37" i="9"/>
  <c r="E36" i="9"/>
  <c r="G36" i="9"/>
  <c r="G35" i="9"/>
  <c r="E35" i="9"/>
  <c r="G34" i="9"/>
  <c r="E34" i="9"/>
  <c r="G33" i="9"/>
  <c r="E33" i="9"/>
  <c r="E32" i="9"/>
  <c r="G32" i="9"/>
  <c r="G31" i="9"/>
  <c r="E31" i="9"/>
  <c r="G30" i="9"/>
  <c r="E30" i="9"/>
  <c r="E29" i="9"/>
  <c r="G29" i="9"/>
  <c r="G28" i="9"/>
  <c r="E28" i="9"/>
  <c r="G27" i="9"/>
  <c r="E27" i="9"/>
  <c r="E26" i="9"/>
  <c r="G26" i="9"/>
  <c r="E25" i="9"/>
  <c r="G25" i="9"/>
  <c r="G24" i="9"/>
  <c r="E24" i="9"/>
  <c r="G23" i="9"/>
  <c r="E23" i="9"/>
  <c r="G22" i="9"/>
  <c r="E22" i="9"/>
  <c r="E21" i="9"/>
  <c r="G21" i="9"/>
  <c r="G20" i="9"/>
  <c r="E20" i="9"/>
  <c r="G19" i="9"/>
  <c r="E19" i="9"/>
  <c r="G18" i="9"/>
  <c r="E18" i="9"/>
  <c r="E17" i="9"/>
  <c r="G17" i="9"/>
  <c r="G16" i="9"/>
  <c r="E16" i="9"/>
  <c r="E15" i="9"/>
  <c r="G15" i="9"/>
  <c r="E14" i="9"/>
  <c r="G14" i="9"/>
  <c r="E12" i="9"/>
  <c r="G12" i="9"/>
  <c r="E10" i="9"/>
  <c r="G10" i="9"/>
  <c r="G9" i="9"/>
  <c r="E9" i="9"/>
  <c r="E8" i="9"/>
  <c r="G8" i="9"/>
  <c r="E7" i="9"/>
  <c r="G7" i="9"/>
  <c r="E6" i="9"/>
  <c r="G6" i="9"/>
  <c r="E5" i="9"/>
  <c r="G5" i="9"/>
  <c r="I33" i="7"/>
  <c r="J33" i="7"/>
  <c r="J32" i="7"/>
  <c r="I32" i="7"/>
  <c r="I31" i="7"/>
  <c r="J31" i="7" s="1"/>
  <c r="I30" i="7"/>
  <c r="J30" i="7" s="1"/>
  <c r="I29" i="7"/>
  <c r="J29" i="7" s="1"/>
  <c r="I28" i="7"/>
  <c r="J28" i="7" s="1"/>
  <c r="I27" i="7"/>
  <c r="J27" i="7" s="1"/>
  <c r="I26" i="7"/>
  <c r="J26" i="7" s="1"/>
  <c r="I25" i="7"/>
  <c r="J25" i="7" s="1"/>
  <c r="I24" i="7"/>
  <c r="J24" i="7" s="1"/>
  <c r="I22" i="7"/>
  <c r="J22" i="7" s="1"/>
  <c r="I21" i="7"/>
  <c r="J21" i="7" s="1"/>
  <c r="I20" i="7"/>
  <c r="J20" i="7" s="1"/>
  <c r="I19" i="7"/>
  <c r="J19" i="7" s="1"/>
  <c r="I18" i="7"/>
  <c r="J18" i="7" s="1"/>
  <c r="I17" i="7"/>
  <c r="J17" i="7" s="1"/>
  <c r="I16" i="7"/>
  <c r="J16" i="7" s="1"/>
  <c r="I15" i="7"/>
  <c r="J15" i="7" s="1"/>
  <c r="I14" i="7"/>
  <c r="J14" i="7" s="1"/>
  <c r="I13" i="7"/>
  <c r="J13" i="7" s="1"/>
  <c r="I12" i="7"/>
  <c r="J12" i="7" s="1"/>
  <c r="I11" i="7"/>
  <c r="J11" i="7" s="1"/>
  <c r="I10" i="7"/>
  <c r="J10" i="7" s="1"/>
  <c r="I9" i="7"/>
  <c r="J9" i="7" s="1"/>
  <c r="I8" i="7"/>
  <c r="J8" i="7" s="1"/>
  <c r="I7" i="7"/>
  <c r="J7" i="7" s="1"/>
  <c r="I30" i="6"/>
  <c r="B15" i="18" s="1"/>
  <c r="K30" i="6"/>
  <c r="I29" i="6"/>
  <c r="B14" i="18" s="1"/>
  <c r="I28" i="6"/>
  <c r="I27" i="6"/>
  <c r="I26" i="6"/>
  <c r="I25" i="6"/>
  <c r="K24" i="6"/>
  <c r="I24" i="6"/>
  <c r="K23" i="6"/>
  <c r="I23" i="6"/>
  <c r="K22" i="6"/>
  <c r="I22" i="6"/>
  <c r="O21" i="6"/>
  <c r="G24" i="7"/>
  <c r="K20" i="6"/>
  <c r="I20" i="6"/>
  <c r="L27" i="18" s="1"/>
  <c r="M27" i="18" s="1"/>
  <c r="I19" i="6"/>
  <c r="K19" i="6"/>
  <c r="K18" i="6"/>
  <c r="I18" i="6"/>
  <c r="K17" i="6"/>
  <c r="K37" i="18" s="1"/>
  <c r="I17" i="6"/>
  <c r="L37" i="18" s="1"/>
  <c r="K16" i="6"/>
  <c r="K36" i="18" s="1"/>
  <c r="I16" i="6"/>
  <c r="K15" i="6"/>
  <c r="I15" i="6"/>
  <c r="K14" i="6"/>
  <c r="K28" i="18" s="1"/>
  <c r="I14" i="6"/>
  <c r="L28" i="18" s="1"/>
  <c r="M28" i="18" s="1"/>
  <c r="K13" i="6"/>
  <c r="K34" i="18" s="1"/>
  <c r="I13" i="6"/>
  <c r="I12" i="6"/>
  <c r="K12" i="6"/>
  <c r="I11" i="6"/>
  <c r="I10" i="6"/>
  <c r="K10" i="6"/>
  <c r="K31" i="18" s="1"/>
  <c r="I9" i="6"/>
  <c r="K9" i="6"/>
  <c r="K30" i="18" s="1"/>
  <c r="K7" i="6"/>
  <c r="K25" i="18" s="1"/>
  <c r="I7" i="6"/>
  <c r="K6" i="6"/>
  <c r="I6" i="6"/>
  <c r="K5" i="6"/>
  <c r="K23" i="18" s="1"/>
  <c r="I5" i="6"/>
  <c r="L23" i="18" s="1"/>
  <c r="M23" i="18" s="1"/>
  <c r="H31" i="6"/>
  <c r="C4" i="10"/>
  <c r="K4" i="6"/>
  <c r="K22" i="18" s="1"/>
  <c r="I4" i="6"/>
  <c r="L20" i="6"/>
  <c r="L16" i="6"/>
  <c r="L19" i="6"/>
  <c r="L24" i="6"/>
  <c r="L21" i="6"/>
  <c r="L6" i="6"/>
  <c r="L14" i="6"/>
  <c r="L23" i="6"/>
  <c r="L5" i="6"/>
  <c r="L17" i="6"/>
  <c r="L11" i="6"/>
  <c r="L22" i="6"/>
  <c r="L10" i="6"/>
  <c r="L13" i="6"/>
  <c r="L18" i="6"/>
  <c r="L8" i="6"/>
  <c r="L12" i="6"/>
  <c r="L15" i="6"/>
  <c r="L9" i="6"/>
  <c r="L28" i="6"/>
  <c r="L27" i="6"/>
  <c r="L7" i="6"/>
  <c r="L29" i="6"/>
  <c r="L26" i="6"/>
  <c r="L4" i="6"/>
  <c r="L25" i="6"/>
  <c r="D58" i="4"/>
  <c r="C13" i="1" s="1"/>
  <c r="C23" i="4"/>
  <c r="D59" i="4"/>
  <c r="D42" i="4"/>
  <c r="C51" i="11"/>
  <c r="E51" i="11" s="1"/>
  <c r="D41" i="4"/>
  <c r="C50" i="11"/>
  <c r="E50" i="11" s="1"/>
  <c r="C49" i="11"/>
  <c r="E49" i="11" s="1"/>
  <c r="D40" i="4"/>
  <c r="C48" i="11"/>
  <c r="E48" i="11" s="1"/>
  <c r="D39" i="4"/>
  <c r="C39" i="12"/>
  <c r="C47" i="11"/>
  <c r="E47" i="11" s="1"/>
  <c r="D38" i="4"/>
  <c r="D37" i="4"/>
  <c r="C46" i="11"/>
  <c r="E46" i="11" s="1"/>
  <c r="C38" i="12"/>
  <c r="C37" i="12"/>
  <c r="D36" i="4"/>
  <c r="C45" i="11"/>
  <c r="E45" i="11" s="1"/>
  <c r="C36" i="12"/>
  <c r="D35" i="4"/>
  <c r="C44" i="11"/>
  <c r="E44" i="11" s="1"/>
  <c r="D34" i="4"/>
  <c r="C35" i="12"/>
  <c r="C43" i="11"/>
  <c r="E43" i="11" s="1"/>
  <c r="C34" i="12"/>
  <c r="D33" i="4"/>
  <c r="C42" i="11"/>
  <c r="E42" i="11" s="1"/>
  <c r="C33" i="12"/>
  <c r="D32" i="4"/>
  <c r="C41" i="11"/>
  <c r="E41" i="11" s="1"/>
  <c r="C40" i="11"/>
  <c r="E40" i="11" s="1"/>
  <c r="C32" i="12"/>
  <c r="D31" i="4"/>
  <c r="C31" i="12"/>
  <c r="D30" i="4"/>
  <c r="C39" i="11"/>
  <c r="E39" i="11" s="1"/>
  <c r="D29" i="4"/>
  <c r="C38" i="11"/>
  <c r="E38" i="11" s="1"/>
  <c r="C30" i="12"/>
  <c r="C29" i="12"/>
  <c r="C37" i="11"/>
  <c r="E37" i="11" s="1"/>
  <c r="D49" i="4"/>
  <c r="C28" i="12"/>
  <c r="C36" i="11"/>
  <c r="E36" i="11" s="1"/>
  <c r="D48" i="4"/>
  <c r="C35" i="11"/>
  <c r="E35" i="11" s="1"/>
  <c r="D47" i="4"/>
  <c r="C27" i="12"/>
  <c r="D46" i="4"/>
  <c r="C34" i="11"/>
  <c r="E34" i="11" s="1"/>
  <c r="C26" i="12"/>
  <c r="C33" i="11"/>
  <c r="E33" i="11" s="1"/>
  <c r="D45" i="4"/>
  <c r="C25" i="12"/>
  <c r="D44" i="4"/>
  <c r="C32" i="11"/>
  <c r="E32" i="11" s="1"/>
  <c r="C24" i="12"/>
  <c r="C31" i="11"/>
  <c r="E31" i="11" s="1"/>
  <c r="D43" i="4"/>
  <c r="C23" i="12"/>
  <c r="C22" i="12"/>
  <c r="C30" i="11"/>
  <c r="E30" i="11" s="1"/>
  <c r="D53" i="4"/>
  <c r="D52" i="4"/>
  <c r="C21" i="12"/>
  <c r="C29" i="11"/>
  <c r="E29" i="11" s="1"/>
  <c r="C20" i="12"/>
  <c r="C28" i="11"/>
  <c r="E28" i="11" s="1"/>
  <c r="D51" i="4"/>
  <c r="D50" i="4"/>
  <c r="C27" i="11"/>
  <c r="E27" i="11" s="1"/>
  <c r="F33" i="3"/>
  <c r="A34" i="3" s="1"/>
  <c r="C19" i="12"/>
  <c r="C52" i="12"/>
  <c r="J29" i="6"/>
  <c r="K29" i="6" s="1"/>
  <c r="O29" i="6" s="1"/>
  <c r="E52" i="11"/>
  <c r="C52" i="11"/>
  <c r="G29" i="18" l="1"/>
  <c r="H29" i="18" s="1"/>
  <c r="G26" i="18"/>
  <c r="H26" i="18" s="1"/>
  <c r="G27" i="18"/>
  <c r="H27" i="18" s="1"/>
  <c r="G28" i="18"/>
  <c r="H28" i="18" s="1"/>
  <c r="G30" i="18"/>
  <c r="H30" i="18" s="1"/>
  <c r="G31" i="18"/>
  <c r="H31" i="18" s="1"/>
  <c r="G32" i="18"/>
  <c r="H32" i="18" s="1"/>
  <c r="G33" i="18"/>
  <c r="H33" i="18" s="1"/>
  <c r="G22" i="18"/>
  <c r="G25" i="18"/>
  <c r="H25" i="18" s="1"/>
  <c r="G34" i="18"/>
  <c r="H34" i="18" s="1"/>
  <c r="G38" i="18"/>
  <c r="H38" i="18" s="1"/>
  <c r="G23" i="18"/>
  <c r="H23" i="18" s="1"/>
  <c r="G24" i="18"/>
  <c r="H24" i="18" s="1"/>
  <c r="G35" i="18"/>
  <c r="H35" i="18" s="1"/>
  <c r="G36" i="18"/>
  <c r="H36" i="18" s="1"/>
  <c r="G37" i="18"/>
  <c r="H37" i="18" s="1"/>
  <c r="G39" i="18"/>
  <c r="H39" i="18" s="1"/>
  <c r="G40" i="18"/>
  <c r="H40" i="18" s="1"/>
  <c r="G41" i="18"/>
  <c r="H41" i="18" s="1"/>
  <c r="G42" i="18"/>
  <c r="H42" i="18" s="1"/>
  <c r="G43" i="18"/>
  <c r="H43" i="18" s="1"/>
  <c r="G44" i="18"/>
  <c r="H44" i="18" s="1"/>
  <c r="G45" i="18"/>
  <c r="H45" i="18" s="1"/>
  <c r="G46" i="18"/>
  <c r="H46" i="18" s="1"/>
  <c r="H11" i="3"/>
  <c r="L29" i="18"/>
  <c r="M29" i="18" s="1"/>
  <c r="K32" i="18"/>
  <c r="D26" i="12"/>
  <c r="D43" i="12"/>
  <c r="K26" i="18"/>
  <c r="D42" i="12"/>
  <c r="K46" i="18"/>
  <c r="D41" i="12"/>
  <c r="K45" i="18"/>
  <c r="D40" i="12"/>
  <c r="K44" i="18"/>
  <c r="H31" i="3"/>
  <c r="L26" i="18"/>
  <c r="M26" i="18" s="1"/>
  <c r="H30" i="3"/>
  <c r="L46" i="18"/>
  <c r="M46" i="18" s="1"/>
  <c r="H29" i="3"/>
  <c r="L45" i="18"/>
  <c r="M45" i="18" s="1"/>
  <c r="H28" i="3"/>
  <c r="L44" i="18"/>
  <c r="M44" i="18" s="1"/>
  <c r="D39" i="12"/>
  <c r="K43" i="18"/>
  <c r="H27" i="3"/>
  <c r="L43" i="18"/>
  <c r="M43" i="18" s="1"/>
  <c r="D38" i="12"/>
  <c r="K42" i="18"/>
  <c r="H26" i="3"/>
  <c r="L42" i="18"/>
  <c r="M42" i="18" s="1"/>
  <c r="D37" i="12"/>
  <c r="K41" i="18"/>
  <c r="H25" i="3"/>
  <c r="L41" i="18"/>
  <c r="M41" i="18" s="1"/>
  <c r="D35" i="12"/>
  <c r="K27" i="18"/>
  <c r="H22" i="3"/>
  <c r="L39" i="18"/>
  <c r="M39" i="18" s="1"/>
  <c r="D34" i="12"/>
  <c r="K39" i="18"/>
  <c r="D33" i="12"/>
  <c r="K38" i="18"/>
  <c r="H21" i="3"/>
  <c r="L38" i="18"/>
  <c r="M38" i="18" s="1"/>
  <c r="H19" i="3"/>
  <c r="L36" i="18"/>
  <c r="M36" i="18" s="1"/>
  <c r="D30" i="12"/>
  <c r="K35" i="18"/>
  <c r="H18" i="3"/>
  <c r="L35" i="18"/>
  <c r="M35" i="18" s="1"/>
  <c r="H16" i="3"/>
  <c r="L34" i="18"/>
  <c r="M34" i="18" s="1"/>
  <c r="H15" i="3"/>
  <c r="L33" i="18"/>
  <c r="M33" i="18" s="1"/>
  <c r="D27" i="12"/>
  <c r="K33" i="18"/>
  <c r="H14" i="3"/>
  <c r="L32" i="18"/>
  <c r="M32" i="18" s="1"/>
  <c r="H13" i="3"/>
  <c r="L31" i="18"/>
  <c r="M31" i="18" s="1"/>
  <c r="H12" i="3"/>
  <c r="L30" i="18"/>
  <c r="M30" i="18" s="1"/>
  <c r="H10" i="3"/>
  <c r="L25" i="18"/>
  <c r="M25" i="18" s="1"/>
  <c r="D21" i="12"/>
  <c r="K24" i="18"/>
  <c r="H9" i="3"/>
  <c r="L24" i="18"/>
  <c r="M24" i="18" s="1"/>
  <c r="H7" i="3"/>
  <c r="L22" i="18"/>
  <c r="M22" i="18" s="1"/>
  <c r="M37" i="18"/>
  <c r="C10" i="10"/>
  <c r="H23" i="3" s="1"/>
  <c r="H20" i="3"/>
  <c r="H17" i="3"/>
  <c r="F44" i="11"/>
  <c r="H8" i="3"/>
  <c r="D31" i="11"/>
  <c r="F31" i="11" s="1"/>
  <c r="O8" i="6"/>
  <c r="G11" i="7"/>
  <c r="M30" i="6"/>
  <c r="G33" i="7"/>
  <c r="D53" i="12"/>
  <c r="D11" i="11"/>
  <c r="O30" i="6"/>
  <c r="P30" i="6"/>
  <c r="M29" i="6"/>
  <c r="P29" i="6"/>
  <c r="G32" i="7"/>
  <c r="E11" i="11"/>
  <c r="D52" i="11" s="1"/>
  <c r="F52" i="11" s="1"/>
  <c r="D52" i="12"/>
  <c r="D51" i="11"/>
  <c r="F51" i="11" s="1"/>
  <c r="M28" i="6"/>
  <c r="O28" i="6"/>
  <c r="P28" i="6"/>
  <c r="G31" i="7"/>
  <c r="D50" i="11"/>
  <c r="F50" i="11" s="1"/>
  <c r="M27" i="6"/>
  <c r="O27" i="6"/>
  <c r="P27" i="6"/>
  <c r="G30" i="7"/>
  <c r="D49" i="11"/>
  <c r="F49" i="11" s="1"/>
  <c r="M26" i="6"/>
  <c r="O26" i="6"/>
  <c r="P26" i="6"/>
  <c r="G29" i="7"/>
  <c r="D48" i="11"/>
  <c r="F48" i="11" s="1"/>
  <c r="M25" i="6"/>
  <c r="O25" i="6"/>
  <c r="P25" i="6"/>
  <c r="G28" i="7"/>
  <c r="M24" i="6"/>
  <c r="O24" i="6"/>
  <c r="P24" i="6"/>
  <c r="G27" i="7"/>
  <c r="D47" i="11"/>
  <c r="F47" i="11" s="1"/>
  <c r="D46" i="11"/>
  <c r="F46" i="11" s="1"/>
  <c r="M23" i="6"/>
  <c r="O23" i="6"/>
  <c r="P23" i="6"/>
  <c r="G26" i="7"/>
  <c r="D45" i="11"/>
  <c r="F45" i="11" s="1"/>
  <c r="M22" i="6"/>
  <c r="O22" i="6"/>
  <c r="P22" i="6"/>
  <c r="G25" i="7"/>
  <c r="D43" i="11"/>
  <c r="F43" i="11" s="1"/>
  <c r="M20" i="6"/>
  <c r="G23" i="7"/>
  <c r="O20" i="6"/>
  <c r="P20" i="6"/>
  <c r="D42" i="11"/>
  <c r="F42" i="11" s="1"/>
  <c r="M19" i="6"/>
  <c r="P19" i="6"/>
  <c r="G22" i="7"/>
  <c r="O19" i="6"/>
  <c r="D41" i="11"/>
  <c r="F41" i="11" s="1"/>
  <c r="M18" i="6"/>
  <c r="G21" i="7"/>
  <c r="O18" i="6"/>
  <c r="P18" i="6"/>
  <c r="D40" i="11"/>
  <c r="F40" i="11" s="1"/>
  <c r="M17" i="6"/>
  <c r="O17" i="6"/>
  <c r="P17" i="6"/>
  <c r="G20" i="7"/>
  <c r="D39" i="11"/>
  <c r="F39" i="11" s="1"/>
  <c r="M16" i="6"/>
  <c r="P16" i="6"/>
  <c r="G19" i="7"/>
  <c r="O16" i="6"/>
  <c r="D38" i="11"/>
  <c r="F38" i="11" s="1"/>
  <c r="M15" i="6"/>
  <c r="O15" i="6"/>
  <c r="P15" i="6"/>
  <c r="G18" i="7"/>
  <c r="D37" i="11"/>
  <c r="F37" i="11" s="1"/>
  <c r="O14" i="6"/>
  <c r="P14" i="6"/>
  <c r="M14" i="6"/>
  <c r="G17" i="7"/>
  <c r="D36" i="11"/>
  <c r="F36" i="11" s="1"/>
  <c r="M13" i="6"/>
  <c r="P13" i="6"/>
  <c r="O13" i="6"/>
  <c r="G16" i="7"/>
  <c r="D35" i="11"/>
  <c r="F35" i="11" s="1"/>
  <c r="M12" i="6"/>
  <c r="G15" i="7"/>
  <c r="O12" i="6"/>
  <c r="P12" i="6"/>
  <c r="D34" i="11"/>
  <c r="F34" i="11" s="1"/>
  <c r="G14" i="7"/>
  <c r="M11" i="6"/>
  <c r="O11" i="6"/>
  <c r="P11" i="6"/>
  <c r="D33" i="11"/>
  <c r="F33" i="11" s="1"/>
  <c r="M10" i="6"/>
  <c r="O10" i="6"/>
  <c r="P10" i="6"/>
  <c r="G13" i="7"/>
  <c r="D32" i="11"/>
  <c r="F32" i="11" s="1"/>
  <c r="P9" i="6"/>
  <c r="M9" i="6"/>
  <c r="O9" i="6"/>
  <c r="G12" i="7"/>
  <c r="D30" i="11"/>
  <c r="F30" i="11" s="1"/>
  <c r="M7" i="6"/>
  <c r="D22" i="12"/>
  <c r="O7" i="6"/>
  <c r="P7" i="6"/>
  <c r="G10" i="7"/>
  <c r="D29" i="11"/>
  <c r="F29" i="11" s="1"/>
  <c r="G9" i="7"/>
  <c r="M6" i="6"/>
  <c r="O6" i="6"/>
  <c r="P6" i="6"/>
  <c r="D28" i="11"/>
  <c r="F28" i="11" s="1"/>
  <c r="G8" i="7"/>
  <c r="O5" i="6"/>
  <c r="M5" i="6"/>
  <c r="P5" i="6"/>
  <c r="C6" i="10"/>
  <c r="B7" i="1" s="1"/>
  <c r="C7" i="10"/>
  <c r="D27" i="11"/>
  <c r="F27" i="11" s="1"/>
  <c r="P4" i="6"/>
  <c r="Q4" i="6" s="1"/>
  <c r="C40" i="10"/>
  <c r="G7" i="1"/>
  <c r="B18" i="1" s="1"/>
  <c r="M4" i="6"/>
  <c r="G7" i="7"/>
  <c r="O4" i="6"/>
  <c r="E29" i="4"/>
  <c r="E30" i="4"/>
  <c r="G30" i="4" s="1"/>
  <c r="E31" i="4"/>
  <c r="G31" i="4" s="1"/>
  <c r="E32" i="4"/>
  <c r="G32" i="4" s="1"/>
  <c r="E33" i="4"/>
  <c r="G33" i="4" s="1"/>
  <c r="E34" i="4"/>
  <c r="G34" i="4" s="1"/>
  <c r="E35" i="4"/>
  <c r="G35" i="4" s="1"/>
  <c r="E36" i="4"/>
  <c r="G36" i="4" s="1"/>
  <c r="E37" i="4"/>
  <c r="G37" i="4" s="1"/>
  <c r="E38" i="4"/>
  <c r="G38" i="4" s="1"/>
  <c r="E39" i="4"/>
  <c r="G39" i="4" s="1"/>
  <c r="E40" i="4"/>
  <c r="G40" i="4" s="1"/>
  <c r="E41" i="4"/>
  <c r="G41" i="4" s="1"/>
  <c r="E42" i="4"/>
  <c r="G42" i="4" s="1"/>
  <c r="E43" i="4"/>
  <c r="G43" i="4" s="1"/>
  <c r="E44" i="4"/>
  <c r="G44" i="4" s="1"/>
  <c r="E45" i="4"/>
  <c r="G45" i="4" s="1"/>
  <c r="E46" i="4"/>
  <c r="G46" i="4" s="1"/>
  <c r="E47" i="4"/>
  <c r="G47" i="4" s="1"/>
  <c r="E48" i="4"/>
  <c r="G48" i="4" s="1"/>
  <c r="E49" i="4"/>
  <c r="G49" i="4" s="1"/>
  <c r="E50" i="4"/>
  <c r="G50" i="4" s="1"/>
  <c r="E51" i="4"/>
  <c r="G51" i="4" s="1"/>
  <c r="E52" i="4"/>
  <c r="G52" i="4" s="1"/>
  <c r="E53" i="4"/>
  <c r="G53" i="4" s="1"/>
  <c r="C12" i="1"/>
  <c r="D69" i="4"/>
  <c r="E69" i="4" s="1"/>
  <c r="H24" i="7"/>
  <c r="K24" i="7"/>
  <c r="L24" i="7"/>
  <c r="P24" i="7"/>
  <c r="O24" i="7"/>
  <c r="N24" i="7"/>
  <c r="M24" i="7"/>
  <c r="M21" i="6"/>
  <c r="P21" i="6"/>
  <c r="M8" i="6"/>
  <c r="P8" i="6"/>
  <c r="I29" i="18" l="1"/>
  <c r="P29" i="18" s="1"/>
  <c r="N29" i="18"/>
  <c r="I26" i="18"/>
  <c r="P26" i="18" s="1"/>
  <c r="N26" i="18"/>
  <c r="I27" i="18"/>
  <c r="P27" i="18" s="1"/>
  <c r="J27" i="18"/>
  <c r="N27" i="18"/>
  <c r="I28" i="18"/>
  <c r="P28" i="18" s="1"/>
  <c r="J28" i="18"/>
  <c r="N28" i="18"/>
  <c r="I30" i="18"/>
  <c r="P30" i="18" s="1"/>
  <c r="N30" i="18"/>
  <c r="I31" i="18"/>
  <c r="P31" i="18" s="1"/>
  <c r="N31" i="18"/>
  <c r="I32" i="18"/>
  <c r="P32" i="18" s="1"/>
  <c r="N32" i="18"/>
  <c r="I33" i="18"/>
  <c r="P33" i="18" s="1"/>
  <c r="N33" i="18"/>
  <c r="H22" i="18"/>
  <c r="G48" i="18"/>
  <c r="N25" i="18"/>
  <c r="I25" i="18"/>
  <c r="P25" i="18" s="1"/>
  <c r="I34" i="18"/>
  <c r="P34" i="18" s="1"/>
  <c r="N34" i="18"/>
  <c r="I38" i="18"/>
  <c r="P38" i="18" s="1"/>
  <c r="N38" i="18"/>
  <c r="I23" i="18"/>
  <c r="P23" i="18" s="1"/>
  <c r="J23" i="18"/>
  <c r="N23" i="18"/>
  <c r="I24" i="18"/>
  <c r="P24" i="18" s="1"/>
  <c r="N24" i="18"/>
  <c r="I35" i="18"/>
  <c r="P35" i="18" s="1"/>
  <c r="N35" i="18"/>
  <c r="I36" i="18"/>
  <c r="P36" i="18" s="1"/>
  <c r="N36" i="18"/>
  <c r="I37" i="18"/>
  <c r="P37" i="18" s="1"/>
  <c r="J37" i="18"/>
  <c r="N37" i="18"/>
  <c r="I39" i="18"/>
  <c r="P39" i="18" s="1"/>
  <c r="N39" i="18"/>
  <c r="I40" i="18"/>
  <c r="P40" i="18" s="1"/>
  <c r="N40" i="18"/>
  <c r="I41" i="18"/>
  <c r="P41" i="18" s="1"/>
  <c r="N41" i="18"/>
  <c r="I42" i="18"/>
  <c r="P42" i="18" s="1"/>
  <c r="N42" i="18"/>
  <c r="I43" i="18"/>
  <c r="P43" i="18" s="1"/>
  <c r="N43" i="18"/>
  <c r="I44" i="18"/>
  <c r="P44" i="18" s="1"/>
  <c r="N44" i="18"/>
  <c r="I45" i="18"/>
  <c r="P45" i="18" s="1"/>
  <c r="N45" i="18"/>
  <c r="I46" i="18"/>
  <c r="P46" i="18" s="1"/>
  <c r="N46" i="18"/>
  <c r="C11" i="10"/>
  <c r="C12" i="10" s="1"/>
  <c r="G44" i="11"/>
  <c r="I44" i="11"/>
  <c r="H11" i="7"/>
  <c r="N11" i="7"/>
  <c r="P11" i="7"/>
  <c r="O11" i="7"/>
  <c r="M11" i="7"/>
  <c r="L11" i="7"/>
  <c r="K11" i="7"/>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45" i="11"/>
  <c r="I45" i="11"/>
  <c r="G43" i="11"/>
  <c r="I43" i="11"/>
  <c r="G39" i="11"/>
  <c r="I39" i="11"/>
  <c r="G38" i="11"/>
  <c r="I38" i="11"/>
  <c r="G27" i="11"/>
  <c r="I27" i="11"/>
  <c r="G31" i="11"/>
  <c r="I31" i="11"/>
  <c r="G52" i="11"/>
  <c r="I52" i="11"/>
  <c r="I49" i="11"/>
  <c r="G49" i="11"/>
  <c r="G35" i="11"/>
  <c r="I35" i="11"/>
  <c r="G34" i="11"/>
  <c r="I34" i="11"/>
  <c r="G33" i="11"/>
  <c r="I33" i="11"/>
  <c r="G32" i="11"/>
  <c r="I32" i="11"/>
  <c r="G30" i="11"/>
  <c r="I30" i="11"/>
  <c r="G29" i="11"/>
  <c r="I29" i="11"/>
  <c r="G28" i="11"/>
  <c r="I28" i="11"/>
  <c r="N33" i="7"/>
  <c r="O33" i="7"/>
  <c r="K33" i="7"/>
  <c r="P33" i="7"/>
  <c r="L33" i="7"/>
  <c r="M33" i="7"/>
  <c r="H33" i="7"/>
  <c r="E16" i="11"/>
  <c r="E20" i="11"/>
  <c r="E17" i="11"/>
  <c r="E18" i="11"/>
  <c r="E19" i="11"/>
  <c r="E21" i="11"/>
  <c r="C4" i="12"/>
  <c r="F12" i="12"/>
  <c r="O32" i="7"/>
  <c r="L32" i="7"/>
  <c r="M32" i="7"/>
  <c r="N32" i="7"/>
  <c r="K32" i="7"/>
  <c r="P32" i="7"/>
  <c r="H32" i="7"/>
  <c r="P31" i="7"/>
  <c r="O31" i="7"/>
  <c r="N31" i="7"/>
  <c r="M31" i="7"/>
  <c r="L31" i="7"/>
  <c r="K31" i="7"/>
  <c r="H31" i="7"/>
  <c r="M30" i="7"/>
  <c r="O30" i="7"/>
  <c r="L30" i="7"/>
  <c r="K30" i="7"/>
  <c r="P30" i="7"/>
  <c r="N30" i="7"/>
  <c r="H30" i="7"/>
  <c r="M29" i="7"/>
  <c r="N29" i="7"/>
  <c r="K29" i="7"/>
  <c r="L29" i="7"/>
  <c r="O29" i="7"/>
  <c r="P29" i="7"/>
  <c r="H29" i="7"/>
  <c r="N28" i="7"/>
  <c r="O28" i="7"/>
  <c r="L28" i="7"/>
  <c r="K28" i="7"/>
  <c r="M28" i="7"/>
  <c r="P28" i="7"/>
  <c r="H28" i="7"/>
  <c r="K27" i="7"/>
  <c r="H27" i="7"/>
  <c r="P27" i="7"/>
  <c r="M27" i="7"/>
  <c r="N27" i="7"/>
  <c r="L27" i="7"/>
  <c r="O27" i="7"/>
  <c r="O26" i="7"/>
  <c r="P26" i="7"/>
  <c r="K26" i="7"/>
  <c r="L26" i="7"/>
  <c r="M26" i="7"/>
  <c r="N26" i="7"/>
  <c r="H26" i="7"/>
  <c r="L25" i="7"/>
  <c r="P25" i="7"/>
  <c r="K25" i="7"/>
  <c r="M25" i="7"/>
  <c r="N25" i="7"/>
  <c r="O25" i="7"/>
  <c r="H25" i="7"/>
  <c r="K23" i="7"/>
  <c r="N23" i="7"/>
  <c r="O23" i="7"/>
  <c r="M23" i="7"/>
  <c r="H23" i="7"/>
  <c r="L23" i="7"/>
  <c r="P23" i="7"/>
  <c r="K22" i="7"/>
  <c r="L22" i="7"/>
  <c r="M22" i="7"/>
  <c r="N22" i="7"/>
  <c r="O22" i="7"/>
  <c r="P22" i="7"/>
  <c r="H22" i="7"/>
  <c r="N21" i="7"/>
  <c r="K21" i="7"/>
  <c r="L21" i="7"/>
  <c r="M21" i="7"/>
  <c r="O21" i="7"/>
  <c r="P21" i="7"/>
  <c r="H21" i="7"/>
  <c r="K20" i="7"/>
  <c r="L20" i="7"/>
  <c r="M20" i="7"/>
  <c r="N20" i="7"/>
  <c r="O20" i="7"/>
  <c r="P20" i="7"/>
  <c r="H20" i="7"/>
  <c r="K19" i="7"/>
  <c r="L19" i="7"/>
  <c r="M19" i="7"/>
  <c r="N19" i="7"/>
  <c r="O19" i="7"/>
  <c r="P19" i="7"/>
  <c r="H19" i="7"/>
  <c r="K18" i="7"/>
  <c r="L18" i="7"/>
  <c r="M18" i="7"/>
  <c r="N18" i="7"/>
  <c r="O18" i="7"/>
  <c r="P18" i="7"/>
  <c r="H18" i="7"/>
  <c r="K17" i="7"/>
  <c r="L17" i="7"/>
  <c r="M17" i="7"/>
  <c r="N17" i="7"/>
  <c r="O17" i="7"/>
  <c r="P17" i="7"/>
  <c r="H17" i="7"/>
  <c r="K16" i="7"/>
  <c r="L16" i="7"/>
  <c r="M16" i="7"/>
  <c r="N16" i="7"/>
  <c r="O16" i="7"/>
  <c r="P16" i="7"/>
  <c r="H16" i="7"/>
  <c r="K15" i="7"/>
  <c r="L15" i="7"/>
  <c r="M15" i="7"/>
  <c r="N15" i="7"/>
  <c r="O15" i="7"/>
  <c r="P15" i="7"/>
  <c r="H15" i="7"/>
  <c r="K14" i="7"/>
  <c r="L14" i="7"/>
  <c r="M14" i="7"/>
  <c r="N14" i="7"/>
  <c r="O14" i="7"/>
  <c r="P14" i="7"/>
  <c r="H14" i="7"/>
  <c r="K13" i="7"/>
  <c r="L13" i="7"/>
  <c r="M13" i="7"/>
  <c r="N13" i="7"/>
  <c r="O13" i="7"/>
  <c r="P13" i="7"/>
  <c r="H13" i="7"/>
  <c r="K12" i="7"/>
  <c r="L12" i="7"/>
  <c r="M12" i="7"/>
  <c r="N12" i="7"/>
  <c r="O12" i="7"/>
  <c r="P12" i="7"/>
  <c r="H12" i="7"/>
  <c r="O10" i="7"/>
  <c r="M10" i="7"/>
  <c r="K10" i="7"/>
  <c r="L10" i="7"/>
  <c r="P10" i="7"/>
  <c r="N10" i="7"/>
  <c r="H10" i="7"/>
  <c r="K9" i="7"/>
  <c r="M9" i="7"/>
  <c r="P9" i="7"/>
  <c r="O9" i="7"/>
  <c r="L9" i="7"/>
  <c r="N9" i="7"/>
  <c r="H9" i="7"/>
  <c r="M8" i="7"/>
  <c r="P8" i="7"/>
  <c r="N8" i="7"/>
  <c r="L8" i="7"/>
  <c r="K8" i="7"/>
  <c r="O8" i="7"/>
  <c r="H8" i="7"/>
  <c r="C16" i="10"/>
  <c r="C41" i="10"/>
  <c r="C7" i="1"/>
  <c r="K7" i="7"/>
  <c r="N7" i="7"/>
  <c r="O7" i="7"/>
  <c r="L7" i="7"/>
  <c r="M7" i="7"/>
  <c r="P7" i="7"/>
  <c r="H7" i="7"/>
  <c r="G29" i="4"/>
  <c r="G54" i="4" s="1"/>
  <c r="E54" i="4"/>
  <c r="F54" i="4" s="1"/>
  <c r="S24" i="7"/>
  <c r="R24" i="7"/>
  <c r="Q24" i="7"/>
  <c r="T24" i="7"/>
  <c r="U24" i="7"/>
  <c r="V24" i="7"/>
  <c r="G51" i="11"/>
  <c r="I51" i="11"/>
  <c r="G50" i="11"/>
  <c r="I50" i="11"/>
  <c r="G48" i="11"/>
  <c r="I48" i="11"/>
  <c r="I47" i="11"/>
  <c r="G47" i="11"/>
  <c r="G46" i="11"/>
  <c r="I46" i="11"/>
  <c r="G42" i="11"/>
  <c r="I42" i="11"/>
  <c r="I41" i="11"/>
  <c r="G41" i="11"/>
  <c r="G40" i="11"/>
  <c r="I40" i="11"/>
  <c r="I37" i="11"/>
  <c r="G37" i="11"/>
  <c r="I36" i="11"/>
  <c r="B11" i="11"/>
  <c r="F11" i="11" s="1"/>
  <c r="G36" i="11"/>
  <c r="I22" i="18" l="1"/>
  <c r="N22" i="18"/>
  <c r="H48" i="18"/>
  <c r="B11" i="18"/>
  <c r="J48" i="18"/>
  <c r="U11" i="7"/>
  <c r="T11" i="7"/>
  <c r="Q11" i="7"/>
  <c r="R11" i="7"/>
  <c r="S11" i="7"/>
  <c r="V11" i="7"/>
  <c r="U33" i="7"/>
  <c r="V33" i="7"/>
  <c r="R33" i="7"/>
  <c r="Q33" i="7"/>
  <c r="T33" i="7"/>
  <c r="S33" i="7"/>
  <c r="B12" i="12"/>
  <c r="C12" i="12"/>
  <c r="E53" i="12" s="1"/>
  <c r="F53" i="12" s="1"/>
  <c r="H53" i="12" s="1"/>
  <c r="A14" i="12"/>
  <c r="C4" i="14"/>
  <c r="T32" i="7"/>
  <c r="Q32" i="7"/>
  <c r="V32" i="7"/>
  <c r="U32" i="7"/>
  <c r="S32" i="7"/>
  <c r="R32" i="7"/>
  <c r="Q31" i="7"/>
  <c r="T31" i="7"/>
  <c r="S31" i="7"/>
  <c r="U31" i="7"/>
  <c r="R31" i="7"/>
  <c r="V31" i="7"/>
  <c r="T30" i="7"/>
  <c r="V30" i="7"/>
  <c r="Q30" i="7"/>
  <c r="R30" i="7"/>
  <c r="U30" i="7"/>
  <c r="S30" i="7"/>
  <c r="R29" i="7"/>
  <c r="T29" i="7"/>
  <c r="V29" i="7"/>
  <c r="Q29" i="7"/>
  <c r="U29" i="7"/>
  <c r="S29" i="7"/>
  <c r="S28" i="7"/>
  <c r="V28" i="7"/>
  <c r="R28" i="7"/>
  <c r="U28" i="7"/>
  <c r="Q28" i="7"/>
  <c r="T28" i="7"/>
  <c r="Q27" i="7"/>
  <c r="U27" i="7"/>
  <c r="S27" i="7"/>
  <c r="R27" i="7"/>
  <c r="V27" i="7"/>
  <c r="T27" i="7"/>
  <c r="Q26" i="7"/>
  <c r="R26" i="7"/>
  <c r="T26" i="7"/>
  <c r="U26" i="7"/>
  <c r="V26" i="7"/>
  <c r="S26" i="7"/>
  <c r="U25" i="7"/>
  <c r="V25" i="7"/>
  <c r="Q25" i="7"/>
  <c r="R25" i="7"/>
  <c r="S25" i="7"/>
  <c r="T25" i="7"/>
  <c r="S23" i="7"/>
  <c r="V23" i="7"/>
  <c r="R23" i="7"/>
  <c r="U23" i="7"/>
  <c r="Q23" i="7"/>
  <c r="T23" i="7"/>
  <c r="R22" i="7"/>
  <c r="Q22" i="7"/>
  <c r="S22" i="7"/>
  <c r="T22" i="7"/>
  <c r="U22" i="7"/>
  <c r="V22" i="7"/>
  <c r="V21" i="7"/>
  <c r="Q21" i="7"/>
  <c r="R21" i="7"/>
  <c r="S21" i="7"/>
  <c r="T21" i="7"/>
  <c r="U21" i="7"/>
  <c r="T20" i="7"/>
  <c r="Q20" i="7"/>
  <c r="R20" i="7"/>
  <c r="S20" i="7"/>
  <c r="V20" i="7"/>
  <c r="U20" i="7"/>
  <c r="V19" i="7"/>
  <c r="Q19" i="7"/>
  <c r="R19" i="7"/>
  <c r="S19" i="7"/>
  <c r="T19" i="7"/>
  <c r="U19" i="7"/>
  <c r="V18" i="7"/>
  <c r="Q18" i="7"/>
  <c r="R18" i="7"/>
  <c r="S18" i="7"/>
  <c r="T18" i="7"/>
  <c r="U18" i="7"/>
  <c r="V17" i="7"/>
  <c r="Q17" i="7"/>
  <c r="R17" i="7"/>
  <c r="S17" i="7"/>
  <c r="T17" i="7"/>
  <c r="U17" i="7"/>
  <c r="R16" i="7"/>
  <c r="Q16" i="7"/>
  <c r="V16" i="7"/>
  <c r="S16" i="7"/>
  <c r="T16" i="7"/>
  <c r="U16" i="7"/>
  <c r="R15" i="7"/>
  <c r="Q15" i="7"/>
  <c r="S15" i="7"/>
  <c r="T15" i="7"/>
  <c r="U15" i="7"/>
  <c r="V15" i="7"/>
  <c r="V14" i="7"/>
  <c r="Q14" i="7"/>
  <c r="R14" i="7"/>
  <c r="S14" i="7"/>
  <c r="T14" i="7"/>
  <c r="U14" i="7"/>
  <c r="T13" i="7"/>
  <c r="Q13" i="7"/>
  <c r="R13" i="7"/>
  <c r="S13" i="7"/>
  <c r="U13" i="7"/>
  <c r="V13" i="7"/>
  <c r="T12" i="7"/>
  <c r="Q12" i="7"/>
  <c r="R12" i="7"/>
  <c r="S12" i="7"/>
  <c r="V12" i="7"/>
  <c r="U12" i="7"/>
  <c r="V10" i="7"/>
  <c r="T10" i="7"/>
  <c r="R10" i="7"/>
  <c r="U10" i="7"/>
  <c r="S10" i="7"/>
  <c r="Q10" i="7"/>
  <c r="V9" i="7"/>
  <c r="T9" i="7"/>
  <c r="R9" i="7"/>
  <c r="Q9" i="7"/>
  <c r="U9" i="7"/>
  <c r="S9" i="7"/>
  <c r="S8" i="7"/>
  <c r="U8" i="7"/>
  <c r="R8" i="7"/>
  <c r="V8" i="7"/>
  <c r="T8" i="7"/>
  <c r="Q8" i="7"/>
  <c r="C24" i="4"/>
  <c r="D7" i="1"/>
  <c r="B17" i="13"/>
  <c r="E17" i="13" s="1"/>
  <c r="B16" i="13"/>
  <c r="E16" i="13" s="1"/>
  <c r="B12" i="13"/>
  <c r="E12" i="13" s="1"/>
  <c r="B15" i="13"/>
  <c r="E15" i="13" s="1"/>
  <c r="B14" i="13"/>
  <c r="E14" i="13" s="1"/>
  <c r="B13" i="13"/>
  <c r="E13" i="13" s="1"/>
  <c r="H37" i="10"/>
  <c r="I37" i="10" s="1"/>
  <c r="H32" i="10"/>
  <c r="I32" i="10" s="1"/>
  <c r="H34" i="10"/>
  <c r="I34" i="10" s="1"/>
  <c r="H30" i="10"/>
  <c r="I30" i="10" s="1"/>
  <c r="H36" i="10"/>
  <c r="I36" i="10" s="1"/>
  <c r="H35" i="10"/>
  <c r="I35" i="10" s="1"/>
  <c r="H31" i="10"/>
  <c r="I31" i="10" s="1"/>
  <c r="H33" i="10"/>
  <c r="I33" i="10" s="1"/>
  <c r="G17" i="11"/>
  <c r="G20" i="11"/>
  <c r="G18" i="11"/>
  <c r="G19" i="11"/>
  <c r="G16" i="11"/>
  <c r="G21" i="11"/>
  <c r="E4" i="7"/>
  <c r="W7" i="7"/>
  <c r="X7" i="7" s="1"/>
  <c r="V7" i="7"/>
  <c r="T7" i="7"/>
  <c r="Q7" i="7"/>
  <c r="U7" i="7"/>
  <c r="S7" i="7"/>
  <c r="R7" i="7"/>
  <c r="D12" i="12"/>
  <c r="C11" i="11"/>
  <c r="I12" i="12"/>
  <c r="A22" i="11"/>
  <c r="D4" i="7"/>
  <c r="B4" i="7"/>
  <c r="C4" i="7"/>
  <c r="F4" i="7"/>
  <c r="G4" i="7"/>
  <c r="P22" i="18" l="1"/>
  <c r="I48" i="18"/>
  <c r="B12" i="18"/>
  <c r="B13" i="18" s="1"/>
  <c r="N48" i="18"/>
  <c r="W24" i="7"/>
  <c r="X24" i="7" s="1"/>
  <c r="W11" i="7"/>
  <c r="X11" i="7" s="1"/>
  <c r="E19" i="12"/>
  <c r="F19" i="12" s="1"/>
  <c r="H19" i="12" s="1"/>
  <c r="E20" i="12"/>
  <c r="F20" i="12" s="1"/>
  <c r="H20" i="12" s="1"/>
  <c r="E21" i="12"/>
  <c r="F21" i="12" s="1"/>
  <c r="H21" i="12" s="1"/>
  <c r="E23" i="12"/>
  <c r="F23" i="12" s="1"/>
  <c r="H23" i="12" s="1"/>
  <c r="E24" i="12"/>
  <c r="F24" i="12" s="1"/>
  <c r="H24" i="12" s="1"/>
  <c r="E25" i="12"/>
  <c r="F25" i="12" s="1"/>
  <c r="H25" i="12" s="1"/>
  <c r="E26" i="12"/>
  <c r="F26" i="12" s="1"/>
  <c r="H26" i="12" s="1"/>
  <c r="E27" i="12"/>
  <c r="F27" i="12" s="1"/>
  <c r="H27" i="12" s="1"/>
  <c r="E28" i="12"/>
  <c r="F28" i="12" s="1"/>
  <c r="H28" i="12" s="1"/>
  <c r="E29" i="12"/>
  <c r="F29" i="12" s="1"/>
  <c r="H29" i="12" s="1"/>
  <c r="E30" i="12"/>
  <c r="F30" i="12" s="1"/>
  <c r="H30" i="12" s="1"/>
  <c r="E22" i="12"/>
  <c r="F22" i="12" s="1"/>
  <c r="H22" i="12" s="1"/>
  <c r="E31" i="12"/>
  <c r="F31" i="12" s="1"/>
  <c r="H31" i="12" s="1"/>
  <c r="E32" i="12"/>
  <c r="F32" i="12" s="1"/>
  <c r="H32" i="12" s="1"/>
  <c r="E33" i="12"/>
  <c r="F33" i="12" s="1"/>
  <c r="H33" i="12" s="1"/>
  <c r="E34" i="12"/>
  <c r="F34" i="12" s="1"/>
  <c r="H34" i="12" s="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43" i="12"/>
  <c r="F43" i="12" s="1"/>
  <c r="H43" i="12" s="1"/>
  <c r="E52" i="12"/>
  <c r="F52" i="12" s="1"/>
  <c r="H52" i="12" s="1"/>
  <c r="J53" i="12"/>
  <c r="I53" i="12"/>
  <c r="K53" i="12"/>
  <c r="C5" i="14"/>
  <c r="B23" i="14" s="1"/>
  <c r="C14" i="1"/>
  <c r="C25" i="4"/>
  <c r="C15" i="1" s="1"/>
  <c r="F17" i="13"/>
  <c r="C17" i="14" s="1"/>
  <c r="G17" i="13"/>
  <c r="B17" i="14"/>
  <c r="F16" i="13"/>
  <c r="C16" i="14" s="1"/>
  <c r="G16" i="13"/>
  <c r="B16" i="14"/>
  <c r="B12" i="14"/>
  <c r="F12" i="13"/>
  <c r="C12" i="14" s="1"/>
  <c r="G12" i="13"/>
  <c r="F15" i="13"/>
  <c r="C15" i="14" s="1"/>
  <c r="G15" i="13"/>
  <c r="B21" i="13"/>
  <c r="C21" i="13"/>
  <c r="D21" i="13"/>
  <c r="E21" i="13"/>
  <c r="C26" i="13"/>
  <c r="C28" i="13"/>
  <c r="B15" i="14"/>
  <c r="F22" i="14"/>
  <c r="F23" i="14"/>
  <c r="F24" i="14"/>
  <c r="F14" i="13"/>
  <c r="C14" i="14" s="1"/>
  <c r="G14" i="13"/>
  <c r="B14" i="14"/>
  <c r="F13" i="13"/>
  <c r="C13" i="14" s="1"/>
  <c r="G13" i="13"/>
  <c r="B13" i="14"/>
  <c r="W27" i="7"/>
  <c r="X27" i="7" s="1"/>
  <c r="W23" i="7"/>
  <c r="X23" i="7" s="1"/>
  <c r="D17" i="11"/>
  <c r="D21" i="11"/>
  <c r="D18" i="11"/>
  <c r="D19" i="11"/>
  <c r="D20" i="11"/>
  <c r="D16" i="11"/>
  <c r="E12" i="12"/>
  <c r="G5" i="7"/>
  <c r="E5" i="7"/>
  <c r="B5" i="7"/>
  <c r="F5" i="7"/>
  <c r="D5" i="7"/>
  <c r="C5" i="7"/>
  <c r="W33" i="7"/>
  <c r="X33" i="7" s="1"/>
  <c r="W32" i="7"/>
  <c r="X32" i="7" s="1"/>
  <c r="W30" i="7"/>
  <c r="X30" i="7" s="1"/>
  <c r="W31" i="7"/>
  <c r="X31" i="7" s="1"/>
  <c r="W28" i="7"/>
  <c r="X28" i="7" s="1"/>
  <c r="W26" i="7"/>
  <c r="X26" i="7" s="1"/>
  <c r="W25" i="7"/>
  <c r="X25" i="7" s="1"/>
  <c r="W22" i="7"/>
  <c r="X22" i="7" s="1"/>
  <c r="W21" i="7"/>
  <c r="X21" i="7" s="1"/>
  <c r="W20" i="7"/>
  <c r="X20" i="7" s="1"/>
  <c r="W19" i="7"/>
  <c r="X19" i="7" s="1"/>
  <c r="W18" i="7"/>
  <c r="X18" i="7" s="1"/>
  <c r="W15" i="7"/>
  <c r="X15" i="7" s="1"/>
  <c r="W17" i="7"/>
  <c r="X17" i="7" s="1"/>
  <c r="W16" i="7"/>
  <c r="X16" i="7" s="1"/>
  <c r="W14" i="7"/>
  <c r="X14" i="7" s="1"/>
  <c r="W13" i="7"/>
  <c r="X13" i="7" s="1"/>
  <c r="W12" i="7"/>
  <c r="X12" i="7" s="1"/>
  <c r="W10" i="7"/>
  <c r="X10" i="7" s="1"/>
  <c r="W9" i="7"/>
  <c r="X9" i="7" s="1"/>
  <c r="W8" i="7"/>
  <c r="X8" i="7" s="1"/>
  <c r="W29" i="7"/>
  <c r="X29" i="7" s="1"/>
  <c r="B16" i="18" l="1"/>
  <c r="B17" i="18"/>
  <c r="I19" i="12"/>
  <c r="J19" i="12"/>
  <c r="K19" i="12"/>
  <c r="I20" i="12"/>
  <c r="J20" i="12"/>
  <c r="K20" i="12"/>
  <c r="I21" i="12"/>
  <c r="J21" i="12"/>
  <c r="K21" i="12"/>
  <c r="I23" i="12"/>
  <c r="J23" i="12"/>
  <c r="K23" i="12"/>
  <c r="I24" i="12"/>
  <c r="J24" i="12"/>
  <c r="K24" i="12"/>
  <c r="I25" i="12"/>
  <c r="J25" i="12"/>
  <c r="K25" i="12"/>
  <c r="I26" i="12"/>
  <c r="J26" i="12"/>
  <c r="K26" i="12"/>
  <c r="I27" i="12"/>
  <c r="J27" i="12"/>
  <c r="K27" i="12"/>
  <c r="G12" i="12"/>
  <c r="I28" i="12"/>
  <c r="J28" i="12"/>
  <c r="K28" i="12"/>
  <c r="I29" i="12"/>
  <c r="J29" i="12"/>
  <c r="K29" i="12"/>
  <c r="I30" i="12"/>
  <c r="J30" i="12"/>
  <c r="K30" i="12"/>
  <c r="I22" i="12"/>
  <c r="J22" i="12"/>
  <c r="K22" i="12"/>
  <c r="I31" i="12"/>
  <c r="J31" i="12"/>
  <c r="K31" i="12"/>
  <c r="I32" i="12"/>
  <c r="J32" i="12"/>
  <c r="K32" i="12"/>
  <c r="I33" i="12"/>
  <c r="J33" i="12"/>
  <c r="K33" i="12"/>
  <c r="I34" i="12"/>
  <c r="J34" i="12"/>
  <c r="K34" i="12"/>
  <c r="I35" i="12"/>
  <c r="J35" i="12"/>
  <c r="K35" i="12"/>
  <c r="I36" i="12"/>
  <c r="J36" i="12"/>
  <c r="K36" i="12"/>
  <c r="I37" i="12"/>
  <c r="J37" i="12"/>
  <c r="K37" i="12"/>
  <c r="I38" i="12"/>
  <c r="J38" i="12"/>
  <c r="K38" i="12"/>
  <c r="I39" i="12"/>
  <c r="J39" i="12"/>
  <c r="K39" i="12"/>
  <c r="I40" i="12"/>
  <c r="J40" i="12"/>
  <c r="K40" i="12"/>
  <c r="K41" i="12"/>
  <c r="I41" i="12"/>
  <c r="J41" i="12"/>
  <c r="J42" i="12"/>
  <c r="I42" i="12"/>
  <c r="K42" i="12"/>
  <c r="I43" i="12"/>
  <c r="J43" i="12"/>
  <c r="K43" i="12"/>
  <c r="I52" i="12"/>
  <c r="J52" i="12"/>
  <c r="K52" i="12"/>
  <c r="H17" i="13"/>
  <c r="E17" i="14" s="1"/>
  <c r="I17" i="13"/>
  <c r="J17" i="13"/>
  <c r="K17" i="13"/>
  <c r="D17" i="14"/>
  <c r="F17" i="14" s="1"/>
  <c r="H16" i="13"/>
  <c r="E16" i="14" s="1"/>
  <c r="I16" i="13"/>
  <c r="J16" i="13"/>
  <c r="K16" i="13"/>
  <c r="D16" i="14"/>
  <c r="F16" i="14" s="1"/>
  <c r="I12" i="13"/>
  <c r="K12" i="13"/>
  <c r="H12" i="13"/>
  <c r="E12" i="14" s="1"/>
  <c r="J12" i="13"/>
  <c r="D12" i="14"/>
  <c r="F12" i="14" s="1"/>
  <c r="H15" i="13"/>
  <c r="I15" i="13"/>
  <c r="J15" i="13"/>
  <c r="K15" i="13"/>
  <c r="C25" i="13"/>
  <c r="C27" i="13"/>
  <c r="D15" i="14"/>
  <c r="F15" i="14" s="1"/>
  <c r="H14" i="13"/>
  <c r="E14" i="14" s="1"/>
  <c r="I14" i="13"/>
  <c r="J14" i="13"/>
  <c r="K14" i="13"/>
  <c r="D14" i="14"/>
  <c r="F14" i="14" s="1"/>
  <c r="H13" i="13"/>
  <c r="E13" i="14" s="1"/>
  <c r="I13" i="13"/>
  <c r="J13" i="13"/>
  <c r="K13" i="13"/>
  <c r="D13" i="14"/>
  <c r="F13" i="14" s="1"/>
  <c r="I17" i="11"/>
  <c r="F17" i="11"/>
  <c r="H17" i="11" s="1"/>
  <c r="F21" i="11"/>
  <c r="H21" i="11" s="1"/>
  <c r="I21" i="11"/>
  <c r="I18" i="11"/>
  <c r="F18" i="11"/>
  <c r="H18" i="11" s="1"/>
  <c r="I19" i="11"/>
  <c r="F19" i="11"/>
  <c r="H19" i="11" s="1"/>
  <c r="I20" i="11"/>
  <c r="F20" i="11"/>
  <c r="H20" i="11" s="1"/>
  <c r="I16" i="11"/>
  <c r="F16" i="11"/>
  <c r="H16" i="11" s="1"/>
  <c r="E23" i="14"/>
  <c r="G23" i="14" s="1"/>
  <c r="B24" i="14"/>
  <c r="B22" i="14" s="1"/>
  <c r="G17" i="14" l="1"/>
  <c r="H17" i="14"/>
  <c r="I17" i="14" s="1"/>
  <c r="G16" i="14"/>
  <c r="H16" i="14"/>
  <c r="I16" i="14" s="1"/>
  <c r="G12" i="14"/>
  <c r="H12" i="14"/>
  <c r="I12" i="14" s="1"/>
  <c r="F21" i="13"/>
  <c r="E15" i="14"/>
  <c r="G15" i="14"/>
  <c r="H15" i="14"/>
  <c r="I15" i="14" s="1"/>
  <c r="C22" i="14"/>
  <c r="E22" i="14" s="1"/>
  <c r="G22" i="14" s="1"/>
  <c r="C24" i="14"/>
  <c r="E24" i="14" s="1"/>
  <c r="G24" i="14" s="1"/>
  <c r="G14" i="14"/>
  <c r="H14" i="14"/>
  <c r="I14" i="14" s="1"/>
  <c r="G13" i="14"/>
  <c r="H13" i="14"/>
  <c r="I13" i="14" s="1"/>
  <c r="H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Yousif's PC</author>
  </authors>
  <commentList>
    <comment ref="B28" authorId="0" shapeId="0" xr:uid="{1896A472-948B-49EE-909F-47B4E0E2215C}">
      <text>
        <r>
          <rPr>
            <b/>
            <sz val="9"/>
            <color indexed="81"/>
            <rFont val="Tahoma"/>
            <family val="2"/>
          </rPr>
          <t>Optional and deliberately low. Keep at D10 and do not increase until IFRA category limits are confirmed.</t>
        </r>
      </text>
    </comment>
    <comment ref="B38" authorId="0" shapeId="0" xr:uid="{554228C7-A951-4CD3-ADC8-B9F79CBC7434}">
      <text>
        <r>
          <rPr>
            <b/>
            <sz val="9"/>
            <color indexed="81"/>
            <rFont val="Tahoma"/>
            <family val="2"/>
          </rPr>
          <t>Warm tonka effect. At 28%, this line is about 1.12% of finished perfume, so verify IFRA and labeling before selling.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(0.20 = 20%). EDP default is 20% for a wearable long-lasting version.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Yousif's PC</author>
  </authors>
  <commentList>
    <comment ref="H2" authorId="0" shapeId="0" xr:uid="{00000000-0006-0000-0500-000001000000}">
      <text>
        <r>
          <rPr>
            <sz val="11"/>
            <color theme="1"/>
            <rFont val="Calibri"/>
            <family val="2"/>
            <scheme val="minor"/>
          </rPr>
          <t>Low-stock alert basis: concentrate grams in one default EDP batch (50 ml @ 20%,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G4" authorId="1" shapeId="0" xr:uid="{315314D4-74F6-42CF-862D-CD98562869E6}">
      <text>
        <r>
          <rPr>
            <b/>
            <sz val="9"/>
            <color indexed="81"/>
            <rFont val="Tahoma"/>
            <family val="2"/>
          </rPr>
          <t>Iterji live check 2026-07-14. Selected size: 30 ml (1.01 fl. oz.). Status: matched-size. Source: https://iterji.com/perfumery-ingredients/aroma-accords/bergamot.html</t>
        </r>
      </text>
    </comment>
    <comment ref="A5" authorId="0" shapeId="0" xr:uid="{00000000-0006-0000-0500-000005000000}">
      <text>
        <r>
          <rPr>
            <sz val="11"/>
            <color theme="1"/>
            <rFont val="Calibri"/>
            <family val="2"/>
            <scheme val="minor"/>
          </rPr>
          <t>shared with ASMR · used as 10% D10</t>
        </r>
      </text>
    </comment>
    <comment ref="G5" authorId="1" shapeId="0" xr:uid="{EC871876-8E87-4E8C-A3D6-3CA9EE81ADF8}">
      <text>
        <r>
          <rPr>
            <b/>
            <sz val="9"/>
            <color indexed="81"/>
            <rFont val="Tahoma"/>
            <family val="2"/>
          </rPr>
          <t>Iterji live check 2026-07-14. Selected size: 10 ml (0.34 fl. oz.). Status: matched-size. Source: https://iterji.com/perfumery-ingredients/natural-ingredients/pink-peppercorn.html</t>
        </r>
      </text>
    </comment>
    <comment ref="A6" authorId="0" shapeId="0" xr:uid="{00000000-0006-0000-0500-000006000000}">
      <text>
        <r>
          <rPr>
            <sz val="11"/>
            <color theme="1"/>
            <rFont val="Calibri"/>
            <family val="2"/>
            <scheme val="minor"/>
          </rPr>
          <t>NEW purchase</t>
        </r>
      </text>
    </comment>
    <comment ref="G6" authorId="1" shapeId="0" xr:uid="{DD57FF9C-D587-46C0-86B5-030C4F094D1C}">
      <text>
        <r>
          <rPr>
            <b/>
            <sz val="9"/>
            <color indexed="81"/>
            <rFont val="Tahoma"/>
            <family val="2"/>
          </rPr>
          <t>Iterji live check 2026-07-14. Selected size: 10 ml (0.34 fl. oz.). Status: matched-size. Source: https://iterji.com/perfumery-ingredients/aroma-chemicals/aldehyde-c-14-peach.html</t>
        </r>
      </text>
    </comment>
    <comment ref="A7" authorId="0" shapeId="0" xr:uid="{00000000-0006-0000-0500-000007000000}">
      <text>
        <r>
          <rPr>
            <sz val="11"/>
            <color theme="1"/>
            <rFont val="Calibri"/>
            <family val="2"/>
            <scheme val="minor"/>
          </rPr>
          <t>NEW purchase</t>
        </r>
      </text>
    </comment>
    <comment ref="G7" authorId="1" shapeId="0" xr:uid="{F86A373B-CE4F-43E1-9BB7-0C976D1829A7}">
      <text>
        <r>
          <rPr>
            <b/>
            <sz val="9"/>
            <color indexed="81"/>
            <rFont val="Tahoma"/>
            <family val="2"/>
          </rPr>
          <t>Iterji live check 2026-07-14. Selected size: 10 ml (0.34 fl. oz.). Status: matched-size. Source: https://iterji.com/perfumery-ingredients/aroma-accords/raspberry.html</t>
        </r>
      </text>
    </comment>
    <comment ref="A8" authorId="0" shapeId="0" xr:uid="{00000000-0006-0000-0500-000008000000}">
      <text>
        <r>
          <rPr>
            <sz val="11"/>
            <color theme="1"/>
            <rFont val="Calibri"/>
            <family val="2"/>
            <scheme val="minor"/>
          </rPr>
          <t>shared with ASMR</t>
        </r>
      </text>
    </comment>
    <comment ref="G8" authorId="1" shapeId="0" xr:uid="{252E08AA-DD9C-4E5C-A1CC-2FC6BEA3FFA6}">
      <text>
        <r>
          <rPr>
            <b/>
            <sz val="9"/>
            <color indexed="81"/>
            <rFont val="Tahoma"/>
            <family val="2"/>
          </rPr>
          <t>Iterji live check 2026-07-14. Selected size: 100 ml (3.38 fl. oz.). Status: matched-size. Source: https://iterji.com/perfumery-ingredients/aroma-chemicals/hedione-firmenich.html</t>
        </r>
      </text>
    </comment>
    <comment ref="A9" authorId="0" shapeId="0" xr:uid="{00000000-0006-0000-0500-000009000000}">
      <text>
        <r>
          <rPr>
            <sz val="11"/>
            <color theme="1"/>
            <rFont val="Calibri"/>
            <family val="2"/>
            <scheme val="minor"/>
          </rPr>
          <t>NEW purchase — the heart of SAMR</t>
        </r>
      </text>
    </comment>
    <comment ref="G9" authorId="1" shapeId="0" xr:uid="{AB6345E7-CE3F-4109-801C-9D35E306D09D}">
      <text>
        <r>
          <rPr>
            <b/>
            <sz val="9"/>
            <color indexed="81"/>
            <rFont val="Tahoma"/>
            <family val="2"/>
          </rPr>
          <t>Iterji live check 2026-07-14. Selected size: 10 ml (0.34 fl. oz.). Status: matched-size. Source: https://iterji.com/perfumery-ingredients/aroma-accords/jasmin-absolute.html</t>
        </r>
      </text>
    </comment>
    <comment ref="A10" authorId="0" shapeId="0" xr:uid="{00000000-0006-0000-0500-00000A000000}">
      <text>
        <r>
          <rPr>
            <sz val="11"/>
            <color theme="1"/>
            <rFont val="Calibri"/>
            <family val="2"/>
            <scheme val="minor"/>
          </rPr>
          <t>NEW purchase</t>
        </r>
      </text>
    </comment>
    <comment ref="G10" authorId="1" shapeId="0" xr:uid="{A5BF35D2-CE12-43EB-BEE2-F81D09074A92}">
      <text>
        <r>
          <rPr>
            <b/>
            <sz val="9"/>
            <color indexed="81"/>
            <rFont val="Tahoma"/>
            <family val="2"/>
          </rPr>
          <t>Iterji live check 2026-07-14. Selected size: 10 ml (0.34 fl. oz.). Status: matched-size. Source: https://iterji.com/perfumery-ingredients/aroma-accords/tuberose.html</t>
        </r>
      </text>
    </comment>
    <comment ref="A11" authorId="0" shapeId="0" xr:uid="{00000000-0006-0000-0500-00000B000000}">
      <text>
        <r>
          <rPr>
            <sz val="11"/>
            <color theme="1"/>
            <rFont val="Calibri"/>
            <family val="2"/>
            <scheme val="minor"/>
          </rPr>
          <t>shared with ASMR</t>
        </r>
      </text>
    </comment>
    <comment ref="G11" authorId="1" shapeId="0" xr:uid="{B5C63979-780E-4EE2-B3A8-6BFB1111E8AC}">
      <text>
        <r>
          <rPr>
            <b/>
            <sz val="9"/>
            <color indexed="81"/>
            <rFont val="Tahoma"/>
            <family val="2"/>
          </rPr>
          <t>Iterji live check 2026-07-14. Selected size: 30 ml (1.01 fl. oz.). Status: matched-size. Source: https://iterji.com/perfumery-ingredients/aroma-chemicals/methyl-alpha-ionone-iso.html</t>
        </r>
      </text>
    </comment>
    <comment ref="A12" authorId="0" shapeId="0" xr:uid="{00000000-0006-0000-0500-00000C000000}">
      <text>
        <r>
          <rPr>
            <sz val="11"/>
            <color theme="1"/>
            <rFont val="Calibri"/>
            <family val="2"/>
            <scheme val="minor"/>
          </rPr>
          <t>shared with ASMR</t>
        </r>
      </text>
    </comment>
    <comment ref="G12" authorId="1" shapeId="0" xr:uid="{B3BA82F3-95C3-479C-B86A-0CD42EB4A3C4}">
      <text>
        <r>
          <rPr>
            <b/>
            <sz val="9"/>
            <color indexed="81"/>
            <rFont val="Tahoma"/>
            <family val="2"/>
          </rPr>
          <t>Iterji live check 2026-07-14. Selected size: 30 ml (1.01 fl. oz.). Status: matched-size. Source: https://iterji.com/perfumery-ingredients/aroma-chemicals/benzyl-salicylate.html</t>
        </r>
      </text>
    </comment>
    <comment ref="A13" authorId="0" shapeId="0" xr:uid="{00000000-0006-0000-0500-00000D000000}">
      <text>
        <r>
          <rPr>
            <sz val="11"/>
            <color theme="1"/>
            <rFont val="Calibri"/>
            <family val="2"/>
            <scheme val="minor"/>
          </rPr>
          <t>shared with ASMR</t>
        </r>
      </text>
    </comment>
    <comment ref="G13" authorId="1" shapeId="0" xr:uid="{4CEBE2FE-BE90-47E4-A948-09F5FE6A0A11}">
      <text>
        <r>
          <rPr>
            <b/>
            <sz val="9"/>
            <color indexed="81"/>
            <rFont val="Tahoma"/>
            <family val="2"/>
          </rPr>
          <t>Iterji live check 2026-07-14. Selected size: 10 ml (0.34 fl. oz.). Status: matched-size. Source: https://iterji.com/perfumery-ingredients/aroma-chemicals/linalool.html</t>
        </r>
      </text>
    </comment>
    <comment ref="A14" authorId="0" shapeId="0" xr:uid="{00000000-0006-0000-0500-00000E000000}">
      <text>
        <r>
          <rPr>
            <sz val="11"/>
            <color theme="1"/>
            <rFont val="Calibri"/>
            <family val="2"/>
            <scheme val="minor"/>
          </rPr>
          <t>NEW · POWERFUL — only ever weighed as its 10% D10</t>
        </r>
      </text>
    </comment>
    <comment ref="G14" authorId="1" shapeId="0" xr:uid="{1EA1CBA0-B741-4836-B2DE-A9AE6A13AB3E}">
      <text>
        <r>
          <rPr>
            <b/>
            <sz val="9"/>
            <color indexed="81"/>
            <rFont val="Tahoma"/>
            <family val="2"/>
          </rPr>
          <t>Iterji live check 2026-07-14. Selected size: 10 ml (0.34 fl. oz.). Status: matched-size. Source: https://iterji.com/perfumery-ingredients/aroma-chemicals/damascone-beta.html</t>
        </r>
      </text>
    </comment>
    <comment ref="A15" authorId="0" shapeId="0" xr:uid="{00000000-0006-0000-0500-00000F000000}">
      <text>
        <r>
          <rPr>
            <sz val="11"/>
            <color theme="1"/>
            <rFont val="Calibri"/>
            <family val="2"/>
            <scheme val="minor"/>
          </rPr>
          <t>NEW · crystals — must dissolve fully</t>
        </r>
      </text>
    </comment>
    <comment ref="G15" authorId="1" shapeId="0" xr:uid="{8A151C31-7CB6-4813-BC12-58C67A7BDAE6}">
      <text>
        <r>
          <rPr>
            <b/>
            <sz val="9"/>
            <color indexed="81"/>
            <rFont val="Tahoma"/>
            <family val="2"/>
          </rPr>
          <t>Iterji live check 2026-07-14. Selected size: 30 Grams. Status: matched-size. Source: https://iterji.com/perfumery-ingredients/aroma-chemicals/vanillin-crystals.html</t>
        </r>
      </text>
    </comment>
    <comment ref="A16" authorId="0" shapeId="0" xr:uid="{00000000-0006-0000-0500-000010000000}">
      <text>
        <r>
          <rPr>
            <sz val="11"/>
            <color theme="1"/>
            <rFont val="Calibri"/>
            <family val="2"/>
            <scheme val="minor"/>
          </rPr>
          <t>NEW · crystals</t>
        </r>
      </text>
    </comment>
    <comment ref="G16" authorId="1" shapeId="0" xr:uid="{F722BC09-4032-4DDA-9695-2A6B97B79423}">
      <text>
        <r>
          <rPr>
            <b/>
            <sz val="9"/>
            <color indexed="81"/>
            <rFont val="Tahoma"/>
            <family val="2"/>
          </rPr>
          <t>Iterji live check 2026-07-14. Selected size: 10 Grams. Status: matched-size. Source: https://iterji.com/perfumery-ingredients/aroma-chemicals/ethyl-vanillin.html</t>
        </r>
      </text>
    </comment>
    <comment ref="A17" authorId="0" shapeId="0" xr:uid="{00000000-0006-0000-0500-000011000000}">
      <text>
        <r>
          <rPr>
            <sz val="11"/>
            <color theme="1"/>
            <rFont val="Calibri"/>
            <family val="2"/>
            <scheme val="minor"/>
          </rPr>
          <t>NEW · used as 10% D10</t>
        </r>
      </text>
    </comment>
    <comment ref="G17" authorId="1" shapeId="0" xr:uid="{C880D480-BF7C-47F4-B938-2622BA7683FB}">
      <text>
        <r>
          <rPr>
            <b/>
            <sz val="9"/>
            <color indexed="81"/>
            <rFont val="Tahoma"/>
            <family val="2"/>
          </rPr>
          <t>Iterji live check 2026-07-14. Selected size: 10 Grams. Status: matched-size. Source: https://iterji.com/perfumery-ingredients/aroma-chemicals/maltol-crystals.html</t>
        </r>
      </text>
    </comment>
    <comment ref="A18" authorId="0" shapeId="0" xr:uid="{00000000-0006-0000-0500-000012000000}">
      <text>
        <r>
          <rPr>
            <sz val="11"/>
            <color theme="1"/>
            <rFont val="Calibri"/>
            <family val="2"/>
            <scheme val="minor"/>
          </rPr>
          <t>NEW · iterji sells it as a 500 g pack only (0.30 SAR/g)</t>
        </r>
      </text>
    </comment>
    <comment ref="G18" authorId="1" shapeId="0" xr:uid="{C0910FA5-8DCC-406B-8080-1309955D73BD}">
      <text>
        <r>
          <rPr>
            <b/>
            <sz val="9"/>
            <color indexed="81"/>
            <rFont val="Tahoma"/>
            <family val="2"/>
          </rPr>
          <t>Iterji live check 2026-07-14. Selected size: . Status: default-or-no-size-match. Source: https://iterji.com/perfumery-ingredients/aroma-chemicals/coumarin-crystalline-powder.html</t>
        </r>
      </text>
    </comment>
    <comment ref="A19" authorId="0" shapeId="0" xr:uid="{00000000-0006-0000-0500-000013000000}">
      <text>
        <r>
          <rPr>
            <sz val="11"/>
            <color theme="1"/>
            <rFont val="Calibri"/>
            <family val="2"/>
            <scheme val="minor"/>
          </rPr>
          <t>NEW purchase</t>
        </r>
      </text>
    </comment>
    <comment ref="G19" authorId="1" shapeId="0" xr:uid="{8BDA97BC-901B-4676-9258-2CB0E48AA45F}">
      <text>
        <r>
          <rPr>
            <b/>
            <sz val="9"/>
            <color indexed="81"/>
            <rFont val="Tahoma"/>
            <family val="2"/>
          </rPr>
          <t>Iterji live check 2026-07-14. Selected size: 10 ml (0.34 fl. oz.). Status: matched-size. Source: https://iterji.com/perfumery-ingredients/aroma-accords/heliotrope.html</t>
        </r>
      </text>
    </comment>
    <comment ref="A20" authorId="0" shapeId="0" xr:uid="{00000000-0006-0000-0500-000014000000}">
      <text>
        <r>
          <rPr>
            <sz val="11"/>
            <color theme="1"/>
            <rFont val="Calibri"/>
            <family val="2"/>
            <scheme val="minor"/>
          </rPr>
          <t>NEW · used as 10% D10</t>
        </r>
      </text>
    </comment>
    <comment ref="G20" authorId="1" shapeId="0" xr:uid="{DD1FBB69-B261-4C99-B802-06480A765987}">
      <text>
        <r>
          <rPr>
            <b/>
            <sz val="9"/>
            <color indexed="81"/>
            <rFont val="Tahoma"/>
            <family val="2"/>
          </rPr>
          <t>Iterji live check 2026-07-14. Selected size: 10 ml (0.34 fl. oz.). Status: matched-size. Source: https://iterji.com/perfumery-ingredients/aroma-chemicals/aldehyde-c-18-coconut.html</t>
        </r>
      </text>
    </comment>
    <comment ref="A21" authorId="0" shapeId="0" xr:uid="{00000000-0006-0000-0500-000015000000}">
      <text>
        <r>
          <rPr>
            <sz val="11"/>
            <color theme="1"/>
            <rFont val="Calibri"/>
            <family val="2"/>
            <scheme val="minor"/>
          </rPr>
          <t>shared with ASMR (bought there as 'Amberxan') · the only amber material</t>
        </r>
      </text>
    </comment>
    <comment ref="G21" authorId="1" shapeId="0" xr:uid="{E7996DA5-B0C7-4500-8FAB-B04BB45EFFE5}">
      <text>
        <r>
          <rPr>
            <b/>
            <sz val="9"/>
            <color indexed="81"/>
            <rFont val="Tahoma"/>
            <family val="2"/>
          </rPr>
          <t>Iterji live check 2026-07-14. Selected size: 10 Grams. Status: matched-size. Source: https://iterji.com/perfumery-ingredients/aroma-chemicals/ambroxan.html</t>
        </r>
      </text>
    </comment>
    <comment ref="A22" authorId="0" shapeId="0" xr:uid="{00000000-0006-0000-0500-000016000000}">
      <text>
        <r>
          <rPr>
            <sz val="11"/>
            <color theme="1"/>
            <rFont val="Calibri"/>
            <family val="2"/>
            <scheme val="minor"/>
          </rPr>
          <t>shared with ASMR · the usual bottleneck — consider the 30 ml pack</t>
        </r>
      </text>
    </comment>
    <comment ref="G22" authorId="1" shapeId="0" xr:uid="{8217B860-1F79-4E2A-A209-7DE66FE0E6E0}">
      <text>
        <r>
          <rPr>
            <b/>
            <sz val="9"/>
            <color indexed="81"/>
            <rFont val="Tahoma"/>
            <family val="2"/>
          </rPr>
          <t>Iterji live check 2026-07-14. Selected size: 30 ml (1.01 fl. oz.). Status: matched-size. Source: https://iterji.com/perfumery-ingredients/aroma-chemicals/iso-e-super.html</t>
        </r>
      </text>
    </comment>
    <comment ref="A23" authorId="0" shapeId="0" xr:uid="{00000000-0006-0000-0500-000017000000}">
      <text>
        <r>
          <rPr>
            <sz val="11"/>
            <color theme="1"/>
            <rFont val="Calibri"/>
            <family val="2"/>
            <scheme val="minor"/>
          </rPr>
          <t>shared with ASMR</t>
        </r>
      </text>
    </comment>
    <comment ref="G23" authorId="1" shapeId="0" xr:uid="{CDEAA9C1-C17F-4386-BB7B-9CE076F83DF8}">
      <text>
        <r>
          <rPr>
            <b/>
            <sz val="9"/>
            <color indexed="81"/>
            <rFont val="Tahoma"/>
            <family val="2"/>
          </rPr>
          <t>Iterji live check 2026-07-14. Selected size: 10 ml (0.34 fl. oz.). Status: matched-size. Source: https://iterji.com/perfumery-ingredients/aroma-chemicals/cashmeran-iff.html</t>
        </r>
      </text>
    </comment>
    <comment ref="A24" authorId="0" shapeId="0" xr:uid="{00000000-0006-0000-0500-000018000000}">
      <text>
        <r>
          <rPr>
            <sz val="11"/>
            <color theme="1"/>
            <rFont val="Calibri"/>
            <family val="2"/>
            <scheme val="minor"/>
          </rPr>
          <t>shared with ASMR</t>
        </r>
      </text>
    </comment>
    <comment ref="G24" authorId="1" shapeId="0" xr:uid="{457CE710-D396-4B9E-8AAF-660FBD9111A2}">
      <text>
        <r>
          <rPr>
            <b/>
            <sz val="9"/>
            <color indexed="81"/>
            <rFont val="Tahoma"/>
            <family val="2"/>
          </rPr>
          <t>Iterji live check 2026-07-14. Selected size: 10 ml (0.34 fl. oz.). Status: matched-size. Source: https://iterji.com/perfumery-ingredients/aroma-chemicals/sandalore-givaudan.html</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G25" authorId="1" shapeId="0" xr:uid="{04530DE6-7794-435E-9DB1-4E63A14CCAF9}">
      <text>
        <r>
          <rPr>
            <b/>
            <sz val="9"/>
            <color indexed="81"/>
            <rFont val="Tahoma"/>
            <family val="2"/>
          </rPr>
          <t>Iterji live check 2026-07-14. Selected size: 50 ml (1.69 fl. oz.). Status: matched-size. Source: https://iterji.com/perfumery-ingredients/aroma-chemicals/ethylene-brassylate.html</t>
        </r>
      </text>
    </comment>
    <comment ref="A26" authorId="0" shapeId="0" xr:uid="{00000000-0006-0000-0500-00001A000000}">
      <text>
        <r>
          <rPr>
            <sz val="11"/>
            <color theme="1"/>
            <rFont val="Calibri"/>
            <family val="2"/>
            <scheme val="minor"/>
          </rPr>
          <t>NEW · smallest pack is 30 ml</t>
        </r>
      </text>
    </comment>
    <comment ref="G26" authorId="1" shapeId="0" xr:uid="{ED0944A2-5645-4327-8CD9-43B63723514F}">
      <text>
        <r>
          <rPr>
            <b/>
            <sz val="9"/>
            <color indexed="81"/>
            <rFont val="Tahoma"/>
            <family val="2"/>
          </rPr>
          <t>Iterji live check 2026-07-14. Selected size: 30 ml (1.01 fl. oz.). Status: matched-size. Source: https://iterji.com/perfumery-ingredients/aroma-chemicals/galaxolide.html</t>
        </r>
      </text>
    </comment>
    <comment ref="A27" authorId="0" shapeId="0" xr:uid="{00000000-0006-0000-0500-00001B000000}">
      <text>
        <r>
          <rPr>
            <sz val="11"/>
            <color theme="1"/>
            <rFont val="Calibri"/>
            <family val="2"/>
            <scheme val="minor"/>
          </rPr>
          <t>shared with ASMR</t>
        </r>
      </text>
    </comment>
    <comment ref="G27" authorId="1" shapeId="0" xr:uid="{354261EC-8AE1-4BD5-B9F4-E223A355DD4C}">
      <text>
        <r>
          <rPr>
            <b/>
            <sz val="9"/>
            <color indexed="81"/>
            <rFont val="Tahoma"/>
            <family val="2"/>
          </rPr>
          <t>Iterji live check 2026-07-14. Selected size: 10 ml (0.34 fl. oz.). Status: matched-size. Source: https://iterji.com/perfumery-ingredients/aroma-chemicals/exaltolide-total-firmenich.html</t>
        </r>
      </text>
    </comment>
    <comment ref="A28" authorId="0" shapeId="0" xr:uid="{00000000-0006-0000-0500-00001C000000}">
      <text>
        <r>
          <rPr>
            <sz val="11"/>
            <color theme="1"/>
            <rFont val="Calibri"/>
            <family val="2"/>
            <scheme val="minor"/>
          </rPr>
          <t>NEW purchase (optional material)</t>
        </r>
      </text>
    </comment>
    <comment ref="G28" authorId="1" shapeId="0" xr:uid="{90377FBF-DAE1-4131-B0E1-6164CF266BD3}">
      <text>
        <r>
          <rPr>
            <b/>
            <sz val="9"/>
            <color indexed="81"/>
            <rFont val="Tahoma"/>
            <family val="2"/>
          </rPr>
          <t>Iterji live check 2026-07-14. Selected size: 10 ml (0.34 fl. oz.). Status: matched-size. Source: https://iterji.com/perfumery-ingredients/aroma-accords/saffron.html</t>
        </r>
      </text>
    </comment>
    <comment ref="A29" authorId="0" shapeId="0" xr:uid="{00000000-0006-0000-0500-00001D000000}">
      <text>
        <r>
          <rPr>
            <sz val="11"/>
            <color theme="1"/>
            <rFont val="Calibri"/>
            <family val="2"/>
            <scheme val="minor"/>
          </rPr>
          <t>carrier for the D10 dilutions · sold as 500 ml</t>
        </r>
      </text>
    </comment>
    <comment ref="G29" authorId="1" shapeId="0" xr:uid="{26224197-A68E-4491-A0F7-C7C38CADF7A4}">
      <text>
        <r>
          <rPr>
            <b/>
            <sz val="9"/>
            <color indexed="81"/>
            <rFont val="Tahoma"/>
            <family val="2"/>
          </rPr>
          <t>Iterji live check 2026-07-14. Selected size: . Status: default-or-no-size-match. Source: https://iterji.com/perfumery-ingredients/other-ingredients/dipropylene-glycol-dpg.html</t>
        </r>
      </text>
    </comment>
    <comment ref="A30" authorId="0" shapeId="0" xr:uid="{00000000-0006-0000-0500-00001E000000}">
      <text>
        <r>
          <rPr>
            <sz val="11"/>
            <color theme="1"/>
            <rFont val="Calibri"/>
            <family val="2"/>
            <scheme val="minor"/>
          </rPr>
          <t>5-litre pack · phthalate-free (denatured with Bitrex)</t>
        </r>
      </text>
    </comment>
    <comment ref="G30" authorId="1" shapeId="0" xr:uid="{311364A9-CD2D-4946-A4A7-1C7A3220A299}">
      <text>
        <r>
          <rPr>
            <b/>
            <sz val="9"/>
            <color indexed="81"/>
            <rFont val="Tahoma"/>
            <family val="2"/>
          </rPr>
          <t>Iterji live check 2026-07-14. Selected size: . Status: default-or-no-size-match. Source: https://iterji.com/perfumery-ingredients/other-ingredients/alcohol-190-proof-sda-40b.html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5"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<sst xmlns="http://schemas.openxmlformats.org/spreadsheetml/2006/main" count="977" uniqueCount="614">
  <si>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</si>
  <si>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</si>
  <si>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</si>
  <si>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</si>
  <si>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</si>
  <si>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</si>
  <si>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</si>
  <si>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</si>
  <si>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</si>
  <si>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</si>
  <si>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</si>
  <si>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</si>
  <si>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</si>
  <si>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</si>
  <si>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</si>
  <si>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</si>
  <si>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</si>
  <si>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</si>
  <si>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</si>
  <si>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</si>
  <si>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</si>
  <si>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</si>
  <si>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</si>
  <si>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</si>
  <si>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</si>
  <si>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</si>
  <si>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</si>
  <si>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</si>
  <si>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Eau de Parfum 20%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</si>
  <si>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</si>
  <si>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</si>
  <si>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</si>
  <si>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EDP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</si>
  <si>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</si>
  <si>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</si>
  <si>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</si>
  <si>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</si>
  <si>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</si>
  <si>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</si>
  <si>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</si>
  <si>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Eau de Parfum at 20%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</si>
  <si>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</si>
  <si>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</si>
  <si>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</si>
  <si>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</si>
  <si>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</si>
  <si>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</si>
  <si>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</si>
  <si>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</si>
  <si>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</si>
  <si>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</si>
  <si>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</si>
  <si>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</si>
  <si>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</si>
  <si>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</si>
  <si>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</si>
  <si>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</si>
  <si>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</si>
  <si>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</si>
  <si>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</si>
  <si>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</si>
  <si>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</si>
  <si>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</si>
  <si>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</si>
  <si>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</si>
  <si>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</si>
  <si>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</si>
  <si>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</si>
  <si>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</si>
  <si>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</si>
  <si>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</si>
  <si>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</si>
  <si>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</si>
  <si>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</si>
  <si>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</si>
  <si>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</si>
  <si>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</si>
  <si>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</si>
  <si>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</si>
  <si>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</si>
  <si>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</si>
  <si>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</si>
  <si>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</si>
  <si>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</si>
  <si>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</si>
  <si>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</si>
  <si>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</si>
  <si>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</si>
  <si>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</si>
  <si>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</si>
  <si>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</si>
  <si>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</si>
  <si>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</si>
  <si>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</si>
  <si>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</si>
  <si>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</si>
  <si>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</si>
  <si>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</si>
  <si>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</si>
  <si>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</si>
  <si>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</si>
  <si>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</si>
  <si>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</si>
  <si>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</si>
  <si>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</si>
  <si>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</si>
  <si>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</si>
  <si>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</si>
  <si>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</si>
  <si>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</si>
  <si>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</si>
  <si>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</si>
  <si>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</si>
  <si>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</si>
  <si>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</si>
  <si>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</si>
  <si>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</si>
  <si>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</si>
  <si>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</si>
  <si>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</si>
  <si>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</si>
  <si>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</si>
  <si>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</si>
  <si>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</si>
  <si>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</si>
  <si>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Eau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</si>
  <si>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</si>
  <si>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</si>
  <si>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</si>
  <si>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</si>
  <si>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</si>
  <si>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</si>
  <si>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</si>
  <si>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</si>
  <si>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</si>
  <si>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</si>
  <si>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</si>
  <si>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</si>
  <si>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</si>
  <si>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</si>
  <si>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</si>
  <si>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</si>
  <si>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</si>
  <si>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</si>
  <si>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</si>
  <si>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</si>
  <si>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</si>
  <si>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</si>
  <si>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</si>
  <si>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</si>
  <si>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</si>
  <si>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</si>
  <si>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</si>
  <si>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</si>
  <si>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</si>
  <si>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</si>
  <si>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</si>
  <si>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</si>
  <si>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</si>
  <si>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</si>
  <si>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</si>
  <si>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</si>
  <si>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</si>
  <si>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</si>
  <si>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</si>
  <si>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</si>
  <si>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</si>
  <si>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</si>
  <si>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</si>
  <si>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</si>
  <si>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</si>
  <si>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</si>
  <si>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</si>
  <si>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</si>
  <si>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</si>
  <si>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</si>
  <si>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</si>
  <si>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</si>
  <si>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</si>
  <si>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</si>
  <si>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</si>
  <si>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</si>
  <si>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</si>
  <si>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</si>
  <si>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</si>
  <si>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</si>
  <si>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</si>
  <si>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</si>
  <si>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</si>
  <si>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</si>
  <si>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</si>
  <si>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</si>
  <si>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</si>
  <si>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</si>
  <si>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</si>
  <si>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</si>
  <si>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</si>
  <si>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</si>
  <si>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</si>
  <si>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EDP @ 20%, density 0.85 (fixed example)</t>
  </si>
  <si>
    <t>Total mass = 50 ml × 0.85 g/ml</t>
  </si>
  <si>
    <t>expect ≈ 42.5 g</t>
  </si>
  <si>
    <t>Concentrate = 42.5 g x 20%</t>
  </si>
  <si>
    <t>expect about 8.5 g</t>
  </si>
  <si>
    <t>Alcohol = total minus concentrate</t>
  </si>
  <si>
    <t>expect about 34.0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</si>
  <si>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</si>
  <si>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</si>
  <si>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</si>
  <si>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</si>
  <si>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</si>
  <si>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</si>
  <si>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</si>
  <si>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</si>
  <si>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</si>
  <si>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</si>
  <si>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</si>
  <si>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</si>
  <si>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</si>
  <si>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</si>
  <si>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</si>
  <si>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</si>
  <si>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</si>
  <si>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</si>
  <si>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</si>
  <si>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</si>
  <si>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</si>
  <si>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</si>
  <si>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</si>
  <si>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</si>
  <si>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</si>
  <si>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</si>
  <si>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</si>
  <si>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</si>
  <si>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</si>
  <si>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</si>
  <si>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</si>
  <si>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</si>
  <si>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</si>
  <si>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</si>
  <si>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</si>
  <si>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</si>
  <si>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</si>
  <si>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</si>
  <si>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</si>
  <si>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</si>
  <si>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</si>
  <si>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</si>
  <si>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</si>
  <si>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</si>
  <si>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</si>
  <si>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</si>
  <si>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</si>
  <si>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</si>
  <si>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</si>
  <si>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</si>
  <si>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</si>
  <si>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</si>
  <si>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</si>
  <si>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</si>
  <si>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</si>
  <si>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</si>
  <si>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</si>
  <si>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</si>
  <si>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</si>
  <si>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</si>
  <si>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</si>
  <si>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</si>
  <si>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</si>
  <si>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</si>
  <si>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</si>
  <si>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</si>
  <si>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</si>
  <si>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</si>
  <si>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</si>
  <si>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</si>
  <si>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</si>
  <si>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</si>
  <si>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</si>
  <si>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</si>
  <si>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</si>
  <si>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</si>
  <si>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</si>
  <si>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</si>
  <si>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</si>
  <si>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</si>
  <si>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</si>
  <si>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</si>
  <si>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</si>
  <si>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</si>
  <si>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</si>
  <si>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</si>
  <si>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</si>
  <si>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</si>
  <si>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</si>
  <si>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</si>
  <si>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</si>
  <si>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</si>
  <si>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</si>
  <si>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</si>
  <si>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</si>
  <si>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</si>
  <si>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</si>
  <si>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</si>
  <si>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</si>
  <si>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</si>
  <si>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</si>
  <si>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</si>
  <si>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</si>
  <si>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</si>
  <si>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</si>
  <si>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</si>
  <si>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</si>
  <si>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Extrait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</si>
  <si>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</si>
  <si>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</si>
  <si>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</si>
  <si>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</si>
  <si>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</si>
  <si>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</si>
  <si>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</si>
  <si>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</si>
  <si>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</si>
  <si>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20% = EDP default. Raise to 28% only for Extrait.</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</si>
  <si>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</si>
  <si>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</si>
  <si>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</si>
  <si>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</si>
  <si>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</si>
  <si>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</si>
  <si>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</si>
  <si>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</si>
  <si>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</si>
  <si>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</si>
  <si>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</si>
  <si>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</si>
  <si>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</si>
  <si>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</si>
  <si>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</si>
  <si>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</si>
  <si>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</si>
  <si>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</si>
  <si>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</si>
  <si>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</si>
  <si>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</si>
  <si>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</si>
  <si>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</si>
  <si>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</si>
  <si>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</si>
  <si>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</si>
  <si>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</si>
  <si>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</si>
  <si>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</si>
  <si>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</si>
  <si>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</si>
  <si>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</si>
  <si>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</si>
  <si>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</si>
  <si>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</si>
  <si>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</si>
  <si>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20% EDP default. Raise to 28% only for Extrait.</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</si>
  <si>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</si>
  <si>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</si>
  <si>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</si>
  <si>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</si>
  <si>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</si>
  <si>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</si>
  <si>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</si>
  <si>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</si>
  <si>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</si>
  <si>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</si>
  <si>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</si>
  <si>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</si>
  <si>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</si>
  <si>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</si>
  <si>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</si>
  <si>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</si>
  <si>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</si>
  <si>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</si>
  <si>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</si>
  <si>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</si>
  <si>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Eau de Parfum pricing default.</t>
  </si>
  <si>
    <t>1 · PRICING ASSUMPTIONS  (champagne cells are yours to set)</t>
  </si>
  <si>
    <t>20% EDP - matches this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</si>
  <si>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</si>
  <si>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</si>
  <si>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</si>
  <si>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</si>
  <si>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</si>
  <si>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</si>
  <si>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</si>
  <si>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</si>
  <si>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</si>
  <si>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</si>
  <si>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</si>
  <si>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</si>
  <si>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</si>
  <si>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</si>
  <si>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</si>
  <si>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</si>
  <si>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</si>
  <si>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</si>
  <si>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</si>
  <si>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</si>
  <si>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</si>
  <si>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</si>
  <si>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</si>
  <si>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</si>
  <si>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EDP often retails 300–750+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</si>
  <si>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</si>
  <si>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</si>
  <si>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</si>
  <si>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</si>
  <si>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</si>
  <si>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</si>
  <si>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</si>
  <si>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</si>
  <si>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</si>
  <si>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</si>
  <si>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</si>
  <si>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</si>
  <si>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</si>
  <si>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</si>
  <si>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</si>
  <si>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</si>
  <si>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</si>
  <si>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</si>
  <si>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</si>
  <si>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</si>
  <si>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</si>
  <si>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</si>
  <si>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</si>
  <si>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</si>
  <si>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</si>
  <si>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</si>
  <si>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</si>
  <si>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</si>
  <si>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</si>
  <si>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</si>
  <si>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</si>
  <si>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</si>
  <si>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</si>
  <si>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</si>
  <si>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</si>
  <si>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</si>
  <si>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</si>
  <si>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</si>
  <si>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</si>
  <si>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</si>
  <si>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</si>
  <si>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</si>
  <si>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</si>
  <si>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</si>
  <si>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</si>
  <si>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</si>
  <si>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</si>
  <si>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</si>
  <si>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</si>
  <si>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</si>
  <si>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</si>
  <si>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</si>
  <si>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</si>
  <si>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</si>
  <si>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</si>
  <si>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</si>
  <si>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</si>
  <si>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</si>
  <si>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</si>
  <si>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</si>
  <si>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</si>
  <si>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</si>
  <si>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</si>
  <si>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</si>
  <si>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</si>
  <si>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</si>
  <si>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</si>
  <si>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</si>
  <si>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</si>
  <si>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</si>
  <si>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</si>
  <si>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</si>
  <si>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</si>
  <si>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</si>
  <si>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</si>
  <si>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</si>
  <si>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</si>
  <si>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</si>
  <si>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</si>
  <si>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</si>
  <si>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</si>
  <si>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</si>
  <si>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</si>
  <si>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</si>
  <si>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</si>
  <si>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EAU DE PARFUM 20%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</si>
  <si>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</si>
  <si>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</si>
  <si>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Eau de Parfum, 250 ml, 20% (= 212.5 g juice: 42.5 g concentrate + 170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</si>
  <si>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</si>
  <si>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</si>
  <si>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</si>
  <si>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20% the EDP still benefits from full maceration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</si>
  <si>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</si>
  <si>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</si>
  <si>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EDP 20% - batch ID - date.</t>
  </si>
  <si>
    <t>STEP 10 - LOG the ONE master batch in the Production Log (concentrate 42.5 g, alcohol 170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</si>
  <si>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</si>
  <si>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</si>
  <si>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</si>
  <si>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</si>
  <si>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</si>
  <si>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</si>
  <si>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</si>
  <si>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</si>
  <si>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</si>
  <si>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</si>
  <si>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</si>
  <si>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</si>
  <si>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</si>
  <si>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</si>
  <si>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</si>
  <si>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</si>
  <si>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</si>
  <si>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</si>
  <si>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</si>
  <si>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</si>
  <si>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</si>
  <si>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</si>
  <si>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</si>
  <si>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</si>
  <si>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</si>
  <si>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(about 0.006% of the finished EDP).</t>
  </si>
  <si>
    <t>RULE</t>
  </si>
  <si>
    <t>Use only ONE amber material — Ambroxan. Do not add a second ambroxan-type material.</t>
  </si>
  <si>
    <t>Coumarin at 4.5% of the concentrate is about 0.90% of a 20% EDP - 60% of the IFRA cat-4 ceiling (1.5%). Never raise coumarin above 5.0% or the concentration above 20% without re-running compliance_check.py against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</si>
  <si>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</si>
  <si>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</si>
  <si>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</si>
  <si>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</si>
  <si>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</si>
  <si>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</si>
  <si>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</si>
  <si>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</si>
  <si>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</si>
  <si>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</si>
  <si>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</si>
  <si>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</si>
  <si>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</si>
  <si>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</si>
  <si>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</si>
  <si>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</si>
  <si>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</si>
  <si>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</si>
  <si>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</si>
  <si>
    <t>Price/pack SAR (Iterji 2026-07-14)</t>
  </si>
  <si>
    <t>SAHAR سَهَر - 28% Concentration Formula</t>
  </si>
  <si>
    <t>Formula name</t>
  </si>
  <si>
    <t>SAHAR سَهَر</t>
  </si>
  <si>
    <t>Style</t>
  </si>
  <si>
    <t>night-spice peach rose, creamy white flowers, vanilla amber skin musk</t>
  </si>
  <si>
    <t>Concentration</t>
  </si>
  <si>
    <t>Bottle size ml</t>
  </si>
  <si>
    <t>Fill density g/ml</t>
  </si>
  <si>
    <t>Finished bottle mass g</t>
  </si>
  <si>
    <t>Concentrate per bottle g</t>
  </si>
  <si>
    <t>Alcohol per bottle g</t>
  </si>
  <si>
    <t>DPG carrier for D10 g</t>
  </si>
  <si>
    <t>Est. material cost SAR</t>
  </si>
  <si>
    <t>Est. cost per ml SAR</t>
  </si>
  <si>
    <t>DPG SAR/g</t>
  </si>
  <si>
    <t>Alcohol SAR/g</t>
  </si>
  <si>
    <t>Inventory-limited bottles</t>
  </si>
  <si>
    <t>Main fragrance bottleneck</t>
  </si>
  <si>
    <t>Prep</t>
  </si>
  <si>
    <t>Concentrate g</t>
  </si>
  <si>
    <t>Weighed g</t>
  </si>
  <si>
    <t>Active raw g</t>
  </si>
  <si>
    <t>DPG carrier g</t>
  </si>
  <si>
    <t>Inventory on hand</t>
  </si>
  <si>
    <t>Raw SAR/g</t>
  </si>
  <si>
    <t>Weighed SAR/g</t>
  </si>
  <si>
    <t>Finished %</t>
  </si>
  <si>
    <t>Bottle limit @ size</t>
  </si>
  <si>
    <t>bright citrus lift, cleaner and sharper than SAMR</t>
  </si>
  <si>
    <t>rosy spice spark at the opening</t>
  </si>
  <si>
    <t>velvet peach skin, more flirtatious fruit</t>
  </si>
  <si>
    <t>red-fruit pulse for desire</t>
  </si>
  <si>
    <t>suede spice, optional luxury heat</t>
  </si>
  <si>
    <t>soft coconut cream around the fruit</t>
  </si>
  <si>
    <t>plum-rose shadow, kept very low for control</t>
  </si>
  <si>
    <t>open jasmine air and diffusion</t>
  </si>
  <si>
    <t>sensual white floral body</t>
  </si>
  <si>
    <t>creamy narcotic flower</t>
  </si>
  <si>
    <t>violet-iris powder and elegance</t>
  </si>
  <si>
    <t>solar floral warmth and lasting body</t>
  </si>
  <si>
    <t>smooth floral freshness</t>
  </si>
  <si>
    <t>addictive warm vanilla</t>
  </si>
  <si>
    <t>deeper vanilla sweetness</t>
  </si>
  <si>
    <t>caramel sugar glow</t>
  </si>
  <si>
    <t>tonka almond warmth</t>
  </si>
  <si>
    <t>powdered almond tenderness</t>
  </si>
  <si>
    <t>ambergris radiance and attraction trail</t>
  </si>
  <si>
    <t>velvet wood aura</t>
  </si>
  <si>
    <t>warm cashmere texture</t>
  </si>
  <si>
    <t>soft intimate musk</t>
  </si>
  <si>
    <t>clean skin musk</t>
  </si>
  <si>
    <t>warm skin-musk finish</t>
  </si>
  <si>
    <t>TOTAL</t>
  </si>
  <si>
    <t>Preparation notes</t>
  </si>
  <si>
    <t>1. Pre-dilute Pink Peppercorn, Damascone Beta, Aldehyde C-18 Coconut, and Maltol to D10 in DPG before weighing this formula.</t>
  </si>
  <si>
    <t>2. Weigh base musks/woods/vanilla first, then heart florals, then top notes. Mix slowly until uniform before adding alcohol.</t>
  </si>
  <si>
    <t>3. At 28% concentration, the finished perfume is strong. Macerate 4-6 weeks, then chill/filter if haze appears.</t>
  </si>
  <si>
    <t>4. Damascone Beta is intentionally kept at 0.2% of concentrate. Do not raise it until IFRA limits are checked for your final product category.</t>
  </si>
  <si>
    <t>5. Coumarin is 4.0% of concentrate, equal to about 1.12% of finished perfume at 28%. Verify IFRA/allergen labeling before commercial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</si>
</sst>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00;&quot;–&quot;"/>
    <numFmt numFmtId="167" formatCode="#,##0.000"/>
    <numFmt numFmtId="168" formatCode="yyyy\-mm\-dd"/>
    <numFmt numFmtId="169" formatCode="0.000"/>
    <numFmt numFmtId="170" formatCode="0.0&quot;×&quot;"/>
    <numFmt numFmtId="171" formatCode="0.0000"/>
  </numFmts>
  <fonts count="23"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
      <b/>
      <sz val="11"/>
      <color theme="1"/>
      <name val="Calibri"/>
      <family val="2"/>
      <scheme val="minor"/>
    </font>
    <font>
      <b/>
      <sz val="18"/>
      <color rgb="FFFFFFFF"/>
      <name val="Calibri"/>
      <family val="2"/>
      <scheme val="minor"/>
    </font>
    <font>
      <b/>
      <sz val="9"/>
      <color indexed="81"/>
      <name val="Tahoma"/>
      <family val="2"/>
    </font>
    <font>
      <b/>
      <sz val="11"/>
      <color rgb="FFFFFFFF"/>
      <name val="Calibri"/>
      <family val="2"/>
      <scheme val="minor"/>
    </font>
  </fonts>
  <fills count="18">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
      <patternFill patternType="solid">
        <fgColor rgb="FFFFFF00"/>
        <bgColor indexed="64"/>
      </patternFill>
    </fill>
    <fill>
      <patternFill patternType="solid">
        <fgColor rgb="FF222D3B"/>
        <bgColor indexed="64"/>
      </patternFill>
    </fill>
    <fill>
      <patternFill patternType="solid">
        <fgColor rgb="FFD8E8F2"/>
        <bgColor indexed="64"/>
      </patternFill>
    </fill>
    <fill>
      <patternFill patternType="solid">
        <fgColor rgb="FF448AB8"/>
        <bgColor indexed="64"/>
      </patternFill>
    </fill>
    <fill>
      <patternFill patternType="solid">
        <fgColor rgb="FFD3EAD9"/>
        <bgColor indexed="64"/>
      </patternFill>
    </fill>
  </fills>
  <borders count="10">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0">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5" fillId="0" borderId="0" xfId="0" applyFont="1" applyAlignment="1" applyProtection="1">
      <alignment vertical="center"/>
      <protection locked="0"/>
    </xf>
    <xf numFmtId="0" fontId="0" fillId="0" borderId="0" xfId="0" applyProtection="1">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3" fillId="4" borderId="3" xfId="0" applyFont="1" applyFill="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5" fillId="4" borderId="3" xfId="0" applyFont="1" applyFill="1" applyBorder="1" applyAlignment="1" applyProtection="1">
      <alignment vertical="center"/>
      <protection locked="0"/>
    </xf>
    <xf numFmtId="0" fontId="0" fillId="0" borderId="3" xfId="0" applyBorder="1" applyProtection="1">
      <protection locked="0"/>
    </xf>
    <xf numFmtId="0" fontId="5" fillId="5" borderId="3" xfId="0" applyFont="1" applyFill="1" applyBorder="1" applyAlignment="1" applyProtection="1">
      <alignment vertical="center"/>
      <protection locked="0"/>
    </xf>
    <xf numFmtId="0" fontId="7" fillId="0" borderId="3" xfId="0" applyFont="1" applyBorder="1" applyAlignment="1" applyProtection="1">
      <alignment vertical="center"/>
      <protection locked="0"/>
    </xf>
    <xf numFmtId="0" fontId="5" fillId="0" borderId="3" xfId="0" applyFont="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3" fillId="0" borderId="0" xfId="0" applyFont="1" applyAlignment="1" applyProtection="1">
      <alignment horizontal="right"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5" fillId="13" borderId="3" xfId="0" applyFont="1" applyFill="1" applyBorder="1" applyAlignment="1" applyProtection="1">
      <alignment vertical="center"/>
      <protection locked="0"/>
    </xf>
    <xf numFmtId="0" fontId="0" fillId="0" borderId="0" xfId="0"/>
    <xf numFmtId="0" fontId="20" fillId="14" borderId="0" xfId="0" applyFont="1" applyFill="1"/>
    <xf numFmtId="0" fontId="19" fillId="0" borderId="0" xfId="0" applyFont="1"/>
    <xf numFmtId="0" fontId="19" fillId="15" borderId="0" xfId="0" applyFont="1" applyFill="1"/>
    <xf numFmtId="0" fontId="0" fillId="15" borderId="0" xfId="0" applyFill="1"/>
    <xf numFmtId="9" fontId="0" fillId="15" borderId="0" xfId="0" applyNumberFormat="1" applyFill="1"/>
    <xf numFmtId="2" fontId="0" fillId="15" borderId="0" xfId="0" applyNumberFormat="1" applyFill="1"/>
    <xf numFmtId="171" fontId="0" fillId="15" borderId="0" xfId="0" applyNumberFormat="1" applyFill="1"/>
    <xf numFmtId="165" fontId="0" fillId="15" borderId="0" xfId="0" applyNumberFormat="1" applyFill="1"/>
    <xf numFmtId="0" fontId="19" fillId="17" borderId="0" xfId="0" applyFont="1" applyFill="1"/>
    <xf numFmtId="0" fontId="22" fillId="16" borderId="9" xfId="0" applyFont="1" applyFill="1" applyBorder="1"/>
    <xf numFmtId="0" fontId="0" fillId="0" borderId="9" xfId="0" applyBorder="1"/>
    <xf numFmtId="169" fontId="0" fillId="0" borderId="9" xfId="0" applyNumberFormat="1" applyBorder="1"/>
    <xf numFmtId="0" fontId="0" fillId="0" borderId="9" xfId="0" applyBorder="1" applyAlignment="1">
      <alignment wrapText="1"/>
    </xf>
    <xf numFmtId="10" fontId="0" fillId="0" borderId="9" xfId="0" applyNumberFormat="1" applyBorder="1" applyAlignment="1">
      <alignment wrapText="1"/>
    </xf>
    <xf numFmtId="169" fontId="0" fillId="0" borderId="9" xfId="0" applyNumberFormat="1" applyBorder="1" applyAlignment="1">
      <alignment wrapText="1"/>
    </xf>
    <xf numFmtId="165" fontId="0" fillId="0" borderId="9" xfId="0" applyNumberFormat="1" applyBorder="1" applyAlignment="1">
      <alignment wrapText="1"/>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4.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4.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5" t="s">
        <v>0</v>
      </c>
      <c r="C2" s="89"/>
      <c r="D2" s="89"/>
      <c r="E2" s="89"/>
      <c r="F2" s="89"/>
      <c r="G2" s="89"/>
    </row>
    <row r="3" spans="1:7" x14ac:dyDescent="0.35">
      <c r="A3" s="1"/>
      <c r="B3" s="91"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2043.83</v>
      </c>
      <c r="C7" s="4">
        <f>StockValueSAR</f>
        <v>1692.83</v>
      </c>
      <c r="D7" s="4">
        <f>ConcCostPerGLoaded</f>
        <v>3.0355200519206105</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7" t="s">
        <v>8</v>
      </c>
      <c r="C9" s="98"/>
      <c r="D9" s="98"/>
      <c r="E9" s="97" t="s">
        <v>9</v>
      </c>
      <c r="F9" s="98"/>
      <c r="G9" s="98"/>
    </row>
    <row r="10" spans="1:7" x14ac:dyDescent="0.35">
      <c r="A10" s="1"/>
      <c r="B10" s="6" t="s">
        <v>10</v>
      </c>
      <c r="C10" s="99" t="str">
        <f>BatchFormat</f>
        <v>Eau de Parfum</v>
      </c>
      <c r="D10" s="89"/>
      <c r="E10" s="88" t="s">
        <v>11</v>
      </c>
      <c r="F10" s="89"/>
      <c r="G10" s="7" t="str">
        <f>IF(COUNTIFS(LogStatus,"Macerating",LogStart,"&lt;&gt;")=0,"—",TEXT(MIN(LogMacStart)+28,"yyyy-mm-dd"))</f>
        <v>—</v>
      </c>
    </row>
    <row r="11" spans="1:7" x14ac:dyDescent="0.35">
      <c r="A11" s="1"/>
      <c r="B11" s="6" t="s">
        <v>12</v>
      </c>
      <c r="C11" s="99" t="str">
        <f>BatchSize&amp;" "&amp;BatchUnit</f>
        <v>50 ml</v>
      </c>
      <c r="D11" s="89"/>
      <c r="E11" s="88" t="s">
        <v>13</v>
      </c>
      <c r="F11" s="89"/>
      <c r="G11" s="7" t="str">
        <f>IF(COUNTIFS(LogStatus,"Macerating",LogStart,"&lt;&gt;")=0,"—",TEXT(MIN(LogMacStart)+MacDays,"yyyy-mm-dd"))</f>
        <v>—</v>
      </c>
    </row>
    <row r="12" spans="1:7" x14ac:dyDescent="0.35">
      <c r="A12" s="1"/>
      <c r="B12" s="6" t="s">
        <v>14</v>
      </c>
      <c r="C12" s="96">
        <f>ConcG</f>
        <v>8.5</v>
      </c>
      <c r="D12" s="89"/>
      <c r="E12" s="88" t="s">
        <v>15</v>
      </c>
      <c r="F12" s="89"/>
      <c r="G12" s="9">
        <f ca="1">SUMPRODUCT((LogStatus="Macerating")*(LogStart&lt;&gt;"")*((TODAY()-LogStart)&gt;=28))</f>
        <v>0</v>
      </c>
    </row>
    <row r="13" spans="1:7" x14ac:dyDescent="0.35">
      <c r="A13" s="1"/>
      <c r="B13" s="6" t="s">
        <v>16</v>
      </c>
      <c r="C13" s="93">
        <f>AlcoholG</f>
        <v>34</v>
      </c>
      <c r="D13" s="89"/>
      <c r="E13" s="88" t="s">
        <v>17</v>
      </c>
      <c r="F13" s="89"/>
      <c r="G13" s="8">
        <f>TotalConcUsedG</f>
        <v>0</v>
      </c>
    </row>
    <row r="14" spans="1:7" x14ac:dyDescent="0.35">
      <c r="A14" s="1"/>
      <c r="B14" s="6" t="s">
        <v>18</v>
      </c>
      <c r="C14" s="96">
        <f>BatchCostSAR</f>
        <v>27.32228093343122</v>
      </c>
      <c r="D14" s="89"/>
      <c r="E14" s="88" t="s">
        <v>19</v>
      </c>
      <c r="F14" s="89"/>
      <c r="G14" s="8">
        <f>AlcoholUsedG</f>
        <v>0</v>
      </c>
    </row>
    <row r="15" spans="1:7" x14ac:dyDescent="0.35">
      <c r="A15" s="1"/>
      <c r="B15" s="6" t="s">
        <v>20</v>
      </c>
      <c r="C15" s="96">
        <f>CostPerMl</f>
        <v>0.5464456186686244</v>
      </c>
      <c r="D15" s="89"/>
      <c r="E15" s="88" t="s">
        <v>21</v>
      </c>
      <c r="F15" s="89"/>
      <c r="G15" s="9">
        <f>MacDays</f>
        <v>42</v>
      </c>
    </row>
    <row r="16" spans="1:7" x14ac:dyDescent="0.35">
      <c r="A16" s="1"/>
      <c r="B16" s="1"/>
      <c r="C16" s="1"/>
      <c r="D16" s="1"/>
      <c r="E16" s="1"/>
      <c r="F16" s="1"/>
      <c r="G16" s="1"/>
    </row>
    <row r="17" spans="1:7" ht="18" customHeight="1" x14ac:dyDescent="0.35">
      <c r="A17" s="1"/>
      <c r="B17" s="97" t="s">
        <v>22</v>
      </c>
      <c r="C17" s="98"/>
      <c r="D17" s="98"/>
      <c r="E17" s="98"/>
      <c r="F17" s="98"/>
      <c r="G17" s="98"/>
    </row>
    <row r="18" spans="1:7" ht="30" customHeight="1" x14ac:dyDescent="0.35">
      <c r="A18" s="1"/>
      <c r="B18" s="94"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7" t="s">
        <v>23</v>
      </c>
      <c r="C20" s="98"/>
      <c r="D20" s="98"/>
      <c r="E20" s="98"/>
      <c r="F20" s="98"/>
      <c r="G20" s="98"/>
    </row>
    <row r="21" spans="1:7" x14ac:dyDescent="0.35">
      <c r="A21" s="1"/>
      <c r="B21" s="92" t="s">
        <v>24</v>
      </c>
      <c r="C21" s="89"/>
      <c r="D21" s="89"/>
      <c r="E21" s="89"/>
      <c r="F21" s="89"/>
      <c r="G21" s="89"/>
    </row>
    <row r="22" spans="1:7" x14ac:dyDescent="0.35">
      <c r="A22" s="1"/>
      <c r="B22" s="92" t="s">
        <v>25</v>
      </c>
      <c r="C22" s="89"/>
      <c r="D22" s="89"/>
      <c r="E22" s="89"/>
      <c r="F22" s="89"/>
      <c r="G22" s="89"/>
    </row>
    <row r="23" spans="1:7" x14ac:dyDescent="0.35">
      <c r="A23" s="1"/>
      <c r="B23" s="92" t="s">
        <v>26</v>
      </c>
      <c r="C23" s="89"/>
      <c r="D23" s="89"/>
      <c r="E23" s="89"/>
      <c r="F23" s="89"/>
      <c r="G23" s="89"/>
    </row>
    <row r="24" spans="1:7" x14ac:dyDescent="0.35">
      <c r="A24" s="1"/>
      <c r="B24" s="1"/>
      <c r="C24" s="1"/>
      <c r="D24" s="1"/>
      <c r="E24" s="1"/>
      <c r="F24" s="1"/>
      <c r="G24" s="1"/>
    </row>
    <row r="25" spans="1:7" x14ac:dyDescent="0.35">
      <c r="A25" s="1"/>
      <c r="B25" s="90" t="s">
        <v>27</v>
      </c>
      <c r="C25" s="89"/>
      <c r="D25" s="89"/>
      <c r="E25" s="89"/>
      <c r="F25" s="89"/>
      <c r="G25" s="89"/>
    </row>
  </sheetData>
  <mergeCells count="23">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 ref="E11:F11"/>
    <mergeCell ref="B25:G25"/>
    <mergeCell ref="B3:G3"/>
    <mergeCell ref="B22:G22"/>
    <mergeCell ref="C13:D13"/>
    <mergeCell ref="B18:G18"/>
    <mergeCell ref="B21:G2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topLeftCell="A8" workbookViewId="0">
      <selection activeCell="B16" sqref="B16:G16"/>
    </sheetView>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1"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7" t="s">
        <v>29</v>
      </c>
      <c r="C6" s="98"/>
      <c r="D6" s="98"/>
      <c r="E6" s="98"/>
      <c r="F6" s="98"/>
      <c r="G6" s="98"/>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7" t="s">
        <v>31</v>
      </c>
      <c r="C9" s="98"/>
      <c r="D9" s="98"/>
      <c r="E9" s="98"/>
      <c r="F9" s="98"/>
      <c r="G9" s="98"/>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7" t="s">
        <v>33</v>
      </c>
      <c r="C12" s="98"/>
      <c r="D12" s="98"/>
      <c r="E12" s="98"/>
      <c r="F12" s="98"/>
      <c r="G12" s="98"/>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7" t="s">
        <v>35</v>
      </c>
      <c r="C15" s="98"/>
      <c r="D15" s="98"/>
      <c r="E15" s="98"/>
      <c r="F15" s="98"/>
      <c r="G15" s="98"/>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7" t="s">
        <v>37</v>
      </c>
      <c r="C18" s="98"/>
      <c r="D18" s="98"/>
      <c r="E18" s="98"/>
      <c r="F18" s="98"/>
      <c r="G18" s="98"/>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7" t="s">
        <v>39</v>
      </c>
      <c r="C21" s="98"/>
      <c r="D21" s="98"/>
      <c r="E21" s="98"/>
      <c r="F21" s="98"/>
      <c r="G21" s="98"/>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7" t="s">
        <v>41</v>
      </c>
      <c r="C24" s="98"/>
      <c r="D24" s="98"/>
      <c r="E24" s="98"/>
      <c r="F24" s="98"/>
      <c r="G24" s="98"/>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29:G29"/>
    <mergeCell ref="B19:G19"/>
    <mergeCell ref="B10:G10"/>
    <mergeCell ref="B9:G9"/>
    <mergeCell ref="B15:G15"/>
    <mergeCell ref="B24:G24"/>
    <mergeCell ref="B26:G26"/>
    <mergeCell ref="B25:G25"/>
    <mergeCell ref="B16:G16"/>
    <mergeCell ref="B22:G22"/>
    <mergeCell ref="B27:G27"/>
    <mergeCell ref="B12:G12"/>
    <mergeCell ref="B18:G18"/>
    <mergeCell ref="B21:G21"/>
    <mergeCell ref="B2:G2"/>
    <mergeCell ref="B13:G13"/>
    <mergeCell ref="B6:G6"/>
    <mergeCell ref="B7:G7"/>
    <mergeCell ref="B3: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20" activePane="bottomLeft" state="frozen"/>
      <selection pane="bottomLeft" activeCell="D14" sqref="D14:E30"/>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0.44266666666666671</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1.8618518518518519</v>
      </c>
      <c r="I14" s="1"/>
    </row>
    <row r="15" spans="1:9" x14ac:dyDescent="0.35">
      <c r="A15" s="25" t="s">
        <v>69</v>
      </c>
      <c r="B15" s="26" t="s">
        <v>78</v>
      </c>
      <c r="C15" s="20">
        <v>7.0000000000000007E-2</v>
      </c>
      <c r="D15" s="27"/>
      <c r="E15" s="27"/>
      <c r="F15" s="28">
        <f t="shared" si="0"/>
        <v>7.0000000000000007E-2</v>
      </c>
      <c r="G15" s="29" t="s">
        <v>79</v>
      </c>
      <c r="H15" s="24">
        <f t="shared" si="1"/>
        <v>1.1903703703703703</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7.0000000000000007E-2</v>
      </c>
      <c r="D18" s="32"/>
      <c r="E18" s="32"/>
      <c r="F18" s="33">
        <f t="shared" si="0"/>
        <v>7.0000000000000007E-2</v>
      </c>
      <c r="G18" s="34" t="s">
        <v>87</v>
      </c>
      <c r="H18" s="24">
        <f t="shared" si="1"/>
        <v>1.4059999999999999</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4.4999999999999998E-2</v>
      </c>
      <c r="D21" s="21"/>
      <c r="E21" s="21"/>
      <c r="F21" s="22">
        <f t="shared" si="0"/>
        <v>4.4999999999999998E-2</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1.4507407407407409</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0.76422222222222225</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2" t="s">
        <v>117</v>
      </c>
      <c r="D36" s="89"/>
      <c r="E36" s="1"/>
      <c r="F36" s="1"/>
      <c r="G36" s="1"/>
      <c r="H36" s="1"/>
      <c r="I36" s="1"/>
    </row>
    <row r="37" spans="1:9" x14ac:dyDescent="0.35">
      <c r="A37" s="1"/>
      <c r="B37" s="30" t="s">
        <v>118</v>
      </c>
      <c r="C37" s="92"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55B1-D942-4104-8664-91579C06A72A}">
  <dimension ref="A1:P55"/>
  <sheetViews>
    <sheetView workbookViewId="0">
      <pane ySplit="21" topLeftCell="A22" activePane="bottomLeft" state="frozenSplit"/>
      <selection pane="bottomLeft" sqref="A1:P1"/>
    </sheetView>
  </sheetViews>
  <sheetFormatPr defaultRowHeight="14.5" x14ac:dyDescent="0.35"/>
  <cols>
    <col min="1" max="1" width="12.6328125" customWidth="1"/>
    <col min="2" max="2" width="28.6328125" customWidth="1"/>
    <col min="3" max="3" width="10.6328125" customWidth="1"/>
    <col min="4" max="4" width="8.6328125" customWidth="1"/>
    <col min="5" max="5" width="9.6328125" customWidth="1"/>
    <col min="6" max="6" width="42.6328125" customWidth="1"/>
    <col min="7" max="16" width="14.6328125" customWidth="1"/>
  </cols>
  <sheetData>
    <row r="1" spans="1:16" ht="23.5" x14ac:dyDescent="0.55000000000000004">
      <c r="A1" s="134" t="s">
        <v>555</v>
      </c>
      <c r="B1" s="133"/>
      <c r="C1" s="133"/>
      <c r="D1" s="133"/>
      <c r="E1" s="133"/>
      <c r="F1" s="133"/>
      <c r="G1" s="133"/>
      <c r="H1" s="133"/>
      <c r="I1" s="133"/>
      <c r="J1" s="133"/>
      <c r="K1" s="133"/>
      <c r="L1" s="133"/>
      <c r="M1" s="133"/>
      <c r="N1" s="133"/>
      <c r="O1" s="133"/>
      <c r="P1" s="133"/>
    </row>
    <row r="3" spans="1:16" x14ac:dyDescent="0.35">
      <c r="A3" s="136" t="s">
        <v>556</v>
      </c>
      <c r="B3" s="137" t="s">
        <v>557</v>
      </c>
    </row>
    <row r="4" spans="1:16" x14ac:dyDescent="0.35">
      <c r="A4" s="136" t="s">
        <v>558</v>
      </c>
      <c r="B4" s="137" t="s">
        <v>559</v>
      </c>
    </row>
    <row r="5" spans="1:16" x14ac:dyDescent="0.35">
      <c r="A5" s="136" t="s">
        <v>560</v>
      </c>
      <c r="B5" s="138">
        <v>0.28000000000000003</v>
      </c>
    </row>
    <row r="6" spans="1:16" x14ac:dyDescent="0.35">
      <c r="A6" s="136" t="s">
        <v>561</v>
      </c>
      <c r="B6" s="137">
        <v>50</v>
      </c>
    </row>
    <row r="7" spans="1:16" x14ac:dyDescent="0.35">
      <c r="A7" s="136" t="s">
        <v>562</v>
      </c>
      <c r="B7" s="137">
        <v>0.85</v>
      </c>
    </row>
    <row r="8" spans="1:16" x14ac:dyDescent="0.35">
      <c r="A8" s="136" t="s">
        <v>563</v>
      </c>
      <c r="B8" s="139">
        <f>B6*B7</f>
        <v>42.5</v>
      </c>
    </row>
    <row r="9" spans="1:16" x14ac:dyDescent="0.35">
      <c r="A9" s="136" t="s">
        <v>564</v>
      </c>
      <c r="B9" s="139">
        <f>B8*B5</f>
        <v>11.9</v>
      </c>
    </row>
    <row r="10" spans="1:16" x14ac:dyDescent="0.35">
      <c r="A10" s="136" t="s">
        <v>565</v>
      </c>
      <c r="B10" s="139">
        <f>B8-B9</f>
        <v>30.6</v>
      </c>
    </row>
    <row r="11" spans="1:16" x14ac:dyDescent="0.35">
      <c r="A11" s="136" t="s">
        <v>566</v>
      </c>
      <c r="B11" s="139">
        <f>SUM(J22:J46)</f>
        <v>0.4819500000000001</v>
      </c>
    </row>
    <row r="12" spans="1:16" x14ac:dyDescent="0.35">
      <c r="A12" s="136" t="s">
        <v>567</v>
      </c>
      <c r="B12" s="139">
        <f>SUM(N22:N46)+B11*B14+B10*B15</f>
        <v>36.688120614814807</v>
      </c>
    </row>
    <row r="13" spans="1:16" x14ac:dyDescent="0.35">
      <c r="A13" s="136" t="s">
        <v>568</v>
      </c>
      <c r="B13" s="140">
        <f>B12/B6</f>
        <v>0.73376241229629613</v>
      </c>
    </row>
    <row r="14" spans="1:16" x14ac:dyDescent="0.35">
      <c r="A14" s="136" t="s">
        <v>569</v>
      </c>
      <c r="B14" s="140">
        <f>IFERROR(INDEX(Inventory!$I$4:$I$30,MATCH("DPG (Dipropylene Glycol)",Inventory!$A$4:$A$30,0)),0)</f>
        <v>9.8039215686274508E-2</v>
      </c>
    </row>
    <row r="15" spans="1:16" x14ac:dyDescent="0.35">
      <c r="A15" s="136" t="s">
        <v>570</v>
      </c>
      <c r="B15" s="140">
        <f>IFERROR(INDEX(Inventory!$I$4:$I$30,MATCH("Alcohol 190 proof SDA 40B",Inventory!$A$4:$A$30,0)),0)</f>
        <v>3.7037037037037035E-2</v>
      </c>
    </row>
    <row r="16" spans="1:16" x14ac:dyDescent="0.35">
      <c r="A16" s="136" t="s">
        <v>571</v>
      </c>
      <c r="B16" s="141">
        <f>MIN(P22:P46,IF(B11&gt;0,IFERROR(INDEX(Inventory!$K$4:$K$30,MATCH("DPG (Dipropylene Glycol)",Inventory!$A$4:$A$30,0))/B11,1E+99),1E+99),IFERROR(INDEX(Inventory!$K$4:$K$30,MATCH("Alcohol 190 proof SDA 40B",Inventory!$A$4:$A$30,0))/B10,1E+99))</f>
        <v>12.605042016806724</v>
      </c>
    </row>
    <row r="17" spans="1:16" x14ac:dyDescent="0.35">
      <c r="A17" s="136" t="s">
        <v>572</v>
      </c>
      <c r="B17" s="137" t="str">
        <f>INDEX(B22:B46,MATCH(MIN(P22:P46),P22:P46,0))</f>
        <v>Heliotrope Accord</v>
      </c>
    </row>
    <row r="21" spans="1:16" x14ac:dyDescent="0.35">
      <c r="A21" s="143" t="s">
        <v>52</v>
      </c>
      <c r="B21" s="143" t="s">
        <v>53</v>
      </c>
      <c r="C21" s="143" t="s">
        <v>54</v>
      </c>
      <c r="D21" s="143" t="s">
        <v>573</v>
      </c>
      <c r="E21" s="143" t="s">
        <v>56</v>
      </c>
      <c r="F21" s="143" t="s">
        <v>58</v>
      </c>
      <c r="G21" s="143" t="s">
        <v>574</v>
      </c>
      <c r="H21" s="143" t="s">
        <v>575</v>
      </c>
      <c r="I21" s="143" t="s">
        <v>576</v>
      </c>
      <c r="J21" s="143" t="s">
        <v>577</v>
      </c>
      <c r="K21" s="143" t="s">
        <v>578</v>
      </c>
      <c r="L21" s="143" t="s">
        <v>579</v>
      </c>
      <c r="M21" s="143" t="s">
        <v>580</v>
      </c>
      <c r="N21" s="143" t="s">
        <v>311</v>
      </c>
      <c r="O21" s="143" t="s">
        <v>581</v>
      </c>
      <c r="P21" s="143" t="s">
        <v>582</v>
      </c>
    </row>
    <row r="22" spans="1:16" x14ac:dyDescent="0.35">
      <c r="A22" s="146" t="s">
        <v>60</v>
      </c>
      <c r="B22" s="146" t="s">
        <v>61</v>
      </c>
      <c r="C22" s="147">
        <v>3.2000000000000001E-2</v>
      </c>
      <c r="D22" s="146"/>
      <c r="E22" s="146"/>
      <c r="F22" s="146" t="s">
        <v>583</v>
      </c>
      <c r="G22" s="148">
        <f>$B$9*C22</f>
        <v>0.38080000000000003</v>
      </c>
      <c r="H22" s="148">
        <f>G22</f>
        <v>0.38080000000000003</v>
      </c>
      <c r="I22" s="148">
        <f>IF(D22="D10",H22*0.1,H22)</f>
        <v>0.38080000000000003</v>
      </c>
      <c r="J22" s="148">
        <f>IF(D22="D10",H22*0.9,0)</f>
        <v>0</v>
      </c>
      <c r="K22" s="148">
        <f>IFERROR(INDEX(Inventory!$K$4:$K$30,MATCH(B22,Inventory!$A$4:$A$30,0)),"")</f>
        <v>27</v>
      </c>
      <c r="L22" s="148">
        <f>IFERROR(INDEX(Inventory!$I$4:$I$30,MATCH(B22,Inventory!$A$4:$A$30,0)),0)</f>
        <v>2</v>
      </c>
      <c r="M22" s="148">
        <f>IF(D22="D10",0.1*L22+0.9*$B$14,L22)</f>
        <v>2</v>
      </c>
      <c r="N22" s="148">
        <f>H22*M22</f>
        <v>0.76160000000000005</v>
      </c>
      <c r="O22" s="147">
        <f>C22*$B$5</f>
        <v>8.9600000000000009E-3</v>
      </c>
      <c r="P22" s="149">
        <f>IFERROR(K22/I22,"")</f>
        <v>70.903361344537814</v>
      </c>
    </row>
    <row r="23" spans="1:16" x14ac:dyDescent="0.35">
      <c r="A23" s="146" t="s">
        <v>60</v>
      </c>
      <c r="B23" s="146" t="s">
        <v>63</v>
      </c>
      <c r="C23" s="147">
        <v>0.01</v>
      </c>
      <c r="D23" s="146" t="s">
        <v>55</v>
      </c>
      <c r="E23" s="146"/>
      <c r="F23" s="146" t="s">
        <v>584</v>
      </c>
      <c r="G23" s="148">
        <f>$B$9*C23</f>
        <v>0.11900000000000001</v>
      </c>
      <c r="H23" s="148">
        <f>G23</f>
        <v>0.11900000000000001</v>
      </c>
      <c r="I23" s="148">
        <f>IF(D23="D10",H23*0.1,H23)</f>
        <v>1.1900000000000001E-2</v>
      </c>
      <c r="J23" s="148">
        <f>IF(D23="D10",H23*0.9,0)</f>
        <v>0.10710000000000001</v>
      </c>
      <c r="K23" s="148">
        <f>IFERROR(INDEX(Inventory!$K$4:$K$30,MATCH(B23,Inventory!$A$4:$A$30,0)),"")</f>
        <v>9</v>
      </c>
      <c r="L23" s="148">
        <f>IFERROR(INDEX(Inventory!$I$4:$I$30,MATCH(B23,Inventory!$A$4:$A$30,0)),0)</f>
        <v>15.694444444444445</v>
      </c>
      <c r="M23" s="148">
        <f>IF(D23="D10",0.1*L23+0.9*$B$14,L23)</f>
        <v>1.6576797385620916</v>
      </c>
      <c r="N23" s="148">
        <f>H23*M23</f>
        <v>0.19726388888888891</v>
      </c>
      <c r="O23" s="147">
        <f>C23*$B$5</f>
        <v>2.8000000000000004E-3</v>
      </c>
      <c r="P23" s="149">
        <f>IFERROR(K23/I23,"")</f>
        <v>756.30252100840335</v>
      </c>
    </row>
    <row r="24" spans="1:16" x14ac:dyDescent="0.35">
      <c r="A24" s="146" t="s">
        <v>60</v>
      </c>
      <c r="B24" s="146" t="s">
        <v>65</v>
      </c>
      <c r="C24" s="147">
        <v>2.8000000000000001E-2</v>
      </c>
      <c r="D24" s="146"/>
      <c r="E24" s="146"/>
      <c r="F24" s="146" t="s">
        <v>585</v>
      </c>
      <c r="G24" s="148">
        <f>$B$9*C24</f>
        <v>0.3332</v>
      </c>
      <c r="H24" s="148">
        <f>G24</f>
        <v>0.3332</v>
      </c>
      <c r="I24" s="148">
        <f>IF(D24="D10",H24*0.1,H24)</f>
        <v>0.3332</v>
      </c>
      <c r="J24" s="148">
        <f>IF(D24="D10",H24*0.9,0)</f>
        <v>0</v>
      </c>
      <c r="K24" s="148">
        <f>IFERROR(INDEX(Inventory!$K$4:$K$30,MATCH(B24,Inventory!$A$4:$A$30,0)),"")</f>
        <v>18</v>
      </c>
      <c r="L24" s="148">
        <f>IFERROR(INDEX(Inventory!$I$4:$I$30,MATCH(B24,Inventory!$A$4:$A$30,0)),0)</f>
        <v>1.8599999999999999</v>
      </c>
      <c r="M24" s="148">
        <f>IF(D24="D10",0.1*L24+0.9*$B$14,L24)</f>
        <v>1.8599999999999999</v>
      </c>
      <c r="N24" s="148">
        <f>H24*M24</f>
        <v>0.61975199999999997</v>
      </c>
      <c r="O24" s="147">
        <f>C24*$B$5</f>
        <v>7.8400000000000015E-3</v>
      </c>
      <c r="P24" s="149">
        <f>IFERROR(K24/I24,"")</f>
        <v>54.021608643457384</v>
      </c>
    </row>
    <row r="25" spans="1:16" x14ac:dyDescent="0.35">
      <c r="A25" s="146" t="s">
        <v>60</v>
      </c>
      <c r="B25" s="146" t="s">
        <v>67</v>
      </c>
      <c r="C25" s="147">
        <v>0.02</v>
      </c>
      <c r="D25" s="146"/>
      <c r="E25" s="146"/>
      <c r="F25" s="146" t="s">
        <v>586</v>
      </c>
      <c r="G25" s="148">
        <f>$B$9*C25</f>
        <v>0.23800000000000002</v>
      </c>
      <c r="H25" s="148">
        <f>G25</f>
        <v>0.23800000000000002</v>
      </c>
      <c r="I25" s="148">
        <f>IF(D25="D10",H25*0.1,H25)</f>
        <v>0.23800000000000002</v>
      </c>
      <c r="J25" s="148">
        <f>IF(D25="D10",H25*0.9,0)</f>
        <v>0</v>
      </c>
      <c r="K25" s="148">
        <f>IFERROR(INDEX(Inventory!$K$4:$K$30,MATCH(B25,Inventory!$A$4:$A$30,0)),"")</f>
        <v>9</v>
      </c>
      <c r="L25" s="148">
        <f>IFERROR(INDEX(Inventory!$I$4:$I$30,MATCH(B25,Inventory!$A$4:$A$30,0)),0)</f>
        <v>2.5</v>
      </c>
      <c r="M25" s="148">
        <f>IF(D25="D10",0.1*L25+0.9*$B$14,L25)</f>
        <v>2.5</v>
      </c>
      <c r="N25" s="148">
        <f>H25*M25</f>
        <v>0.59500000000000008</v>
      </c>
      <c r="O25" s="147">
        <f>C25*$B$5</f>
        <v>5.6000000000000008E-3</v>
      </c>
      <c r="P25" s="149">
        <f>IFERROR(K25/I25,"")</f>
        <v>37.815126050420169</v>
      </c>
    </row>
    <row r="26" spans="1:16" x14ac:dyDescent="0.35">
      <c r="A26" s="146" t="s">
        <v>60</v>
      </c>
      <c r="B26" s="146" t="s">
        <v>112</v>
      </c>
      <c r="C26" s="147">
        <v>1.4999999999999999E-2</v>
      </c>
      <c r="D26" s="146"/>
      <c r="E26" s="146" t="s">
        <v>83</v>
      </c>
      <c r="F26" s="146" t="s">
        <v>587</v>
      </c>
      <c r="G26" s="148">
        <f>$B$9*C26</f>
        <v>0.17849999999999999</v>
      </c>
      <c r="H26" s="148">
        <f>G26</f>
        <v>0.17849999999999999</v>
      </c>
      <c r="I26" s="148">
        <f>IF(D26="D10",H26*0.1,H26)</f>
        <v>0.17849999999999999</v>
      </c>
      <c r="J26" s="148">
        <f>IF(D26="D10",H26*0.9,0)</f>
        <v>0</v>
      </c>
      <c r="K26" s="148">
        <f>IFERROR(INDEX(Inventory!$K$4:$K$30,MATCH(B26,Inventory!$A$4:$A$30,0)),"")</f>
        <v>9</v>
      </c>
      <c r="L26" s="148">
        <f>IFERROR(INDEX(Inventory!$I$4:$I$30,MATCH(B26,Inventory!$A$4:$A$30,0)),0)</f>
        <v>3.75</v>
      </c>
      <c r="M26" s="148">
        <f>IF(D26="D10",0.1*L26+0.9*$B$14,L26)</f>
        <v>3.75</v>
      </c>
      <c r="N26" s="148">
        <f>H26*M26</f>
        <v>0.66937499999999994</v>
      </c>
      <c r="O26" s="147">
        <f>C26*$B$5</f>
        <v>4.2000000000000006E-3</v>
      </c>
      <c r="P26" s="149">
        <f>IFERROR(K26/I26,"")</f>
        <v>50.420168067226896</v>
      </c>
    </row>
    <row r="27" spans="1:16" x14ac:dyDescent="0.35">
      <c r="A27" s="146" t="s">
        <v>60</v>
      </c>
      <c r="B27" s="146" t="s">
        <v>96</v>
      </c>
      <c r="C27" s="147">
        <v>1.2999999999999999E-2</v>
      </c>
      <c r="D27" s="146" t="s">
        <v>55</v>
      </c>
      <c r="E27" s="146"/>
      <c r="F27" s="146" t="s">
        <v>588</v>
      </c>
      <c r="G27" s="148">
        <f>$B$9*C27</f>
        <v>0.1547</v>
      </c>
      <c r="H27" s="148">
        <f>G27</f>
        <v>0.1547</v>
      </c>
      <c r="I27" s="148">
        <f>IF(D27="D10",H27*0.1,H27)</f>
        <v>1.5470000000000001E-2</v>
      </c>
      <c r="J27" s="148">
        <f>IF(D27="D10",H27*0.9,0)</f>
        <v>0.13923000000000002</v>
      </c>
      <c r="K27" s="148">
        <f>IFERROR(INDEX(Inventory!$K$4:$K$30,MATCH(B27,Inventory!$A$4:$A$30,0)),"")</f>
        <v>9</v>
      </c>
      <c r="L27" s="148">
        <f>IFERROR(INDEX(Inventory!$I$4:$I$30,MATCH(B27,Inventory!$A$4:$A$30,0)),0)</f>
        <v>1.4722222222222223</v>
      </c>
      <c r="M27" s="148">
        <f>IF(D27="D10",0.1*L27+0.9*$B$14,L27)</f>
        <v>0.23545751633986928</v>
      </c>
      <c r="N27" s="148">
        <f>H27*M27</f>
        <v>3.6425277777777779E-2</v>
      </c>
      <c r="O27" s="147">
        <f>C27*$B$5</f>
        <v>3.64E-3</v>
      </c>
      <c r="P27" s="149">
        <f>IFERROR(K27/I27,"")</f>
        <v>581.7711700064641</v>
      </c>
    </row>
    <row r="28" spans="1:16" x14ac:dyDescent="0.35">
      <c r="A28" s="146" t="s">
        <v>69</v>
      </c>
      <c r="B28" s="146" t="s">
        <v>82</v>
      </c>
      <c r="C28" s="147">
        <v>2E-3</v>
      </c>
      <c r="D28" s="146" t="s">
        <v>55</v>
      </c>
      <c r="E28" s="146" t="s">
        <v>83</v>
      </c>
      <c r="F28" s="146" t="s">
        <v>589</v>
      </c>
      <c r="G28" s="148">
        <f>$B$9*C28</f>
        <v>2.3800000000000002E-2</v>
      </c>
      <c r="H28" s="148">
        <f>G28</f>
        <v>2.3800000000000002E-2</v>
      </c>
      <c r="I28" s="148">
        <f>IF(D28="D10",H28*0.1,H28)</f>
        <v>2.3800000000000002E-3</v>
      </c>
      <c r="J28" s="148">
        <f>IF(D28="D10",H28*0.9,0)</f>
        <v>2.1420000000000002E-2</v>
      </c>
      <c r="K28" s="148">
        <f>IFERROR(INDEX(Inventory!$K$4:$K$30,MATCH(B28,Inventory!$A$4:$A$30,0)),"")</f>
        <v>9</v>
      </c>
      <c r="L28" s="148">
        <f>IFERROR(INDEX(Inventory!$I$4:$I$30,MATCH(B28,Inventory!$A$4:$A$30,0)),0)</f>
        <v>10.972222222222221</v>
      </c>
      <c r="M28" s="148">
        <f>IF(D28="D10",0.1*L28+0.9*$B$14,L28)</f>
        <v>1.1854575163398691</v>
      </c>
      <c r="N28" s="148">
        <f>H28*M28</f>
        <v>2.8213888888888886E-2</v>
      </c>
      <c r="O28" s="147">
        <f>C28*$B$5</f>
        <v>5.6000000000000006E-4</v>
      </c>
      <c r="P28" s="149">
        <f>IFERROR(K28/I28,"")</f>
        <v>3781.5126050420167</v>
      </c>
    </row>
    <row r="29" spans="1:16" x14ac:dyDescent="0.35">
      <c r="A29" s="146" t="s">
        <v>69</v>
      </c>
      <c r="B29" s="146" t="s">
        <v>70</v>
      </c>
      <c r="C29" s="147">
        <v>0.09</v>
      </c>
      <c r="D29" s="146"/>
      <c r="E29" s="146"/>
      <c r="F29" s="146" t="s">
        <v>590</v>
      </c>
      <c r="G29" s="148">
        <f>$B$9*C29</f>
        <v>1.071</v>
      </c>
      <c r="H29" s="148">
        <f>G29</f>
        <v>1.071</v>
      </c>
      <c r="I29" s="148">
        <f>IF(D29="D10",H29*0.1,H29)</f>
        <v>1.071</v>
      </c>
      <c r="J29" s="148">
        <f>IF(D29="D10",H29*0.9,0)</f>
        <v>0</v>
      </c>
      <c r="K29" s="148">
        <f>IFERROR(INDEX(Inventory!$K$4:$K$30,MATCH(B29,Inventory!$A$4:$A$30,0)),"")</f>
        <v>90</v>
      </c>
      <c r="L29" s="148">
        <f>IFERROR(INDEX(Inventory!$I$4:$I$30,MATCH(B29,Inventory!$A$4:$A$30,0)),0)</f>
        <v>0.44266666666666671</v>
      </c>
      <c r="M29" s="148">
        <f>IF(D29="D10",0.1*L29+0.9*$B$14,L29)</f>
        <v>0.44266666666666671</v>
      </c>
      <c r="N29" s="148">
        <f>H29*M29</f>
        <v>0.47409600000000002</v>
      </c>
      <c r="O29" s="147">
        <f>C29*$B$5</f>
        <v>2.52E-2</v>
      </c>
      <c r="P29" s="149">
        <f>IFERROR(K29/I29,"")</f>
        <v>84.033613445378151</v>
      </c>
    </row>
    <row r="30" spans="1:16" x14ac:dyDescent="0.35">
      <c r="A30" s="146" t="s">
        <v>69</v>
      </c>
      <c r="B30" s="146" t="s">
        <v>72</v>
      </c>
      <c r="C30" s="147">
        <v>5.5E-2</v>
      </c>
      <c r="D30" s="146"/>
      <c r="E30" s="146"/>
      <c r="F30" s="146" t="s">
        <v>591</v>
      </c>
      <c r="G30" s="148">
        <f>$B$9*C30</f>
        <v>0.65449999999999997</v>
      </c>
      <c r="H30" s="148">
        <f>G30</f>
        <v>0.65449999999999997</v>
      </c>
      <c r="I30" s="148">
        <f>IF(D30="D10",H30*0.1,H30)</f>
        <v>0.65449999999999997</v>
      </c>
      <c r="J30" s="148">
        <f>IF(D30="D10",H30*0.9,0)</f>
        <v>0</v>
      </c>
      <c r="K30" s="148">
        <f>IFERROR(INDEX(Inventory!$K$4:$K$30,MATCH(B30,Inventory!$A$4:$A$30,0)),"")</f>
        <v>18</v>
      </c>
      <c r="L30" s="148">
        <f>IFERROR(INDEX(Inventory!$I$4:$I$30,MATCH(B30,Inventory!$A$4:$A$30,0)),0)</f>
        <v>5</v>
      </c>
      <c r="M30" s="148">
        <f>IF(D30="D10",0.1*L30+0.9*$B$14,L30)</f>
        <v>5</v>
      </c>
      <c r="N30" s="148">
        <f>H30*M30</f>
        <v>3.2725</v>
      </c>
      <c r="O30" s="147">
        <f>C30*$B$5</f>
        <v>1.5400000000000002E-2</v>
      </c>
      <c r="P30" s="149">
        <f>IFERROR(K30/I30,"")</f>
        <v>27.501909854851032</v>
      </c>
    </row>
    <row r="31" spans="1:16" x14ac:dyDescent="0.35">
      <c r="A31" s="146" t="s">
        <v>69</v>
      </c>
      <c r="B31" s="146" t="s">
        <v>74</v>
      </c>
      <c r="C31" s="147">
        <v>0.04</v>
      </c>
      <c r="D31" s="146"/>
      <c r="E31" s="146"/>
      <c r="F31" s="146" t="s">
        <v>592</v>
      </c>
      <c r="G31" s="148">
        <f>$B$9*C31</f>
        <v>0.47600000000000003</v>
      </c>
      <c r="H31" s="148">
        <f>G31</f>
        <v>0.47600000000000003</v>
      </c>
      <c r="I31" s="148">
        <f>IF(D31="D10",H31*0.1,H31)</f>
        <v>0.47600000000000003</v>
      </c>
      <c r="J31" s="148">
        <f>IF(D31="D10",H31*0.9,0)</f>
        <v>0</v>
      </c>
      <c r="K31" s="148">
        <f>IFERROR(INDEX(Inventory!$K$4:$K$30,MATCH(B31,Inventory!$A$4:$A$30,0)),"")</f>
        <v>9</v>
      </c>
      <c r="L31" s="148">
        <f>IFERROR(INDEX(Inventory!$I$4:$I$30,MATCH(B31,Inventory!$A$4:$A$30,0)),0)</f>
        <v>3.9588888888888891</v>
      </c>
      <c r="M31" s="148">
        <f>IF(D31="D10",0.1*L31+0.9*$B$14,L31)</f>
        <v>3.9588888888888891</v>
      </c>
      <c r="N31" s="148">
        <f>H31*M31</f>
        <v>1.8844311111111114</v>
      </c>
      <c r="O31" s="147">
        <f>C31*$B$5</f>
        <v>1.1200000000000002E-2</v>
      </c>
      <c r="P31" s="149">
        <f>IFERROR(K31/I31,"")</f>
        <v>18.907563025210084</v>
      </c>
    </row>
    <row r="32" spans="1:16" x14ac:dyDescent="0.35">
      <c r="A32" s="146" t="s">
        <v>69</v>
      </c>
      <c r="B32" s="146" t="s">
        <v>76</v>
      </c>
      <c r="C32" s="147">
        <v>4.4999999999999998E-2</v>
      </c>
      <c r="D32" s="146"/>
      <c r="E32" s="146"/>
      <c r="F32" s="146" t="s">
        <v>593</v>
      </c>
      <c r="G32" s="148">
        <f>$B$9*C32</f>
        <v>0.53549999999999998</v>
      </c>
      <c r="H32" s="148">
        <f>G32</f>
        <v>0.53549999999999998</v>
      </c>
      <c r="I32" s="148">
        <f>IF(D32="D10",H32*0.1,H32)</f>
        <v>0.53549999999999998</v>
      </c>
      <c r="J32" s="148">
        <f>IF(D32="D10",H32*0.9,0)</f>
        <v>0</v>
      </c>
      <c r="K32" s="148">
        <f>IFERROR(INDEX(Inventory!$K$4:$K$30,MATCH(B32,Inventory!$A$4:$A$30,0)),"")</f>
        <v>27</v>
      </c>
      <c r="L32" s="148">
        <f>IFERROR(INDEX(Inventory!$I$4:$I$30,MATCH(B32,Inventory!$A$4:$A$30,0)),0)</f>
        <v>1.8618518518518519</v>
      </c>
      <c r="M32" s="148">
        <f>IF(D32="D10",0.1*L32+0.9*$B$14,L32)</f>
        <v>1.8618518518518519</v>
      </c>
      <c r="N32" s="148">
        <f>H32*M32</f>
        <v>0.99702166666666658</v>
      </c>
      <c r="O32" s="147">
        <f>C32*$B$5</f>
        <v>1.26E-2</v>
      </c>
      <c r="P32" s="149">
        <f>IFERROR(K32/I32,"")</f>
        <v>50.420168067226896</v>
      </c>
    </row>
    <row r="33" spans="1:16" x14ac:dyDescent="0.35">
      <c r="A33" s="146" t="s">
        <v>69</v>
      </c>
      <c r="B33" s="146" t="s">
        <v>78</v>
      </c>
      <c r="C33" s="147">
        <v>0.05</v>
      </c>
      <c r="D33" s="146"/>
      <c r="E33" s="146"/>
      <c r="F33" s="146" t="s">
        <v>594</v>
      </c>
      <c r="G33" s="148">
        <f>$B$9*C33</f>
        <v>0.59500000000000008</v>
      </c>
      <c r="H33" s="148">
        <f>G33</f>
        <v>0.59500000000000008</v>
      </c>
      <c r="I33" s="148">
        <f>IF(D33="D10",H33*0.1,H33)</f>
        <v>0.59500000000000008</v>
      </c>
      <c r="J33" s="148">
        <f>IF(D33="D10",H33*0.9,0)</f>
        <v>0</v>
      </c>
      <c r="K33" s="148">
        <f>IFERROR(INDEX(Inventory!$K$4:$K$30,MATCH(B33,Inventory!$A$4:$A$30,0)),"")</f>
        <v>54</v>
      </c>
      <c r="L33" s="148">
        <f>IFERROR(INDEX(Inventory!$I$4:$I$30,MATCH(B33,Inventory!$A$4:$A$30,0)),0)</f>
        <v>1.1903703703703703</v>
      </c>
      <c r="M33" s="148">
        <f>IF(D33="D10",0.1*L33+0.9*$B$14,L33)</f>
        <v>1.1903703703703703</v>
      </c>
      <c r="N33" s="148">
        <f>H33*M33</f>
        <v>0.70827037037037044</v>
      </c>
      <c r="O33" s="147">
        <f>C33*$B$5</f>
        <v>1.4000000000000002E-2</v>
      </c>
      <c r="P33" s="149">
        <f>IFERROR(K33/I33,"")</f>
        <v>90.756302521008394</v>
      </c>
    </row>
    <row r="34" spans="1:16" x14ac:dyDescent="0.35">
      <c r="A34" s="146" t="s">
        <v>69</v>
      </c>
      <c r="B34" s="146" t="s">
        <v>80</v>
      </c>
      <c r="C34" s="147">
        <v>0.02</v>
      </c>
      <c r="D34" s="146"/>
      <c r="E34" s="146"/>
      <c r="F34" s="146" t="s">
        <v>595</v>
      </c>
      <c r="G34" s="148">
        <f>$B$9*C34</f>
        <v>0.23800000000000002</v>
      </c>
      <c r="H34" s="148">
        <f>G34</f>
        <v>0.23800000000000002</v>
      </c>
      <c r="I34" s="148">
        <f>IF(D34="D10",H34*0.1,H34)</f>
        <v>0.23800000000000002</v>
      </c>
      <c r="J34" s="148">
        <f>IF(D34="D10",H34*0.9,0)</f>
        <v>0</v>
      </c>
      <c r="K34" s="148">
        <f>IFERROR(INDEX(Inventory!$K$4:$K$30,MATCH(B34,Inventory!$A$4:$A$30,0)),"")</f>
        <v>18</v>
      </c>
      <c r="L34" s="148">
        <f>IFERROR(INDEX(Inventory!$I$4:$I$30,MATCH(B34,Inventory!$A$4:$A$30,0)),0)</f>
        <v>1.8599999999999999</v>
      </c>
      <c r="M34" s="148">
        <f>IF(D34="D10",0.1*L34+0.9*$B$14,L34)</f>
        <v>1.8599999999999999</v>
      </c>
      <c r="N34" s="148">
        <f>H34*M34</f>
        <v>0.44268000000000002</v>
      </c>
      <c r="O34" s="147">
        <f>C34*$B$5</f>
        <v>5.6000000000000008E-3</v>
      </c>
      <c r="P34" s="149">
        <f>IFERROR(K34/I34,"")</f>
        <v>75.630252100840337</v>
      </c>
    </row>
    <row r="35" spans="1:16" x14ac:dyDescent="0.35">
      <c r="A35" s="146" t="s">
        <v>85</v>
      </c>
      <c r="B35" s="146" t="s">
        <v>86</v>
      </c>
      <c r="C35" s="147">
        <v>0.06</v>
      </c>
      <c r="D35" s="146"/>
      <c r="E35" s="146"/>
      <c r="F35" s="146" t="s">
        <v>596</v>
      </c>
      <c r="G35" s="148">
        <f>$B$9*C35</f>
        <v>0.71399999999999997</v>
      </c>
      <c r="H35" s="148">
        <f>G35</f>
        <v>0.71399999999999997</v>
      </c>
      <c r="I35" s="148">
        <f>IF(D35="D10",H35*0.1,H35)</f>
        <v>0.71399999999999997</v>
      </c>
      <c r="J35" s="148">
        <f>IF(D35="D10",H35*0.9,0)</f>
        <v>0</v>
      </c>
      <c r="K35" s="148">
        <f>IFERROR(INDEX(Inventory!$K$4:$K$30,MATCH(B35,Inventory!$A$4:$A$30,0)),"")</f>
        <v>30</v>
      </c>
      <c r="L35" s="148">
        <f>IFERROR(INDEX(Inventory!$I$4:$I$30,MATCH(B35,Inventory!$A$4:$A$30,0)),0)</f>
        <v>1.4059999999999999</v>
      </c>
      <c r="M35" s="148">
        <f>IF(D35="D10",0.1*L35+0.9*$B$14,L35)</f>
        <v>1.4059999999999999</v>
      </c>
      <c r="N35" s="148">
        <f>H35*M35</f>
        <v>1.003884</v>
      </c>
      <c r="O35" s="147">
        <f>C35*$B$5</f>
        <v>1.6800000000000002E-2</v>
      </c>
      <c r="P35" s="149">
        <f>IFERROR(K35/I35,"")</f>
        <v>42.016806722689076</v>
      </c>
    </row>
    <row r="36" spans="1:16" x14ac:dyDescent="0.35">
      <c r="A36" s="146" t="s">
        <v>85</v>
      </c>
      <c r="B36" s="146" t="s">
        <v>88</v>
      </c>
      <c r="C36" s="147">
        <v>2.5000000000000001E-2</v>
      </c>
      <c r="D36" s="146"/>
      <c r="E36" s="146"/>
      <c r="F36" s="146" t="s">
        <v>597</v>
      </c>
      <c r="G36" s="148">
        <f>$B$9*C36</f>
        <v>0.29750000000000004</v>
      </c>
      <c r="H36" s="148">
        <f>G36</f>
        <v>0.29750000000000004</v>
      </c>
      <c r="I36" s="148">
        <f>IF(D36="D10",H36*0.1,H36)</f>
        <v>0.29750000000000004</v>
      </c>
      <c r="J36" s="148">
        <f>IF(D36="D10",H36*0.9,0)</f>
        <v>0</v>
      </c>
      <c r="K36" s="148">
        <f>IFERROR(INDEX(Inventory!$K$4:$K$30,MATCH(B36,Inventory!$A$4:$A$30,0)),"")</f>
        <v>20</v>
      </c>
      <c r="L36" s="148">
        <f>IFERROR(INDEX(Inventory!$I$4:$I$30,MATCH(B36,Inventory!$A$4:$A$30,0)),0)</f>
        <v>1.569</v>
      </c>
      <c r="M36" s="148">
        <f>IF(D36="D10",0.1*L36+0.9*$B$14,L36)</f>
        <v>1.569</v>
      </c>
      <c r="N36" s="148">
        <f>H36*M36</f>
        <v>0.46677750000000007</v>
      </c>
      <c r="O36" s="147">
        <f>C36*$B$5</f>
        <v>7.000000000000001E-3</v>
      </c>
      <c r="P36" s="149">
        <f>IFERROR(K36/I36,"")</f>
        <v>67.22689075630251</v>
      </c>
    </row>
    <row r="37" spans="1:16" x14ac:dyDescent="0.35">
      <c r="A37" s="146" t="s">
        <v>85</v>
      </c>
      <c r="B37" s="146" t="s">
        <v>90</v>
      </c>
      <c r="C37" s="147">
        <v>0.02</v>
      </c>
      <c r="D37" s="146" t="s">
        <v>55</v>
      </c>
      <c r="E37" s="146"/>
      <c r="F37" s="146" t="s">
        <v>598</v>
      </c>
      <c r="G37" s="148">
        <f>$B$9*C37</f>
        <v>0.23800000000000002</v>
      </c>
      <c r="H37" s="148">
        <f>G37</f>
        <v>0.23800000000000002</v>
      </c>
      <c r="I37" s="148">
        <f>IF(D37="D10",H37*0.1,H37)</f>
        <v>2.3800000000000002E-2</v>
      </c>
      <c r="J37" s="148">
        <f>IF(D37="D10",H37*0.9,0)</f>
        <v>0.21420000000000003</v>
      </c>
      <c r="K37" s="148">
        <f>IFERROR(INDEX(Inventory!$K$4:$K$30,MATCH(B37,Inventory!$A$4:$A$30,0)),"")</f>
        <v>10</v>
      </c>
      <c r="L37" s="148">
        <f>IFERROR(INDEX(Inventory!$I$4:$I$30,MATCH(B37,Inventory!$A$4:$A$30,0)),0)</f>
        <v>2.6510000000000002</v>
      </c>
      <c r="M37" s="148">
        <f>IF(D37="D10",0.1*L37+0.9*$B$14,L37)</f>
        <v>0.35333529411764714</v>
      </c>
      <c r="N37" s="148">
        <f>H37*M37</f>
        <v>8.4093800000000024E-2</v>
      </c>
      <c r="O37" s="147">
        <f>C37*$B$5</f>
        <v>5.6000000000000008E-3</v>
      </c>
      <c r="P37" s="149">
        <f>IFERROR(K37/I37,"")</f>
        <v>420.16806722689074</v>
      </c>
    </row>
    <row r="38" spans="1:16" x14ac:dyDescent="0.35">
      <c r="A38" s="146" t="s">
        <v>85</v>
      </c>
      <c r="B38" s="146" t="s">
        <v>92</v>
      </c>
      <c r="C38" s="147">
        <v>0.04</v>
      </c>
      <c r="D38" s="146"/>
      <c r="E38" s="146"/>
      <c r="F38" s="146" t="s">
        <v>599</v>
      </c>
      <c r="G38" s="148">
        <f>$B$9*C38</f>
        <v>0.47600000000000003</v>
      </c>
      <c r="H38" s="148">
        <f>G38</f>
        <v>0.47600000000000003</v>
      </c>
      <c r="I38" s="148">
        <f>IF(D38="D10",H38*0.1,H38)</f>
        <v>0.47600000000000003</v>
      </c>
      <c r="J38" s="148">
        <f>IF(D38="D10",H38*0.9,0)</f>
        <v>0</v>
      </c>
      <c r="K38" s="148">
        <f>IFERROR(INDEX(Inventory!$K$4:$K$30,MATCH(B38,Inventory!$A$4:$A$30,0)),"")</f>
        <v>500</v>
      </c>
      <c r="L38" s="148">
        <f>IFERROR(INDEX(Inventory!$I$4:$I$30,MATCH(B38,Inventory!$A$4:$A$30,0)),0)</f>
        <v>0.3</v>
      </c>
      <c r="M38" s="148">
        <f>IF(D38="D10",0.1*L38+0.9*$B$14,L38)</f>
        <v>0.3</v>
      </c>
      <c r="N38" s="148">
        <f>H38*M38</f>
        <v>0.14280000000000001</v>
      </c>
      <c r="O38" s="147">
        <f>C38*$B$5</f>
        <v>1.1200000000000002E-2</v>
      </c>
      <c r="P38" s="149">
        <f>IFERROR(K38/I38,"")</f>
        <v>1050.4201680672268</v>
      </c>
    </row>
    <row r="39" spans="1:16" x14ac:dyDescent="0.35">
      <c r="A39" s="146" t="s">
        <v>85</v>
      </c>
      <c r="B39" s="146" t="s">
        <v>94</v>
      </c>
      <c r="C39" s="147">
        <v>0.06</v>
      </c>
      <c r="D39" s="146"/>
      <c r="E39" s="146"/>
      <c r="F39" s="146" t="s">
        <v>600</v>
      </c>
      <c r="G39" s="148">
        <f>$B$9*C39</f>
        <v>0.71399999999999997</v>
      </c>
      <c r="H39" s="148">
        <f>G39</f>
        <v>0.71399999999999997</v>
      </c>
      <c r="I39" s="148">
        <f>IF(D39="D10",H39*0.1,H39)</f>
        <v>0.71399999999999997</v>
      </c>
      <c r="J39" s="148">
        <f>IF(D39="D10",H39*0.9,0)</f>
        <v>0</v>
      </c>
      <c r="K39" s="148">
        <f>IFERROR(INDEX(Inventory!$K$4:$K$30,MATCH(B39,Inventory!$A$4:$A$30,0)),"")</f>
        <v>9</v>
      </c>
      <c r="L39" s="148">
        <f>IFERROR(INDEX(Inventory!$I$4:$I$30,MATCH(B39,Inventory!$A$4:$A$30,0)),0)</f>
        <v>3.75</v>
      </c>
      <c r="M39" s="148">
        <f>IF(D39="D10",0.1*L39+0.9*$B$14,L39)</f>
        <v>3.75</v>
      </c>
      <c r="N39" s="148">
        <f>H39*M39</f>
        <v>2.6774999999999998</v>
      </c>
      <c r="O39" s="147">
        <f>C39*$B$5</f>
        <v>1.6800000000000002E-2</v>
      </c>
      <c r="P39" s="149">
        <f>IFERROR(K39/I39,"")</f>
        <v>12.605042016806724</v>
      </c>
    </row>
    <row r="40" spans="1:16" x14ac:dyDescent="0.35">
      <c r="A40" s="146" t="s">
        <v>85</v>
      </c>
      <c r="B40" s="146" t="s">
        <v>98</v>
      </c>
      <c r="C40" s="147">
        <v>0.08</v>
      </c>
      <c r="D40" s="146"/>
      <c r="E40" s="146"/>
      <c r="F40" s="146" t="s">
        <v>601</v>
      </c>
      <c r="G40" s="148">
        <f>$B$9*C40</f>
        <v>0.95200000000000007</v>
      </c>
      <c r="H40" s="148">
        <f>G40</f>
        <v>0.95200000000000007</v>
      </c>
      <c r="I40" s="148">
        <f>IF(D40="D10",H40*0.1,H40)</f>
        <v>0.95200000000000007</v>
      </c>
      <c r="J40" s="148">
        <f>IF(D40="D10",H40*0.9,0)</f>
        <v>0</v>
      </c>
      <c r="K40" s="148">
        <f>IFERROR(INDEX(Inventory!$K$4:$K$30,MATCH(B40,Inventory!$A$4:$A$30,0)),"")</f>
        <v>20</v>
      </c>
      <c r="L40" s="148">
        <f>IFERROR(INDEX(Inventory!$I$4:$I$30,MATCH(B40,Inventory!$A$4:$A$30,0)),0)</f>
        <v>13.375</v>
      </c>
      <c r="M40" s="148">
        <f>IF(D40="D10",0.1*L40+0.9*$B$14,L40)</f>
        <v>13.375</v>
      </c>
      <c r="N40" s="148">
        <f>H40*M40</f>
        <v>12.733000000000001</v>
      </c>
      <c r="O40" s="147">
        <f>C40*$B$5</f>
        <v>2.2400000000000003E-2</v>
      </c>
      <c r="P40" s="149">
        <f>IFERROR(K40/I40,"")</f>
        <v>21.008403361344538</v>
      </c>
    </row>
    <row r="41" spans="1:16" x14ac:dyDescent="0.35">
      <c r="A41" s="146" t="s">
        <v>85</v>
      </c>
      <c r="B41" s="146" t="s">
        <v>100</v>
      </c>
      <c r="C41" s="147">
        <v>0.09</v>
      </c>
      <c r="D41" s="146"/>
      <c r="E41" s="146"/>
      <c r="F41" s="146" t="s">
        <v>602</v>
      </c>
      <c r="G41" s="148">
        <f>$B$9*C41</f>
        <v>1.071</v>
      </c>
      <c r="H41" s="148">
        <f>G41</f>
        <v>1.071</v>
      </c>
      <c r="I41" s="148">
        <f>IF(D41="D10",H41*0.1,H41)</f>
        <v>1.071</v>
      </c>
      <c r="J41" s="148">
        <f>IF(D41="D10",H41*0.9,0)</f>
        <v>0</v>
      </c>
      <c r="K41" s="148">
        <f>IFERROR(INDEX(Inventory!$K$4:$K$30,MATCH(B41,Inventory!$A$4:$A$30,0)),"")</f>
        <v>27</v>
      </c>
      <c r="L41" s="148">
        <f>IFERROR(INDEX(Inventory!$I$4:$I$30,MATCH(B41,Inventory!$A$4:$A$30,0)),0)</f>
        <v>1.4507407407407409</v>
      </c>
      <c r="M41" s="148">
        <f>IF(D41="D10",0.1*L41+0.9*$B$14,L41)</f>
        <v>1.4507407407407409</v>
      </c>
      <c r="N41" s="148">
        <f>H41*M41</f>
        <v>1.5537433333333335</v>
      </c>
      <c r="O41" s="147">
        <f>C41*$B$5</f>
        <v>2.52E-2</v>
      </c>
      <c r="P41" s="149">
        <f>IFERROR(K41/I41,"")</f>
        <v>25.210084033613448</v>
      </c>
    </row>
    <row r="42" spans="1:16" x14ac:dyDescent="0.35">
      <c r="A42" s="146" t="s">
        <v>85</v>
      </c>
      <c r="B42" s="146" t="s">
        <v>102</v>
      </c>
      <c r="C42" s="147">
        <v>0.04</v>
      </c>
      <c r="D42" s="146"/>
      <c r="E42" s="146"/>
      <c r="F42" s="146" t="s">
        <v>603</v>
      </c>
      <c r="G42" s="148">
        <f>$B$9*C42</f>
        <v>0.47600000000000003</v>
      </c>
      <c r="H42" s="148">
        <f>G42</f>
        <v>0.47600000000000003</v>
      </c>
      <c r="I42" s="148">
        <f>IF(D42="D10",H42*0.1,H42)</f>
        <v>0.47600000000000003</v>
      </c>
      <c r="J42" s="148">
        <f>IF(D42="D10",H42*0.9,0)</f>
        <v>0</v>
      </c>
      <c r="K42" s="148">
        <f>IFERROR(INDEX(Inventory!$K$4:$K$30,MATCH(B42,Inventory!$A$4:$A$30,0)),"")</f>
        <v>9</v>
      </c>
      <c r="L42" s="148">
        <f>IFERROR(INDEX(Inventory!$I$4:$I$30,MATCH(B42,Inventory!$A$4:$A$30,0)),0)</f>
        <v>6.206666666666667</v>
      </c>
      <c r="M42" s="148">
        <f>IF(D42="D10",0.1*L42+0.9*$B$14,L42)</f>
        <v>6.206666666666667</v>
      </c>
      <c r="N42" s="148">
        <f>H42*M42</f>
        <v>2.9543733333333337</v>
      </c>
      <c r="O42" s="147">
        <f>C42*$B$5</f>
        <v>1.1200000000000002E-2</v>
      </c>
      <c r="P42" s="149">
        <f>IFERROR(K42/I42,"")</f>
        <v>18.907563025210084</v>
      </c>
    </row>
    <row r="43" spans="1:16" x14ac:dyDescent="0.35">
      <c r="A43" s="146" t="s">
        <v>85</v>
      </c>
      <c r="B43" s="146" t="s">
        <v>104</v>
      </c>
      <c r="C43" s="147">
        <v>0.04</v>
      </c>
      <c r="D43" s="146"/>
      <c r="E43" s="146"/>
      <c r="F43" s="146" t="s">
        <v>105</v>
      </c>
      <c r="G43" s="148">
        <f>$B$9*C43</f>
        <v>0.47600000000000003</v>
      </c>
      <c r="H43" s="148">
        <f>G43</f>
        <v>0.47600000000000003</v>
      </c>
      <c r="I43" s="148">
        <f>IF(D43="D10",H43*0.1,H43)</f>
        <v>0.47600000000000003</v>
      </c>
      <c r="J43" s="148">
        <f>IF(D43="D10",H43*0.9,0)</f>
        <v>0</v>
      </c>
      <c r="K43" s="148">
        <f>IFERROR(INDEX(Inventory!$K$4:$K$30,MATCH(B43,Inventory!$A$4:$A$30,0)),"")</f>
        <v>18</v>
      </c>
      <c r="L43" s="148">
        <f>IFERROR(INDEX(Inventory!$I$4:$I$30,MATCH(B43,Inventory!$A$4:$A$30,0)),0)</f>
        <v>2.6155555555555554</v>
      </c>
      <c r="M43" s="148">
        <f>IF(D43="D10",0.1*L43+0.9*$B$14,L43)</f>
        <v>2.6155555555555554</v>
      </c>
      <c r="N43" s="148">
        <f>H43*M43</f>
        <v>1.2450044444444444</v>
      </c>
      <c r="O43" s="147">
        <f>C43*$B$5</f>
        <v>1.1200000000000002E-2</v>
      </c>
      <c r="P43" s="149">
        <f>IFERROR(K43/I43,"")</f>
        <v>37.815126050420169</v>
      </c>
    </row>
    <row r="44" spans="1:16" x14ac:dyDescent="0.35">
      <c r="A44" s="146" t="s">
        <v>85</v>
      </c>
      <c r="B44" s="146" t="s">
        <v>106</v>
      </c>
      <c r="C44" s="147">
        <v>0.05</v>
      </c>
      <c r="D44" s="146"/>
      <c r="E44" s="146"/>
      <c r="F44" s="146" t="s">
        <v>604</v>
      </c>
      <c r="G44" s="148">
        <f>$B$9*C44</f>
        <v>0.59500000000000008</v>
      </c>
      <c r="H44" s="148">
        <f>G44</f>
        <v>0.59500000000000008</v>
      </c>
      <c r="I44" s="148">
        <f>IF(D44="D10",H44*0.1,H44)</f>
        <v>0.59500000000000008</v>
      </c>
      <c r="J44" s="148">
        <f>IF(D44="D10",H44*0.9,0)</f>
        <v>0</v>
      </c>
      <c r="K44" s="148">
        <f>IFERROR(INDEX(Inventory!$K$4:$K$30,MATCH(B44,Inventory!$A$4:$A$30,0)),"")</f>
        <v>45</v>
      </c>
      <c r="L44" s="148">
        <f>IFERROR(INDEX(Inventory!$I$4:$I$30,MATCH(B44,Inventory!$A$4:$A$30,0)),0)</f>
        <v>0.76422222222222225</v>
      </c>
      <c r="M44" s="148">
        <f>IF(D44="D10",0.1*L44+0.9*$B$14,L44)</f>
        <v>0.76422222222222225</v>
      </c>
      <c r="N44" s="148">
        <f>H44*M44</f>
        <v>0.4547122222222223</v>
      </c>
      <c r="O44" s="147">
        <f>C44*$B$5</f>
        <v>1.4000000000000002E-2</v>
      </c>
      <c r="P44" s="149">
        <f>IFERROR(K44/I44,"")</f>
        <v>75.630252100840323</v>
      </c>
    </row>
    <row r="45" spans="1:16" x14ac:dyDescent="0.35">
      <c r="A45" s="146" t="s">
        <v>85</v>
      </c>
      <c r="B45" s="146" t="s">
        <v>108</v>
      </c>
      <c r="C45" s="147">
        <v>0.05</v>
      </c>
      <c r="D45" s="146"/>
      <c r="E45" s="146"/>
      <c r="F45" s="146" t="s">
        <v>605</v>
      </c>
      <c r="G45" s="148">
        <f>$B$9*C45</f>
        <v>0.59500000000000008</v>
      </c>
      <c r="H45" s="148">
        <f>G45</f>
        <v>0.59500000000000008</v>
      </c>
      <c r="I45" s="148">
        <f>IF(D45="D10",H45*0.1,H45)</f>
        <v>0.59500000000000008</v>
      </c>
      <c r="J45" s="148">
        <f>IF(D45="D10",H45*0.9,0)</f>
        <v>0</v>
      </c>
      <c r="K45" s="148">
        <f>IFERROR(INDEX(Inventory!$K$4:$K$30,MATCH(B45,Inventory!$A$4:$A$30,0)),"")</f>
        <v>27</v>
      </c>
      <c r="L45" s="148">
        <f>IFERROR(INDEX(Inventory!$I$4:$I$30,MATCH(B45,Inventory!$A$4:$A$30,0)),0)</f>
        <v>1</v>
      </c>
      <c r="M45" s="148">
        <f>IF(D45="D10",0.1*L45+0.9*$B$14,L45)</f>
        <v>1</v>
      </c>
      <c r="N45" s="148">
        <f>H45*M45</f>
        <v>0.59500000000000008</v>
      </c>
      <c r="O45" s="147">
        <f>C45*$B$5</f>
        <v>1.4000000000000002E-2</v>
      </c>
      <c r="P45" s="149">
        <f>IFERROR(K45/I45,"")</f>
        <v>45.378151260504197</v>
      </c>
    </row>
    <row r="46" spans="1:16" x14ac:dyDescent="0.35">
      <c r="A46" s="146" t="s">
        <v>85</v>
      </c>
      <c r="B46" s="146" t="s">
        <v>110</v>
      </c>
      <c r="C46" s="147">
        <v>2.5000000000000001E-2</v>
      </c>
      <c r="D46" s="146"/>
      <c r="E46" s="146"/>
      <c r="F46" s="146" t="s">
        <v>606</v>
      </c>
      <c r="G46" s="148">
        <f>$B$9*C46</f>
        <v>0.29750000000000004</v>
      </c>
      <c r="H46" s="148">
        <f>G46</f>
        <v>0.29750000000000004</v>
      </c>
      <c r="I46" s="148">
        <f>IF(D46="D10",H46*0.1,H46)</f>
        <v>0.29750000000000004</v>
      </c>
      <c r="J46" s="148">
        <f>IF(D46="D10",H46*0.9,0)</f>
        <v>0</v>
      </c>
      <c r="K46" s="148">
        <f>IFERROR(INDEX(Inventory!$K$4:$K$30,MATCH(B46,Inventory!$A$4:$A$30,0)),"")</f>
        <v>9</v>
      </c>
      <c r="L46" s="148">
        <f>IFERROR(INDEX(Inventory!$I$4:$I$30,MATCH(B46,Inventory!$A$4:$A$30,0)),0)</f>
        <v>3.0588888888888892</v>
      </c>
      <c r="M46" s="148">
        <f>IF(D46="D10",0.1*L46+0.9*$B$14,L46)</f>
        <v>3.0588888888888892</v>
      </c>
      <c r="N46" s="148">
        <f>H46*M46</f>
        <v>0.91001944444444471</v>
      </c>
      <c r="O46" s="147">
        <f>C46*$B$5</f>
        <v>7.000000000000001E-3</v>
      </c>
      <c r="P46" s="149">
        <f>IFERROR(K46/I46,"")</f>
        <v>30.25210084033613</v>
      </c>
    </row>
    <row r="47" spans="1:16" x14ac:dyDescent="0.35">
      <c r="A47" s="144"/>
      <c r="B47" s="144"/>
      <c r="C47" s="144"/>
      <c r="D47" s="144"/>
      <c r="E47" s="144"/>
      <c r="F47" s="144"/>
      <c r="G47" s="145"/>
      <c r="H47" s="145"/>
      <c r="I47" s="145"/>
      <c r="J47" s="145"/>
      <c r="K47" s="145"/>
      <c r="L47" s="145"/>
      <c r="M47" s="145"/>
      <c r="N47" s="145"/>
      <c r="O47" s="144"/>
      <c r="P47" s="144"/>
    </row>
    <row r="48" spans="1:16" x14ac:dyDescent="0.35">
      <c r="A48" s="142"/>
      <c r="B48" t="s">
        <v>607</v>
      </c>
      <c r="C48">
        <f>SUM(C22:C46)</f>
        <v>1</v>
      </c>
      <c r="G48">
        <f>SUM(G22:G46)</f>
        <v>11.900000000000002</v>
      </c>
      <c r="H48">
        <f>SUM(H22:H46)</f>
        <v>11.900000000000002</v>
      </c>
      <c r="I48">
        <f>SUM(I22:I46)</f>
        <v>11.418050000000003</v>
      </c>
      <c r="J48">
        <f>SUM(J22:J46)</f>
        <v>0.4819500000000001</v>
      </c>
      <c r="N48">
        <f>SUM(N22:N46)</f>
        <v>35.507537281481476</v>
      </c>
    </row>
    <row r="50" spans="1:16" x14ac:dyDescent="0.35">
      <c r="A50" s="135" t="s">
        <v>608</v>
      </c>
    </row>
    <row r="51" spans="1:16" x14ac:dyDescent="0.35">
      <c r="A51" s="133" t="s">
        <v>609</v>
      </c>
      <c r="B51" s="133"/>
      <c r="C51" s="133"/>
      <c r="D51" s="133"/>
      <c r="E51" s="133"/>
      <c r="F51" s="133"/>
      <c r="G51" s="133"/>
      <c r="H51" s="133"/>
      <c r="I51" s="133"/>
      <c r="J51" s="133"/>
      <c r="K51" s="133"/>
      <c r="L51" s="133"/>
      <c r="M51" s="133"/>
      <c r="N51" s="133"/>
      <c r="O51" s="133"/>
      <c r="P51" s="133"/>
    </row>
    <row r="52" spans="1:16" x14ac:dyDescent="0.35">
      <c r="A52" s="133" t="s">
        <v>610</v>
      </c>
      <c r="B52" s="133"/>
      <c r="C52" s="133"/>
      <c r="D52" s="133"/>
      <c r="E52" s="133"/>
      <c r="F52" s="133"/>
      <c r="G52" s="133"/>
      <c r="H52" s="133"/>
      <c r="I52" s="133"/>
      <c r="J52" s="133"/>
      <c r="K52" s="133"/>
      <c r="L52" s="133"/>
      <c r="M52" s="133"/>
      <c r="N52" s="133"/>
      <c r="O52" s="133"/>
      <c r="P52" s="133"/>
    </row>
    <row r="53" spans="1:16" x14ac:dyDescent="0.35">
      <c r="A53" s="133" t="s">
        <v>611</v>
      </c>
      <c r="B53" s="133"/>
      <c r="C53" s="133"/>
      <c r="D53" s="133"/>
      <c r="E53" s="133"/>
      <c r="F53" s="133"/>
      <c r="G53" s="133"/>
      <c r="H53" s="133"/>
      <c r="I53" s="133"/>
      <c r="J53" s="133"/>
      <c r="K53" s="133"/>
      <c r="L53" s="133"/>
      <c r="M53" s="133"/>
      <c r="N53" s="133"/>
      <c r="O53" s="133"/>
      <c r="P53" s="133"/>
    </row>
    <row r="54" spans="1:16" x14ac:dyDescent="0.35">
      <c r="A54" s="133" t="s">
        <v>612</v>
      </c>
      <c r="B54" s="133"/>
      <c r="C54" s="133"/>
      <c r="D54" s="133"/>
      <c r="E54" s="133"/>
      <c r="F54" s="133"/>
      <c r="G54" s="133"/>
      <c r="H54" s="133"/>
      <c r="I54" s="133"/>
      <c r="J54" s="133"/>
      <c r="K54" s="133"/>
      <c r="L54" s="133"/>
      <c r="M54" s="133"/>
      <c r="N54" s="133"/>
      <c r="O54" s="133"/>
      <c r="P54" s="133"/>
    </row>
    <row r="55" spans="1:16" x14ac:dyDescent="0.35">
      <c r="A55" s="133" t="s">
        <v>613</v>
      </c>
      <c r="B55" s="133"/>
      <c r="C55" s="133"/>
      <c r="D55" s="133"/>
      <c r="E55" s="133"/>
      <c r="F55" s="133"/>
      <c r="G55" s="133"/>
      <c r="H55" s="133"/>
      <c r="I55" s="133"/>
      <c r="J55" s="133"/>
      <c r="K55" s="133"/>
      <c r="L55" s="133"/>
      <c r="M55" s="133"/>
      <c r="N55" s="133"/>
      <c r="O55" s="133"/>
      <c r="P55" s="133"/>
    </row>
  </sheetData>
  <mergeCells count="6">
    <mergeCell ref="A1:P1"/>
    <mergeCell ref="A51:P51"/>
    <mergeCell ref="A52:P52"/>
    <mergeCell ref="A53:P53"/>
    <mergeCell ref="A54:P54"/>
    <mergeCell ref="A55:P5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qref="A1:H1"/>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7" t="s">
        <v>123</v>
      </c>
      <c r="B3" s="98"/>
      <c r="C3" s="98"/>
      <c r="D3" s="98"/>
      <c r="E3" s="98"/>
      <c r="F3" s="98"/>
      <c r="G3" s="98"/>
      <c r="H3" s="98"/>
    </row>
    <row r="4" spans="1:8" x14ac:dyDescent="0.35">
      <c r="A4" s="104" t="s">
        <v>124</v>
      </c>
      <c r="B4" s="89"/>
      <c r="C4" s="16" t="s">
        <v>125</v>
      </c>
      <c r="D4" s="92" t="s">
        <v>126</v>
      </c>
      <c r="E4" s="89"/>
      <c r="F4" s="89"/>
      <c r="G4" s="89"/>
      <c r="H4" s="89"/>
    </row>
    <row r="5" spans="1:8" x14ac:dyDescent="0.35">
      <c r="A5" s="104" t="s">
        <v>127</v>
      </c>
      <c r="B5" s="89"/>
      <c r="C5" s="42">
        <v>50</v>
      </c>
      <c r="D5" s="92" t="s">
        <v>128</v>
      </c>
      <c r="E5" s="89"/>
      <c r="F5" s="89"/>
      <c r="G5" s="89"/>
      <c r="H5" s="89"/>
    </row>
    <row r="6" spans="1:8" x14ac:dyDescent="0.35">
      <c r="A6" s="104" t="s">
        <v>129</v>
      </c>
      <c r="B6" s="89"/>
      <c r="C6" s="16" t="s">
        <v>130</v>
      </c>
      <c r="D6" s="92" t="s">
        <v>131</v>
      </c>
      <c r="E6" s="89"/>
      <c r="F6" s="89"/>
      <c r="G6" s="89"/>
      <c r="H6" s="89"/>
    </row>
    <row r="7" spans="1:8" x14ac:dyDescent="0.35">
      <c r="A7" s="104" t="s">
        <v>132</v>
      </c>
      <c r="B7" s="89"/>
      <c r="C7" s="20">
        <v>0.2</v>
      </c>
      <c r="D7" s="92" t="str">
        <f>"Suggested for this format: "&amp;TEXT(VLOOKUP(BatchFormat,FormatDefaults,2,FALSE),"0.0%")&amp;"   (range "&amp;TEXT(VLOOKUP(BatchFormat,FormatDefaults,3,FALSE),"0.0%")&amp;" – "&amp;TEXT(VLOOKUP(BatchFormat,FormatDefaults,4,FALSE),"0.0%")&amp;")"</f>
        <v>Suggested for this format: 20.0%   (range 12.0% – 30.0%)</v>
      </c>
      <c r="E7" s="89"/>
      <c r="F7" s="89"/>
      <c r="G7" s="89"/>
      <c r="H7" s="89"/>
    </row>
    <row r="8" spans="1:8" x14ac:dyDescent="0.35">
      <c r="A8" s="104" t="s">
        <v>133</v>
      </c>
      <c r="B8" s="89"/>
      <c r="C8" s="43">
        <v>0.85</v>
      </c>
      <c r="D8" s="92"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2" t="s">
        <v>135</v>
      </c>
      <c r="E9" s="89"/>
      <c r="F9" s="89"/>
      <c r="G9" s="89"/>
      <c r="H9" s="89"/>
    </row>
    <row r="10" spans="1:8" x14ac:dyDescent="0.35">
      <c r="A10" s="1"/>
      <c r="B10" s="1"/>
      <c r="C10" s="1"/>
      <c r="D10" s="1"/>
      <c r="E10" s="1"/>
      <c r="F10" s="1"/>
      <c r="G10" s="1"/>
      <c r="H10" s="1"/>
    </row>
    <row r="11" spans="1:8" ht="18" customHeight="1" x14ac:dyDescent="0.35">
      <c r="A11" s="97" t="s">
        <v>136</v>
      </c>
      <c r="B11" s="98"/>
      <c r="C11" s="98"/>
      <c r="D11" s="98"/>
      <c r="E11" s="98"/>
      <c r="F11" s="98"/>
      <c r="G11" s="98"/>
      <c r="H11" s="98"/>
    </row>
    <row r="12" spans="1:8" x14ac:dyDescent="0.35">
      <c r="A12" s="88" t="s">
        <v>137</v>
      </c>
      <c r="B12" s="89"/>
      <c r="C12" s="20">
        <v>0</v>
      </c>
      <c r="D12" s="11" t="s">
        <v>138</v>
      </c>
      <c r="E12" s="120" t="s">
        <v>139</v>
      </c>
      <c r="F12" s="89"/>
      <c r="G12" s="89"/>
      <c r="H12" s="1"/>
    </row>
    <row r="13" spans="1:8" x14ac:dyDescent="0.35">
      <c r="A13" s="88" t="s">
        <v>140</v>
      </c>
      <c r="B13" s="89"/>
      <c r="C13" s="20">
        <v>0.02</v>
      </c>
      <c r="D13" s="11" t="s">
        <v>141</v>
      </c>
      <c r="E13" s="88" t="s">
        <v>142</v>
      </c>
      <c r="F13" s="89"/>
      <c r="G13" s="20">
        <v>0.03</v>
      </c>
      <c r="H13" s="1"/>
    </row>
    <row r="14" spans="1:8" x14ac:dyDescent="0.35">
      <c r="A14" s="88" t="s">
        <v>143</v>
      </c>
      <c r="B14" s="89"/>
      <c r="C14" s="20">
        <v>0.05</v>
      </c>
      <c r="D14" s="11" t="s">
        <v>144</v>
      </c>
      <c r="E14" s="88" t="s">
        <v>145</v>
      </c>
      <c r="F14" s="89"/>
      <c r="G14" s="20">
        <v>0.05</v>
      </c>
      <c r="H14" s="1"/>
    </row>
    <row r="15" spans="1:8" x14ac:dyDescent="0.35">
      <c r="A15" s="88" t="s">
        <v>146</v>
      </c>
      <c r="B15" s="89"/>
      <c r="C15" s="45">
        <v>4</v>
      </c>
      <c r="D15" s="11" t="s">
        <v>147</v>
      </c>
      <c r="E15" s="88" t="s">
        <v>148</v>
      </c>
      <c r="F15" s="89"/>
      <c r="G15" s="20">
        <v>0.02</v>
      </c>
      <c r="H15" s="1"/>
    </row>
    <row r="16" spans="1:8" x14ac:dyDescent="0.35">
      <c r="A16" s="88" t="s">
        <v>149</v>
      </c>
      <c r="B16" s="89"/>
      <c r="C16" s="20">
        <v>2.5000000000000001E-2</v>
      </c>
      <c r="D16" s="11" t="s">
        <v>150</v>
      </c>
      <c r="E16" s="88" t="s">
        <v>151</v>
      </c>
      <c r="F16" s="89"/>
      <c r="G16" s="20">
        <v>0.15</v>
      </c>
      <c r="H16" s="1"/>
    </row>
    <row r="17" spans="1:8" x14ac:dyDescent="0.35">
      <c r="A17" s="88" t="s">
        <v>152</v>
      </c>
      <c r="B17" s="89"/>
      <c r="C17" s="20">
        <v>8.0000000000000002E-3</v>
      </c>
      <c r="D17" s="11" t="s">
        <v>153</v>
      </c>
      <c r="E17" s="88" t="s">
        <v>154</v>
      </c>
      <c r="F17" s="89"/>
      <c r="G17" s="20">
        <v>0.05</v>
      </c>
      <c r="H17" s="1"/>
    </row>
    <row r="18" spans="1:8" x14ac:dyDescent="0.35">
      <c r="A18" s="88" t="s">
        <v>155</v>
      </c>
      <c r="B18" s="89"/>
      <c r="C18" s="20">
        <v>5.0000000000000001E-3</v>
      </c>
      <c r="D18" s="11" t="s">
        <v>156</v>
      </c>
      <c r="E18" s="88" t="s">
        <v>157</v>
      </c>
      <c r="F18" s="89"/>
      <c r="G18" s="20">
        <v>0.01</v>
      </c>
      <c r="H18" s="1"/>
    </row>
    <row r="19" spans="1:8" x14ac:dyDescent="0.35">
      <c r="A19" s="1"/>
      <c r="B19" s="1"/>
      <c r="C19" s="1"/>
      <c r="D19" s="1"/>
      <c r="E19" s="1"/>
      <c r="F19" s="1"/>
      <c r="G19" s="1"/>
      <c r="H19" s="1"/>
    </row>
    <row r="20" spans="1:8" ht="18" customHeight="1" x14ac:dyDescent="0.35">
      <c r="A20" s="97" t="s">
        <v>158</v>
      </c>
      <c r="B20" s="98"/>
      <c r="C20" s="98"/>
      <c r="D20" s="98"/>
      <c r="E20" s="98"/>
      <c r="F20" s="98"/>
      <c r="G20" s="98"/>
      <c r="H20" s="98"/>
    </row>
    <row r="21" spans="1:8" x14ac:dyDescent="0.35">
      <c r="A21" s="104" t="s">
        <v>159</v>
      </c>
      <c r="B21" s="89"/>
      <c r="C21" s="46">
        <f>IF(BatchUnit="g",BatchSize,BatchSize*FinishedDensity)</f>
        <v>42.5</v>
      </c>
      <c r="D21" s="92" t="s">
        <v>160</v>
      </c>
      <c r="E21" s="89"/>
      <c r="F21" s="89"/>
      <c r="G21" s="89"/>
      <c r="H21" s="89"/>
    </row>
    <row r="22" spans="1:8" x14ac:dyDescent="0.35">
      <c r="A22" s="104" t="s">
        <v>161</v>
      </c>
      <c r="B22" s="89"/>
      <c r="C22" s="46">
        <f>IF(BatchUnit="ml",BatchSize,BatchSize/FinishedDensity)</f>
        <v>50</v>
      </c>
      <c r="D22" s="92" t="s">
        <v>162</v>
      </c>
      <c r="E22" s="89"/>
      <c r="F22" s="89"/>
      <c r="G22" s="89"/>
      <c r="H22" s="89"/>
    </row>
    <row r="23" spans="1:8" x14ac:dyDescent="0.35">
      <c r="A23" s="104" t="s">
        <v>163</v>
      </c>
      <c r="B23" s="89"/>
      <c r="C23" s="46">
        <f>TotalMassG*ConcPct</f>
        <v>8.5</v>
      </c>
      <c r="D23" s="92" t="s">
        <v>164</v>
      </c>
      <c r="E23" s="89"/>
      <c r="F23" s="89"/>
      <c r="G23" s="89"/>
      <c r="H23" s="89"/>
    </row>
    <row r="24" spans="1:8" x14ac:dyDescent="0.35">
      <c r="A24" s="104" t="s">
        <v>165</v>
      </c>
      <c r="B24" s="89"/>
      <c r="C24" s="46">
        <f>ConcG*ConcCostPerGLoaded+SUMPRODUCT(AuxGrams,AuxCostPerG)</f>
        <v>27.32228093343122</v>
      </c>
      <c r="D24" s="92" t="s">
        <v>166</v>
      </c>
      <c r="E24" s="89"/>
      <c r="F24" s="89"/>
      <c r="G24" s="89"/>
      <c r="H24" s="89"/>
    </row>
    <row r="25" spans="1:8" x14ac:dyDescent="0.35">
      <c r="A25" s="104" t="s">
        <v>20</v>
      </c>
      <c r="B25" s="89"/>
      <c r="C25" s="46">
        <f>IF(BatchVolMl=0,"",BatchCostSAR/BatchVolMl)</f>
        <v>0.5464456186686244</v>
      </c>
      <c r="D25" s="92"/>
      <c r="E25" s="89"/>
      <c r="F25" s="89"/>
      <c r="G25" s="89"/>
      <c r="H25" s="89"/>
    </row>
    <row r="26" spans="1:8" x14ac:dyDescent="0.35">
      <c r="A26" s="1"/>
      <c r="B26" s="1"/>
      <c r="C26" s="1"/>
      <c r="D26" s="1"/>
      <c r="E26" s="1"/>
      <c r="F26" s="1"/>
      <c r="G26" s="1"/>
      <c r="H26" s="1"/>
    </row>
    <row r="27" spans="1:8" ht="18" customHeight="1" x14ac:dyDescent="0.35">
      <c r="A27" s="97" t="s">
        <v>167</v>
      </c>
      <c r="B27" s="98"/>
      <c r="C27" s="98"/>
      <c r="D27" s="98"/>
      <c r="E27" s="98"/>
      <c r="F27" s="98"/>
      <c r="G27" s="98"/>
      <c r="H27" s="98"/>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0" t="s">
        <v>86</v>
      </c>
      <c r="C29" s="111"/>
      <c r="D29" s="22">
        <f t="shared" ref="D29:D53" si="0">INDEX(FM_Active,MATCH($B29,FM_Mat,0))</f>
        <v>7.0000000000000007E-2</v>
      </c>
      <c r="E29" s="10">
        <f t="shared" ref="E29:E53" si="1">ConcG*D29</f>
        <v>0.59500000000000008</v>
      </c>
      <c r="F29" s="18" t="str">
        <f t="shared" ref="F29:F53" si="2">IF(INDEX(FM_D10,MATCH($B29,FM_Mat,0))="D10","10% in DPG","neat")</f>
        <v>neat</v>
      </c>
      <c r="G29" s="47">
        <f t="shared" ref="G29:G53" si="3">E29*IF(INDEX(FM_D10,MATCH($B29,FM_Mat,0))="D10",0.1,1)</f>
        <v>0.59500000000000008</v>
      </c>
      <c r="H29" s="19"/>
    </row>
    <row r="30" spans="1:8" x14ac:dyDescent="0.35">
      <c r="A30" s="18" t="s">
        <v>85</v>
      </c>
      <c r="B30" s="110" t="s">
        <v>88</v>
      </c>
      <c r="C30" s="111"/>
      <c r="D30" s="22">
        <f t="shared" si="0"/>
        <v>2.5000000000000001E-2</v>
      </c>
      <c r="E30" s="10">
        <f t="shared" si="1"/>
        <v>0.21250000000000002</v>
      </c>
      <c r="F30" s="18" t="str">
        <f t="shared" si="2"/>
        <v>neat</v>
      </c>
      <c r="G30" s="47">
        <f t="shared" si="3"/>
        <v>0.21250000000000002</v>
      </c>
      <c r="H30" s="19"/>
    </row>
    <row r="31" spans="1:8" x14ac:dyDescent="0.35">
      <c r="A31" s="18" t="s">
        <v>85</v>
      </c>
      <c r="B31" s="110" t="s">
        <v>90</v>
      </c>
      <c r="C31" s="111"/>
      <c r="D31" s="22">
        <f t="shared" si="0"/>
        <v>0.02</v>
      </c>
      <c r="E31" s="10">
        <f t="shared" si="1"/>
        <v>0.17</v>
      </c>
      <c r="F31" s="18" t="str">
        <f t="shared" si="2"/>
        <v>10% in DPG</v>
      </c>
      <c r="G31" s="47">
        <f t="shared" si="3"/>
        <v>1.7000000000000001E-2</v>
      </c>
      <c r="H31" s="19"/>
    </row>
    <row r="32" spans="1:8" x14ac:dyDescent="0.35">
      <c r="A32" s="18" t="s">
        <v>85</v>
      </c>
      <c r="B32" s="110" t="s">
        <v>92</v>
      </c>
      <c r="C32" s="111"/>
      <c r="D32" s="22">
        <f t="shared" si="0"/>
        <v>4.4999999999999998E-2</v>
      </c>
      <c r="E32" s="10">
        <f t="shared" si="1"/>
        <v>0.38250000000000001</v>
      </c>
      <c r="F32" s="18" t="str">
        <f t="shared" si="2"/>
        <v>neat</v>
      </c>
      <c r="G32" s="47">
        <f t="shared" si="3"/>
        <v>0.38250000000000001</v>
      </c>
      <c r="H32" s="19"/>
    </row>
    <row r="33" spans="1:8" x14ac:dyDescent="0.35">
      <c r="A33" s="18" t="s">
        <v>85</v>
      </c>
      <c r="B33" s="110" t="s">
        <v>94</v>
      </c>
      <c r="C33" s="111"/>
      <c r="D33" s="22">
        <f t="shared" si="0"/>
        <v>2.5000000000000001E-2</v>
      </c>
      <c r="E33" s="10">
        <f t="shared" si="1"/>
        <v>0.21250000000000002</v>
      </c>
      <c r="F33" s="18" t="str">
        <f t="shared" si="2"/>
        <v>neat</v>
      </c>
      <c r="G33" s="47">
        <f t="shared" si="3"/>
        <v>0.21250000000000002</v>
      </c>
      <c r="H33" s="19"/>
    </row>
    <row r="34" spans="1:8" x14ac:dyDescent="0.35">
      <c r="A34" s="18" t="s">
        <v>85</v>
      </c>
      <c r="B34" s="110" t="s">
        <v>96</v>
      </c>
      <c r="C34" s="111"/>
      <c r="D34" s="22">
        <f t="shared" si="0"/>
        <v>1.4999999999999999E-2</v>
      </c>
      <c r="E34" s="10">
        <f t="shared" si="1"/>
        <v>0.1275</v>
      </c>
      <c r="F34" s="18" t="str">
        <f t="shared" si="2"/>
        <v>10% in DPG</v>
      </c>
      <c r="G34" s="47">
        <f t="shared" si="3"/>
        <v>1.2750000000000001E-2</v>
      </c>
      <c r="H34" s="19"/>
    </row>
    <row r="35" spans="1:8" x14ac:dyDescent="0.35">
      <c r="A35" s="18" t="s">
        <v>85</v>
      </c>
      <c r="B35" s="110" t="s">
        <v>98</v>
      </c>
      <c r="C35" s="111"/>
      <c r="D35" s="22">
        <f t="shared" si="0"/>
        <v>7.4999999999999997E-2</v>
      </c>
      <c r="E35" s="10">
        <f t="shared" si="1"/>
        <v>0.63749999999999996</v>
      </c>
      <c r="F35" s="18" t="str">
        <f t="shared" si="2"/>
        <v>neat</v>
      </c>
      <c r="G35" s="47">
        <f t="shared" si="3"/>
        <v>0.63749999999999996</v>
      </c>
      <c r="H35" s="19"/>
    </row>
    <row r="36" spans="1:8" x14ac:dyDescent="0.35">
      <c r="A36" s="18" t="s">
        <v>85</v>
      </c>
      <c r="B36" s="110" t="s">
        <v>100</v>
      </c>
      <c r="C36" s="111"/>
      <c r="D36" s="22">
        <f t="shared" si="0"/>
        <v>9.5000000000000001E-2</v>
      </c>
      <c r="E36" s="10">
        <f t="shared" si="1"/>
        <v>0.8075</v>
      </c>
      <c r="F36" s="18" t="str">
        <f t="shared" si="2"/>
        <v>neat</v>
      </c>
      <c r="G36" s="47">
        <f t="shared" si="3"/>
        <v>0.8075</v>
      </c>
      <c r="H36" s="19"/>
    </row>
    <row r="37" spans="1:8" x14ac:dyDescent="0.35">
      <c r="A37" s="18" t="s">
        <v>85</v>
      </c>
      <c r="B37" s="110" t="s">
        <v>102</v>
      </c>
      <c r="C37" s="111"/>
      <c r="D37" s="22">
        <f t="shared" si="0"/>
        <v>0.03</v>
      </c>
      <c r="E37" s="10">
        <f t="shared" si="1"/>
        <v>0.255</v>
      </c>
      <c r="F37" s="18" t="str">
        <f t="shared" si="2"/>
        <v>neat</v>
      </c>
      <c r="G37" s="47">
        <f t="shared" si="3"/>
        <v>0.255</v>
      </c>
      <c r="H37" s="19"/>
    </row>
    <row r="38" spans="1:8" x14ac:dyDescent="0.35">
      <c r="A38" s="18" t="s">
        <v>85</v>
      </c>
      <c r="B38" s="110" t="s">
        <v>104</v>
      </c>
      <c r="C38" s="111"/>
      <c r="D38" s="22">
        <f t="shared" si="0"/>
        <v>3.5000000000000003E-2</v>
      </c>
      <c r="E38" s="10">
        <f t="shared" si="1"/>
        <v>0.29750000000000004</v>
      </c>
      <c r="F38" s="18" t="str">
        <f t="shared" si="2"/>
        <v>neat</v>
      </c>
      <c r="G38" s="47">
        <f t="shared" si="3"/>
        <v>0.29750000000000004</v>
      </c>
      <c r="H38" s="19"/>
    </row>
    <row r="39" spans="1:8" x14ac:dyDescent="0.35">
      <c r="A39" s="18" t="s">
        <v>85</v>
      </c>
      <c r="B39" s="110" t="s">
        <v>106</v>
      </c>
      <c r="C39" s="111"/>
      <c r="D39" s="22">
        <f t="shared" si="0"/>
        <v>7.4999999999999997E-2</v>
      </c>
      <c r="E39" s="10">
        <f t="shared" si="1"/>
        <v>0.63749999999999996</v>
      </c>
      <c r="F39" s="18" t="str">
        <f t="shared" si="2"/>
        <v>neat</v>
      </c>
      <c r="G39" s="47">
        <f t="shared" si="3"/>
        <v>0.63749999999999996</v>
      </c>
      <c r="H39" s="19"/>
    </row>
    <row r="40" spans="1:8" x14ac:dyDescent="0.35">
      <c r="A40" s="18" t="s">
        <v>85</v>
      </c>
      <c r="B40" s="110" t="s">
        <v>108</v>
      </c>
      <c r="C40" s="111"/>
      <c r="D40" s="22">
        <f t="shared" si="0"/>
        <v>5.5E-2</v>
      </c>
      <c r="E40" s="10">
        <f t="shared" si="1"/>
        <v>0.46750000000000003</v>
      </c>
      <c r="F40" s="18" t="str">
        <f t="shared" si="2"/>
        <v>neat</v>
      </c>
      <c r="G40" s="47">
        <f t="shared" si="3"/>
        <v>0.46750000000000003</v>
      </c>
      <c r="H40" s="19"/>
    </row>
    <row r="41" spans="1:8" x14ac:dyDescent="0.35">
      <c r="A41" s="18" t="s">
        <v>85</v>
      </c>
      <c r="B41" s="110" t="s">
        <v>110</v>
      </c>
      <c r="C41" s="111"/>
      <c r="D41" s="22">
        <f t="shared" si="0"/>
        <v>2.5000000000000001E-2</v>
      </c>
      <c r="E41" s="10">
        <f t="shared" si="1"/>
        <v>0.21250000000000002</v>
      </c>
      <c r="F41" s="18" t="str">
        <f t="shared" si="2"/>
        <v>neat</v>
      </c>
      <c r="G41" s="47">
        <f t="shared" si="3"/>
        <v>0.21250000000000002</v>
      </c>
      <c r="H41" s="19"/>
    </row>
    <row r="42" spans="1:8" x14ac:dyDescent="0.35">
      <c r="A42" s="18" t="s">
        <v>85</v>
      </c>
      <c r="B42" s="110" t="s">
        <v>112</v>
      </c>
      <c r="C42" s="111"/>
      <c r="D42" s="22">
        <f t="shared" si="0"/>
        <v>5.0000000000000001E-3</v>
      </c>
      <c r="E42" s="10">
        <f t="shared" si="1"/>
        <v>4.2500000000000003E-2</v>
      </c>
      <c r="F42" s="18" t="str">
        <f t="shared" si="2"/>
        <v>neat</v>
      </c>
      <c r="G42" s="47">
        <f t="shared" si="3"/>
        <v>4.2500000000000003E-2</v>
      </c>
      <c r="H42" s="19"/>
    </row>
    <row r="43" spans="1:8" x14ac:dyDescent="0.35">
      <c r="A43" s="25" t="s">
        <v>69</v>
      </c>
      <c r="B43" s="112" t="s">
        <v>70</v>
      </c>
      <c r="C43" s="111"/>
      <c r="D43" s="28">
        <f t="shared" si="0"/>
        <v>0.14699999999999999</v>
      </c>
      <c r="E43" s="48">
        <f t="shared" si="1"/>
        <v>1.2494999999999998</v>
      </c>
      <c r="F43" s="25" t="str">
        <f t="shared" si="2"/>
        <v>neat</v>
      </c>
      <c r="G43" s="49">
        <f t="shared" si="3"/>
        <v>1.2494999999999998</v>
      </c>
      <c r="H43" s="26"/>
    </row>
    <row r="44" spans="1:8" x14ac:dyDescent="0.35">
      <c r="A44" s="25" t="s">
        <v>69</v>
      </c>
      <c r="B44" s="112" t="s">
        <v>72</v>
      </c>
      <c r="C44" s="111"/>
      <c r="D44" s="28">
        <f t="shared" si="0"/>
        <v>0.03</v>
      </c>
      <c r="E44" s="48">
        <f t="shared" si="1"/>
        <v>0.255</v>
      </c>
      <c r="F44" s="25" t="str">
        <f t="shared" si="2"/>
        <v>neat</v>
      </c>
      <c r="G44" s="49">
        <f t="shared" si="3"/>
        <v>0.255</v>
      </c>
      <c r="H44" s="26"/>
    </row>
    <row r="45" spans="1:8" x14ac:dyDescent="0.35">
      <c r="A45" s="25" t="s">
        <v>69</v>
      </c>
      <c r="B45" s="112" t="s">
        <v>74</v>
      </c>
      <c r="C45" s="111"/>
      <c r="D45" s="28">
        <f t="shared" si="0"/>
        <v>1.4999999999999999E-2</v>
      </c>
      <c r="E45" s="48">
        <f t="shared" si="1"/>
        <v>0.1275</v>
      </c>
      <c r="F45" s="25" t="str">
        <f t="shared" si="2"/>
        <v>neat</v>
      </c>
      <c r="G45" s="49">
        <f t="shared" si="3"/>
        <v>0.1275</v>
      </c>
      <c r="H45" s="26"/>
    </row>
    <row r="46" spans="1:8" x14ac:dyDescent="0.35">
      <c r="A46" s="25" t="s">
        <v>69</v>
      </c>
      <c r="B46" s="112" t="s">
        <v>76</v>
      </c>
      <c r="C46" s="111"/>
      <c r="D46" s="28">
        <f t="shared" si="0"/>
        <v>0.04</v>
      </c>
      <c r="E46" s="48">
        <f t="shared" si="1"/>
        <v>0.34</v>
      </c>
      <c r="F46" s="25" t="str">
        <f t="shared" si="2"/>
        <v>neat</v>
      </c>
      <c r="G46" s="49">
        <f t="shared" si="3"/>
        <v>0.34</v>
      </c>
      <c r="H46" s="26"/>
    </row>
    <row r="47" spans="1:8" x14ac:dyDescent="0.35">
      <c r="A47" s="25" t="s">
        <v>69</v>
      </c>
      <c r="B47" s="112" t="s">
        <v>78</v>
      </c>
      <c r="C47" s="111"/>
      <c r="D47" s="28">
        <f t="shared" si="0"/>
        <v>7.0000000000000007E-2</v>
      </c>
      <c r="E47" s="48">
        <f t="shared" si="1"/>
        <v>0.59500000000000008</v>
      </c>
      <c r="F47" s="25" t="str">
        <f t="shared" si="2"/>
        <v>neat</v>
      </c>
      <c r="G47" s="49">
        <f t="shared" si="3"/>
        <v>0.59500000000000008</v>
      </c>
      <c r="H47" s="26"/>
    </row>
    <row r="48" spans="1:8" x14ac:dyDescent="0.35">
      <c r="A48" s="25" t="s">
        <v>69</v>
      </c>
      <c r="B48" s="112" t="s">
        <v>80</v>
      </c>
      <c r="C48" s="111"/>
      <c r="D48" s="28">
        <f t="shared" si="0"/>
        <v>1.4999999999999999E-2</v>
      </c>
      <c r="E48" s="48">
        <f t="shared" si="1"/>
        <v>0.1275</v>
      </c>
      <c r="F48" s="25" t="str">
        <f t="shared" si="2"/>
        <v>neat</v>
      </c>
      <c r="G48" s="49">
        <f t="shared" si="3"/>
        <v>0.1275</v>
      </c>
      <c r="H48" s="26"/>
    </row>
    <row r="49" spans="1:8" x14ac:dyDescent="0.35">
      <c r="A49" s="25" t="s">
        <v>69</v>
      </c>
      <c r="B49" s="112" t="s">
        <v>82</v>
      </c>
      <c r="C49" s="111"/>
      <c r="D49" s="28">
        <f t="shared" si="0"/>
        <v>3.0000000000000001E-3</v>
      </c>
      <c r="E49" s="48">
        <f t="shared" si="1"/>
        <v>2.5500000000000002E-2</v>
      </c>
      <c r="F49" s="25" t="str">
        <f t="shared" si="2"/>
        <v>10% in DPG</v>
      </c>
      <c r="G49" s="49">
        <f t="shared" si="3"/>
        <v>2.5500000000000002E-3</v>
      </c>
      <c r="H49" s="26"/>
    </row>
    <row r="50" spans="1:8" x14ac:dyDescent="0.35">
      <c r="A50" s="18" t="s">
        <v>60</v>
      </c>
      <c r="B50" s="110" t="s">
        <v>61</v>
      </c>
      <c r="C50" s="111"/>
      <c r="D50" s="22">
        <f t="shared" si="0"/>
        <v>4.4999999999999998E-2</v>
      </c>
      <c r="E50" s="10">
        <f t="shared" si="1"/>
        <v>0.38250000000000001</v>
      </c>
      <c r="F50" s="18" t="str">
        <f t="shared" si="2"/>
        <v>neat</v>
      </c>
      <c r="G50" s="47">
        <f t="shared" si="3"/>
        <v>0.38250000000000001</v>
      </c>
      <c r="H50" s="19"/>
    </row>
    <row r="51" spans="1:8" x14ac:dyDescent="0.35">
      <c r="A51" s="18" t="s">
        <v>60</v>
      </c>
      <c r="B51" s="110" t="s">
        <v>63</v>
      </c>
      <c r="C51" s="111"/>
      <c r="D51" s="22">
        <f t="shared" si="0"/>
        <v>0.01</v>
      </c>
      <c r="E51" s="10">
        <f t="shared" si="1"/>
        <v>8.5000000000000006E-2</v>
      </c>
      <c r="F51" s="18" t="str">
        <f t="shared" si="2"/>
        <v>10% in DPG</v>
      </c>
      <c r="G51" s="47">
        <f t="shared" si="3"/>
        <v>8.5000000000000006E-3</v>
      </c>
      <c r="H51" s="19"/>
    </row>
    <row r="52" spans="1:8" x14ac:dyDescent="0.35">
      <c r="A52" s="18" t="s">
        <v>60</v>
      </c>
      <c r="B52" s="110" t="s">
        <v>65</v>
      </c>
      <c r="C52" s="111"/>
      <c r="D52" s="22">
        <f t="shared" si="0"/>
        <v>0.02</v>
      </c>
      <c r="E52" s="10">
        <f t="shared" si="1"/>
        <v>0.17</v>
      </c>
      <c r="F52" s="18" t="str">
        <f t="shared" si="2"/>
        <v>neat</v>
      </c>
      <c r="G52" s="47">
        <f t="shared" si="3"/>
        <v>0.17</v>
      </c>
      <c r="H52" s="19"/>
    </row>
    <row r="53" spans="1:8" x14ac:dyDescent="0.35">
      <c r="A53" s="18" t="s">
        <v>60</v>
      </c>
      <c r="B53" s="110" t="s">
        <v>67</v>
      </c>
      <c r="C53" s="111"/>
      <c r="D53" s="22">
        <f t="shared" si="0"/>
        <v>0.01</v>
      </c>
      <c r="E53" s="10">
        <f t="shared" si="1"/>
        <v>8.5000000000000006E-2</v>
      </c>
      <c r="F53" s="18" t="str">
        <f t="shared" si="2"/>
        <v>neat</v>
      </c>
      <c r="G53" s="47">
        <f t="shared" si="3"/>
        <v>8.5000000000000006E-2</v>
      </c>
      <c r="H53" s="19"/>
    </row>
    <row r="54" spans="1:8" x14ac:dyDescent="0.35">
      <c r="A54" s="121" t="s">
        <v>173</v>
      </c>
      <c r="B54" s="89"/>
      <c r="C54" s="89"/>
      <c r="D54" s="89"/>
      <c r="E54" s="50">
        <f>SUM(E29:E53)</f>
        <v>8.5000000000000018</v>
      </c>
      <c r="F54" s="51" t="str">
        <f>IF(ABS(E54-ConcG)&lt;0.005,"✓","⚠")</f>
        <v>✓</v>
      </c>
      <c r="G54" s="52">
        <f>SUM(G29:G53)</f>
        <v>8.1328000000000031</v>
      </c>
      <c r="H54" s="1"/>
    </row>
    <row r="55" spans="1:8" x14ac:dyDescent="0.35">
      <c r="A55" s="1"/>
      <c r="B55" s="1"/>
      <c r="C55" s="1"/>
      <c r="D55" s="1"/>
      <c r="E55" s="1"/>
      <c r="F55" s="1"/>
      <c r="G55" s="1"/>
      <c r="H55" s="1"/>
    </row>
    <row r="56" spans="1:8" ht="18" customHeight="1" x14ac:dyDescent="0.35">
      <c r="A56" s="97" t="s">
        <v>174</v>
      </c>
      <c r="B56" s="98"/>
      <c r="C56" s="98"/>
      <c r="D56" s="98"/>
      <c r="E56" s="98"/>
      <c r="F56" s="98"/>
      <c r="G56" s="98"/>
      <c r="H56" s="98"/>
    </row>
    <row r="57" spans="1:8" ht="24" customHeight="1" x14ac:dyDescent="0.35">
      <c r="A57" s="115" t="s">
        <v>175</v>
      </c>
      <c r="B57" s="116"/>
      <c r="C57" s="117"/>
      <c r="D57" s="17" t="s">
        <v>176</v>
      </c>
      <c r="E57" s="115" t="s">
        <v>177</v>
      </c>
      <c r="F57" s="116"/>
      <c r="G57" s="116"/>
      <c r="H57" s="117"/>
    </row>
    <row r="58" spans="1:8" x14ac:dyDescent="0.35">
      <c r="A58" s="114" t="s">
        <v>178</v>
      </c>
      <c r="B58" s="111"/>
      <c r="C58" s="111"/>
      <c r="D58" s="10">
        <f>IF(OR(BatchFormat="Eau de Parfum",BatchFormat="Extrait de Parfum"),TotalMassG-ConcG-TotalMassG*WaterPct,IF(BatchFormat="Alcohol Body Mist",TotalMassG-ConcG-TotalMassG*MistGlyPct-TotalMassG*MistWaterPct,0))</f>
        <v>34</v>
      </c>
      <c r="E58" s="113" t="s">
        <v>179</v>
      </c>
      <c r="F58" s="111"/>
      <c r="G58" s="111"/>
      <c r="H58" s="111"/>
    </row>
    <row r="59" spans="1:8" x14ac:dyDescent="0.35">
      <c r="A59" s="114"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3" t="s">
        <v>181</v>
      </c>
      <c r="F59" s="111"/>
      <c r="G59" s="111"/>
      <c r="H59" s="111"/>
    </row>
    <row r="60" spans="1:8" x14ac:dyDescent="0.35">
      <c r="A60" s="114" t="s">
        <v>182</v>
      </c>
      <c r="B60" s="111"/>
      <c r="C60" s="111"/>
      <c r="D60" s="10">
        <f>IF(BatchFormat="Alcohol Body Mist",TotalMassG*MistGlyPct,IF(BatchFormat="Water-Based Mist",TotalMassG*WMGlyPct,IF(BatchFormat="Cream Route 2 (from scratch)",TotalMassG*CR2GlyPct,0)))</f>
        <v>0</v>
      </c>
      <c r="E60" s="113" t="s">
        <v>183</v>
      </c>
      <c r="F60" s="111"/>
      <c r="G60" s="111"/>
      <c r="H60" s="111"/>
    </row>
    <row r="61" spans="1:8" x14ac:dyDescent="0.35">
      <c r="A61" s="114" t="s">
        <v>184</v>
      </c>
      <c r="B61" s="111"/>
      <c r="C61" s="111"/>
      <c r="D61" s="10">
        <f>IF(BatchFormat="Water-Based Mist",ConcG*SolubRatio,0)</f>
        <v>0</v>
      </c>
      <c r="E61" s="113" t="s">
        <v>185</v>
      </c>
      <c r="F61" s="111"/>
      <c r="G61" s="111"/>
      <c r="H61" s="111"/>
    </row>
    <row r="62" spans="1:8" x14ac:dyDescent="0.35">
      <c r="A62" s="114" t="s">
        <v>186</v>
      </c>
      <c r="B62" s="111"/>
      <c r="C62" s="111"/>
      <c r="D62" s="10">
        <f>IF(BatchFormat="Water-Based Mist",TotalMassG*WMPresPct,IF(BatchFormat="Cream Route 2 (from scratch)",TotalMassG*CR2PresPct,0))</f>
        <v>0</v>
      </c>
      <c r="E62" s="113" t="s">
        <v>187</v>
      </c>
      <c r="F62" s="111"/>
      <c r="G62" s="111"/>
      <c r="H62" s="111"/>
    </row>
    <row r="63" spans="1:8" x14ac:dyDescent="0.35">
      <c r="A63" s="114" t="s">
        <v>188</v>
      </c>
      <c r="B63" s="111"/>
      <c r="C63" s="111"/>
      <c r="D63" s="10">
        <f>IF(BatchFormat="Cream Route 1 (scented base)",TotalMassG-ConcG,0)</f>
        <v>0</v>
      </c>
      <c r="E63" s="113" t="s">
        <v>189</v>
      </c>
      <c r="F63" s="111"/>
      <c r="G63" s="111"/>
      <c r="H63" s="111"/>
    </row>
    <row r="64" spans="1:8" x14ac:dyDescent="0.35">
      <c r="A64" s="114" t="s">
        <v>145</v>
      </c>
      <c r="B64" s="111"/>
      <c r="C64" s="111"/>
      <c r="D64" s="10">
        <f>IF(BatchFormat="Cream Route 2 (from scratch)",TotalMassG*CR2EwaxPct,0)</f>
        <v>0</v>
      </c>
      <c r="E64" s="113" t="s">
        <v>190</v>
      </c>
      <c r="F64" s="111"/>
      <c r="G64" s="111"/>
      <c r="H64" s="111"/>
    </row>
    <row r="65" spans="1:8" x14ac:dyDescent="0.35">
      <c r="A65" s="114" t="s">
        <v>148</v>
      </c>
      <c r="B65" s="111"/>
      <c r="C65" s="111"/>
      <c r="D65" s="10">
        <f>IF(BatchFormat="Cream Route 2 (from scratch)",TotalMassG*CR2CetPct,0)</f>
        <v>0</v>
      </c>
      <c r="E65" s="113" t="s">
        <v>191</v>
      </c>
      <c r="F65" s="111"/>
      <c r="G65" s="111"/>
      <c r="H65" s="111"/>
    </row>
    <row r="66" spans="1:8" x14ac:dyDescent="0.35">
      <c r="A66" s="114" t="s">
        <v>151</v>
      </c>
      <c r="B66" s="111"/>
      <c r="C66" s="111"/>
      <c r="D66" s="10">
        <f>IF(BatchFormat="Cream Route 2 (from scratch)",TotalMassG*CR2OilPct,0)</f>
        <v>0</v>
      </c>
      <c r="E66" s="113" t="s">
        <v>191</v>
      </c>
      <c r="F66" s="111"/>
      <c r="G66" s="111"/>
      <c r="H66" s="111"/>
    </row>
    <row r="67" spans="1:8" x14ac:dyDescent="0.35">
      <c r="A67" s="114" t="s">
        <v>154</v>
      </c>
      <c r="B67" s="111"/>
      <c r="C67" s="111"/>
      <c r="D67" s="10">
        <f>IF(BatchFormat="Cream Route 2 (from scratch)",TotalMassG*CR2ButterPct,0)</f>
        <v>0</v>
      </c>
      <c r="E67" s="113" t="s">
        <v>191</v>
      </c>
      <c r="F67" s="111"/>
      <c r="G67" s="111"/>
      <c r="H67" s="111"/>
    </row>
    <row r="68" spans="1:8" x14ac:dyDescent="0.35">
      <c r="A68" s="114" t="s">
        <v>192</v>
      </c>
      <c r="B68" s="111"/>
      <c r="C68" s="111"/>
      <c r="D68" s="10">
        <f>IF(BatchFormat="Cream Route 2 (from scratch)",TotalMassG*VitEPct,0)</f>
        <v>0</v>
      </c>
      <c r="E68" s="113" t="s">
        <v>193</v>
      </c>
      <c r="F68" s="111"/>
      <c r="G68" s="111"/>
      <c r="H68" s="111"/>
    </row>
    <row r="69" spans="1:8" x14ac:dyDescent="0.35">
      <c r="A69" s="121"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8" t="s">
        <v>199</v>
      </c>
      <c r="B73" s="119"/>
      <c r="C73" s="119"/>
      <c r="D73" s="119"/>
      <c r="E73" s="119"/>
      <c r="F73" s="119"/>
      <c r="G73" s="119"/>
      <c r="H73" s="119"/>
    </row>
    <row r="74" spans="1:8" x14ac:dyDescent="0.35">
      <c r="A74" s="88" t="s">
        <v>200</v>
      </c>
      <c r="B74" s="89"/>
      <c r="C74" s="89"/>
      <c r="D74" s="57">
        <f>50*0.85</f>
        <v>42.5</v>
      </c>
      <c r="E74" s="92" t="s">
        <v>201</v>
      </c>
      <c r="F74" s="89"/>
      <c r="G74" s="89"/>
      <c r="H74" s="89"/>
    </row>
    <row r="75" spans="1:8" x14ac:dyDescent="0.35">
      <c r="A75" s="88" t="s">
        <v>202</v>
      </c>
      <c r="B75" s="89"/>
      <c r="C75" s="89"/>
      <c r="D75" s="57">
        <f>50*0.85*0.2</f>
        <v>8.5</v>
      </c>
      <c r="E75" s="92" t="s">
        <v>203</v>
      </c>
      <c r="F75" s="89"/>
      <c r="G75" s="89"/>
      <c r="H75" s="89"/>
    </row>
    <row r="76" spans="1:8" x14ac:dyDescent="0.35">
      <c r="A76" s="88" t="s">
        <v>204</v>
      </c>
      <c r="B76" s="89"/>
      <c r="C76" s="89"/>
      <c r="D76" s="57">
        <f>50*0.85-50*0.85*0.2</f>
        <v>34</v>
      </c>
      <c r="E76" s="92" t="s">
        <v>205</v>
      </c>
      <c r="F76" s="89"/>
      <c r="G76" s="89"/>
      <c r="H76" s="89"/>
    </row>
  </sheetData>
  <mergeCells count="102">
    <mergeCell ref="A7:B7"/>
    <mergeCell ref="E62:H62"/>
    <mergeCell ref="A3:H3"/>
    <mergeCell ref="B38:C38"/>
    <mergeCell ref="A63:C63"/>
    <mergeCell ref="D8:H8"/>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E65:H65"/>
    <mergeCell ref="B51:C51"/>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qref="A1:H1"/>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2" t="s">
        <v>214</v>
      </c>
      <c r="B11" s="89"/>
      <c r="C11" s="89"/>
      <c r="D11" s="89"/>
      <c r="E11" s="89"/>
      <c r="F11" s="89"/>
      <c r="G11" s="89"/>
      <c r="H11" s="89"/>
    </row>
    <row r="12" spans="1:8" x14ac:dyDescent="0.35">
      <c r="A12" s="92" t="s">
        <v>215</v>
      </c>
      <c r="B12" s="89"/>
      <c r="C12" s="89"/>
      <c r="D12" s="89"/>
      <c r="E12" s="89"/>
      <c r="F12" s="89"/>
      <c r="G12" s="89"/>
      <c r="H12" s="89"/>
    </row>
    <row r="13" spans="1:8" x14ac:dyDescent="0.35">
      <c r="A13" s="92" t="s">
        <v>216</v>
      </c>
      <c r="B13" s="89"/>
      <c r="C13" s="89"/>
      <c r="D13" s="89"/>
      <c r="E13" s="89"/>
      <c r="F13" s="89"/>
      <c r="G13" s="89"/>
      <c r="H13" s="89"/>
    </row>
    <row r="14" spans="1:8" x14ac:dyDescent="0.35">
      <c r="A14" s="92" t="s">
        <v>217</v>
      </c>
      <c r="B14" s="89"/>
      <c r="C14" s="89"/>
      <c r="D14" s="89"/>
      <c r="E14" s="89"/>
      <c r="F14" s="89"/>
      <c r="G14" s="89"/>
      <c r="H14" s="89"/>
    </row>
  </sheetData>
  <mergeCells count="6">
    <mergeCell ref="A14:H14"/>
    <mergeCell ref="A1:H1"/>
    <mergeCell ref="A12:H12"/>
    <mergeCell ref="A2:H2"/>
    <mergeCell ref="A13:H13"/>
    <mergeCell ref="A11:H11"/>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R31"/>
  <sheetViews>
    <sheetView showGridLines="0" tabSelected="1" zoomScale="83" zoomScaleNormal="55" workbookViewId="0">
      <pane xSplit="1" ySplit="3" topLeftCell="B4" activePane="bottomRight" state="frozen"/>
      <selection pane="topRight"/>
      <selection pane="bottomLeft"/>
      <selection pane="bottomRight" activeCell="A41" sqref="A41"/>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8" ht="28" customHeight="1" x14ac:dyDescent="0.35">
      <c r="A1" s="108" t="s">
        <v>218</v>
      </c>
      <c r="B1" s="89"/>
      <c r="C1" s="89"/>
      <c r="D1" s="89"/>
      <c r="E1" s="89"/>
      <c r="F1" s="89"/>
      <c r="G1" s="89"/>
      <c r="H1" s="89"/>
      <c r="I1" s="89"/>
      <c r="J1" s="89"/>
      <c r="K1" s="89"/>
      <c r="L1" s="89"/>
      <c r="M1" s="89"/>
      <c r="N1" s="89"/>
      <c r="O1" s="89"/>
      <c r="P1" s="1"/>
      <c r="Q1" s="1"/>
    </row>
    <row r="2" spans="1:18" x14ac:dyDescent="0.35">
      <c r="A2" s="105" t="s">
        <v>219</v>
      </c>
      <c r="B2" s="106"/>
      <c r="C2" s="106"/>
      <c r="D2" s="106"/>
      <c r="E2" s="106"/>
      <c r="F2" s="122" t="s">
        <v>220</v>
      </c>
      <c r="G2" s="123"/>
      <c r="H2" s="59">
        <f>50*0.85*0.2</f>
        <v>8.5</v>
      </c>
      <c r="I2" s="122" t="s">
        <v>221</v>
      </c>
      <c r="J2" s="123"/>
      <c r="K2" s="59">
        <f>50*0.85*0.8</f>
        <v>34</v>
      </c>
      <c r="L2" s="12"/>
      <c r="M2" s="12"/>
      <c r="N2" s="12"/>
      <c r="O2" s="12"/>
      <c r="P2" s="1"/>
      <c r="Q2" s="1"/>
    </row>
    <row r="3" spans="1:18" ht="24" customHeight="1" x14ac:dyDescent="0.35">
      <c r="A3" s="17" t="s">
        <v>53</v>
      </c>
      <c r="B3" s="17" t="s">
        <v>222</v>
      </c>
      <c r="C3" s="17" t="s">
        <v>223</v>
      </c>
      <c r="D3" s="17" t="s">
        <v>224</v>
      </c>
      <c r="E3" s="17" t="s">
        <v>225</v>
      </c>
      <c r="F3" s="17" t="s">
        <v>226</v>
      </c>
      <c r="G3" s="17" t="s">
        <v>554</v>
      </c>
      <c r="H3" s="17" t="s">
        <v>227</v>
      </c>
      <c r="I3" s="17" t="s">
        <v>228</v>
      </c>
      <c r="J3" s="17" t="s">
        <v>229</v>
      </c>
      <c r="K3" s="17" t="s">
        <v>230</v>
      </c>
      <c r="L3" s="17" t="s">
        <v>231</v>
      </c>
      <c r="M3" s="17" t="s">
        <v>232</v>
      </c>
      <c r="N3" s="17" t="s">
        <v>233</v>
      </c>
      <c r="O3" s="17" t="s">
        <v>234</v>
      </c>
      <c r="P3" s="17"/>
      <c r="Q3" s="1"/>
    </row>
    <row r="4" spans="1:18" x14ac:dyDescent="0.35">
      <c r="A4" s="132" t="s">
        <v>61</v>
      </c>
      <c r="B4" s="60">
        <v>30</v>
      </c>
      <c r="C4" s="61" t="s">
        <v>130</v>
      </c>
      <c r="D4" s="60">
        <v>1</v>
      </c>
      <c r="E4" s="43">
        <v>0.9</v>
      </c>
      <c r="F4" s="24">
        <f t="shared" ref="F4:F30" si="0">IF(C4="ml",B4*D4*E4,B4*D4)</f>
        <v>27</v>
      </c>
      <c r="G4" s="42">
        <v>54</v>
      </c>
      <c r="H4" s="24">
        <f t="shared" ref="H4:H30" si="1">G4*D4</f>
        <v>54</v>
      </c>
      <c r="I4" s="24">
        <f t="shared" ref="I4:I30" si="2">IF(F4=0,0,H4/F4)</f>
        <v>2</v>
      </c>
      <c r="J4" s="24">
        <f t="shared" ref="J4:J28" si="3">TotalConcUsedG*INDEX(FM_Active,MATCH($A4,FM_Mat,0))*IF(INDEX(FM_D10,MATCH($A4,FM_Mat,0))="D10",0.1,1)</f>
        <v>0</v>
      </c>
      <c r="K4" s="57">
        <f t="shared" ref="K4:K30" si="4">F4-J4</f>
        <v>27</v>
      </c>
      <c r="L4" s="24">
        <f t="shared" ref="L4:L28" si="5">2*DefaultBatchConcG*INDEX(FM_Active,MATCH($A4,FM_Mat,0))*IF(INDEX(FM_D10,MATCH($A4,FM_Mat,0))="D10",0.1,1)</f>
        <v>0.76500000000000001</v>
      </c>
      <c r="M4" s="61" t="str">
        <f t="shared" ref="M4:M30" si="6">IF(K4&lt;L4,"LOW","OK")</f>
        <v>OK</v>
      </c>
      <c r="N4" s="62" t="s">
        <v>235</v>
      </c>
      <c r="O4" s="63">
        <f t="shared" ref="O4:O28" si="7">IFERROR(FLOOR((MAX(K4,0)/(INDEX(FM_Active,MATCH($A4,FM_Mat,0))*IF(INDEX(FM_D10,MATCH($A4,FM_Mat,0))="D10",0.1,1)))/(50*YC_Density*YC_ConcPct),1),"")</f>
        <v>70</v>
      </c>
      <c r="P4" s="11" t="str">
        <f t="shared" ref="P4:P30" si="8">IF(K4&lt;L4,A4,"")</f>
        <v/>
      </c>
      <c r="Q4" s="11" t="str">
        <f>P4</f>
        <v/>
      </c>
      <c r="R4">
        <v>1</v>
      </c>
    </row>
    <row r="5" spans="1:18" x14ac:dyDescent="0.35">
      <c r="A5" s="132"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1.7000000000000001E-2</v>
      </c>
      <c r="M5" s="61" t="str">
        <f t="shared" si="6"/>
        <v>OK</v>
      </c>
      <c r="N5" s="62" t="s">
        <v>235</v>
      </c>
      <c r="O5" s="63">
        <f t="shared" si="7"/>
        <v>1058</v>
      </c>
      <c r="P5" s="11" t="str">
        <f t="shared" si="8"/>
        <v/>
      </c>
      <c r="Q5" s="11" t="str">
        <f t="shared" ref="Q5:Q30" si="9">IF(P5="",Q4,IF(Q4="",P5,Q4&amp;",  "&amp;P5))</f>
        <v/>
      </c>
      <c r="R5">
        <v>2</v>
      </c>
    </row>
    <row r="6" spans="1:18" x14ac:dyDescent="0.35">
      <c r="A6" s="132" t="s">
        <v>65</v>
      </c>
      <c r="B6" s="60">
        <v>10</v>
      </c>
      <c r="C6" s="61" t="s">
        <v>130</v>
      </c>
      <c r="D6" s="60">
        <v>2</v>
      </c>
      <c r="E6" s="43">
        <v>0.9</v>
      </c>
      <c r="F6" s="24">
        <f t="shared" si="0"/>
        <v>18</v>
      </c>
      <c r="G6" s="42">
        <v>16.739999999999998</v>
      </c>
      <c r="H6" s="24">
        <f t="shared" si="1"/>
        <v>33.479999999999997</v>
      </c>
      <c r="I6" s="24">
        <f t="shared" si="2"/>
        <v>1.8599999999999999</v>
      </c>
      <c r="J6" s="24">
        <f t="shared" si="3"/>
        <v>0</v>
      </c>
      <c r="K6" s="57">
        <f t="shared" si="4"/>
        <v>18</v>
      </c>
      <c r="L6" s="24">
        <f t="shared" si="5"/>
        <v>0.34</v>
      </c>
      <c r="M6" s="61" t="str">
        <f t="shared" si="6"/>
        <v>OK</v>
      </c>
      <c r="N6" s="62" t="s">
        <v>235</v>
      </c>
      <c r="O6" s="63">
        <f t="shared" si="7"/>
        <v>105</v>
      </c>
      <c r="P6" s="11" t="str">
        <f t="shared" si="8"/>
        <v/>
      </c>
      <c r="Q6" s="11" t="str">
        <f t="shared" si="9"/>
        <v/>
      </c>
      <c r="R6">
        <v>3</v>
      </c>
    </row>
    <row r="7" spans="1:18" x14ac:dyDescent="0.35">
      <c r="A7" s="132" t="s">
        <v>67</v>
      </c>
      <c r="B7" s="60">
        <v>10</v>
      </c>
      <c r="C7" s="61" t="s">
        <v>130</v>
      </c>
      <c r="D7" s="60">
        <v>1</v>
      </c>
      <c r="E7" s="43">
        <v>0.9</v>
      </c>
      <c r="F7" s="24">
        <f t="shared" si="0"/>
        <v>9</v>
      </c>
      <c r="G7" s="42">
        <v>22.5</v>
      </c>
      <c r="H7" s="24">
        <f t="shared" si="1"/>
        <v>22.5</v>
      </c>
      <c r="I7" s="24">
        <f t="shared" si="2"/>
        <v>2.5</v>
      </c>
      <c r="J7" s="24">
        <f t="shared" si="3"/>
        <v>0</v>
      </c>
      <c r="K7" s="57">
        <f t="shared" si="4"/>
        <v>9</v>
      </c>
      <c r="L7" s="24">
        <f t="shared" si="5"/>
        <v>0.17</v>
      </c>
      <c r="M7" s="61" t="str">
        <f t="shared" si="6"/>
        <v>OK</v>
      </c>
      <c r="N7" s="62" t="s">
        <v>235</v>
      </c>
      <c r="O7" s="63">
        <f t="shared" si="7"/>
        <v>105</v>
      </c>
      <c r="P7" s="11" t="str">
        <f t="shared" si="8"/>
        <v/>
      </c>
      <c r="Q7" s="11" t="str">
        <f t="shared" si="9"/>
        <v/>
      </c>
      <c r="R7">
        <v>4</v>
      </c>
    </row>
    <row r="8" spans="1:18" x14ac:dyDescent="0.35">
      <c r="A8" s="132" t="s">
        <v>70</v>
      </c>
      <c r="B8" s="60">
        <v>100</v>
      </c>
      <c r="C8" s="61" t="s">
        <v>130</v>
      </c>
      <c r="D8" s="60">
        <v>1</v>
      </c>
      <c r="E8" s="43">
        <v>0.9</v>
      </c>
      <c r="F8" s="24">
        <f t="shared" si="0"/>
        <v>90</v>
      </c>
      <c r="G8" s="42">
        <v>39.840000000000003</v>
      </c>
      <c r="H8" s="24">
        <f t="shared" si="1"/>
        <v>39.840000000000003</v>
      </c>
      <c r="I8" s="24">
        <f t="shared" si="2"/>
        <v>0.44266666666666671</v>
      </c>
      <c r="J8" s="24">
        <f t="shared" si="3"/>
        <v>0</v>
      </c>
      <c r="K8" s="57">
        <f t="shared" si="4"/>
        <v>90</v>
      </c>
      <c r="L8" s="24">
        <f t="shared" si="5"/>
        <v>2.4989999999999997</v>
      </c>
      <c r="M8" s="61" t="str">
        <f t="shared" si="6"/>
        <v>OK</v>
      </c>
      <c r="N8" s="62" t="s">
        <v>235</v>
      </c>
      <c r="O8" s="63">
        <f t="shared" si="7"/>
        <v>72</v>
      </c>
      <c r="P8" s="11" t="str">
        <f t="shared" si="8"/>
        <v/>
      </c>
      <c r="Q8" s="11" t="str">
        <f t="shared" si="9"/>
        <v/>
      </c>
      <c r="R8">
        <v>5</v>
      </c>
    </row>
    <row r="9" spans="1:18" x14ac:dyDescent="0.35">
      <c r="A9" s="132" t="s">
        <v>72</v>
      </c>
      <c r="B9" s="60">
        <v>10</v>
      </c>
      <c r="C9" s="61" t="s">
        <v>130</v>
      </c>
      <c r="D9" s="60">
        <v>2</v>
      </c>
      <c r="E9" s="43">
        <v>0.9</v>
      </c>
      <c r="F9" s="24">
        <f t="shared" si="0"/>
        <v>18</v>
      </c>
      <c r="G9" s="42">
        <v>45</v>
      </c>
      <c r="H9" s="24">
        <f t="shared" si="1"/>
        <v>90</v>
      </c>
      <c r="I9" s="24">
        <f t="shared" si="2"/>
        <v>5</v>
      </c>
      <c r="J9" s="24">
        <f t="shared" si="3"/>
        <v>0</v>
      </c>
      <c r="K9" s="57">
        <f t="shared" si="4"/>
        <v>18</v>
      </c>
      <c r="L9" s="24">
        <f t="shared" si="5"/>
        <v>0.51</v>
      </c>
      <c r="M9" s="61" t="str">
        <f t="shared" si="6"/>
        <v>OK</v>
      </c>
      <c r="N9" s="62" t="s">
        <v>235</v>
      </c>
      <c r="O9" s="63">
        <f t="shared" si="7"/>
        <v>70</v>
      </c>
      <c r="P9" s="11" t="str">
        <f t="shared" si="8"/>
        <v/>
      </c>
      <c r="Q9" s="11" t="str">
        <f t="shared" si="9"/>
        <v/>
      </c>
      <c r="R9">
        <v>6</v>
      </c>
    </row>
    <row r="10" spans="1:18" x14ac:dyDescent="0.35">
      <c r="A10" s="132"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0.255</v>
      </c>
      <c r="M10" s="61" t="str">
        <f t="shared" si="6"/>
        <v>OK</v>
      </c>
      <c r="N10" s="62" t="s">
        <v>235</v>
      </c>
      <c r="O10" s="63">
        <f t="shared" si="7"/>
        <v>70</v>
      </c>
      <c r="P10" s="11" t="str">
        <f t="shared" si="8"/>
        <v/>
      </c>
      <c r="Q10" s="11" t="str">
        <f t="shared" si="9"/>
        <v/>
      </c>
      <c r="R10">
        <v>7</v>
      </c>
    </row>
    <row r="11" spans="1:18" x14ac:dyDescent="0.35">
      <c r="A11" s="132" t="s">
        <v>76</v>
      </c>
      <c r="B11" s="60">
        <v>30</v>
      </c>
      <c r="C11" s="61" t="s">
        <v>130</v>
      </c>
      <c r="D11" s="60">
        <v>1</v>
      </c>
      <c r="E11" s="43">
        <v>0.9</v>
      </c>
      <c r="F11" s="24">
        <f t="shared" si="0"/>
        <v>27</v>
      </c>
      <c r="G11" s="42">
        <v>50.27</v>
      </c>
      <c r="H11" s="24">
        <f t="shared" si="1"/>
        <v>50.27</v>
      </c>
      <c r="I11" s="24">
        <f t="shared" si="2"/>
        <v>1.8618518518518519</v>
      </c>
      <c r="J11" s="24">
        <f t="shared" si="3"/>
        <v>0</v>
      </c>
      <c r="K11" s="57">
        <f t="shared" si="4"/>
        <v>27</v>
      </c>
      <c r="L11" s="24">
        <f t="shared" si="5"/>
        <v>0.68</v>
      </c>
      <c r="M11" s="61" t="str">
        <f t="shared" si="6"/>
        <v>OK</v>
      </c>
      <c r="N11" s="62" t="s">
        <v>235</v>
      </c>
      <c r="O11" s="63">
        <f t="shared" si="7"/>
        <v>79</v>
      </c>
      <c r="P11" s="11" t="str">
        <f t="shared" si="8"/>
        <v/>
      </c>
      <c r="Q11" s="11" t="str">
        <f t="shared" si="9"/>
        <v/>
      </c>
      <c r="R11">
        <v>8</v>
      </c>
    </row>
    <row r="12" spans="1:18" x14ac:dyDescent="0.35">
      <c r="A12" s="132" t="s">
        <v>78</v>
      </c>
      <c r="B12" s="60">
        <v>30</v>
      </c>
      <c r="C12" s="61" t="s">
        <v>130</v>
      </c>
      <c r="D12" s="60">
        <v>2</v>
      </c>
      <c r="E12" s="43">
        <v>0.9</v>
      </c>
      <c r="F12" s="24">
        <f t="shared" si="0"/>
        <v>54</v>
      </c>
      <c r="G12" s="42">
        <v>32.14</v>
      </c>
      <c r="H12" s="24">
        <f t="shared" si="1"/>
        <v>64.28</v>
      </c>
      <c r="I12" s="24">
        <f t="shared" si="2"/>
        <v>1.1903703703703703</v>
      </c>
      <c r="J12" s="24">
        <f t="shared" si="3"/>
        <v>0</v>
      </c>
      <c r="K12" s="57">
        <f t="shared" si="4"/>
        <v>54</v>
      </c>
      <c r="L12" s="24">
        <f t="shared" si="5"/>
        <v>1.1900000000000002</v>
      </c>
      <c r="M12" s="61" t="str">
        <f t="shared" si="6"/>
        <v>OK</v>
      </c>
      <c r="N12" s="62" t="s">
        <v>235</v>
      </c>
      <c r="O12" s="63">
        <f t="shared" si="7"/>
        <v>90</v>
      </c>
      <c r="P12" s="11" t="str">
        <f t="shared" si="8"/>
        <v/>
      </c>
      <c r="Q12" s="11" t="str">
        <f t="shared" si="9"/>
        <v/>
      </c>
      <c r="R12">
        <v>9</v>
      </c>
    </row>
    <row r="13" spans="1:18" x14ac:dyDescent="0.35">
      <c r="A13" s="132" t="s">
        <v>80</v>
      </c>
      <c r="B13" s="60">
        <v>10</v>
      </c>
      <c r="C13" s="61" t="s">
        <v>130</v>
      </c>
      <c r="D13" s="60">
        <v>2</v>
      </c>
      <c r="E13" s="43">
        <v>0.9</v>
      </c>
      <c r="F13" s="24">
        <f t="shared" si="0"/>
        <v>18</v>
      </c>
      <c r="G13" s="42">
        <v>16.739999999999998</v>
      </c>
      <c r="H13" s="24">
        <f t="shared" si="1"/>
        <v>33.479999999999997</v>
      </c>
      <c r="I13" s="24">
        <f t="shared" si="2"/>
        <v>1.8599999999999999</v>
      </c>
      <c r="J13" s="24">
        <f t="shared" si="3"/>
        <v>0</v>
      </c>
      <c r="K13" s="57">
        <f t="shared" si="4"/>
        <v>18</v>
      </c>
      <c r="L13" s="24">
        <f t="shared" si="5"/>
        <v>0.255</v>
      </c>
      <c r="M13" s="61" t="str">
        <f t="shared" si="6"/>
        <v>OK</v>
      </c>
      <c r="N13" s="62" t="s">
        <v>235</v>
      </c>
      <c r="O13" s="63">
        <f t="shared" si="7"/>
        <v>141</v>
      </c>
      <c r="P13" s="11" t="str">
        <f t="shared" si="8"/>
        <v/>
      </c>
      <c r="Q13" s="11" t="str">
        <f t="shared" si="9"/>
        <v/>
      </c>
      <c r="R13">
        <v>10</v>
      </c>
    </row>
    <row r="14" spans="1:18" x14ac:dyDescent="0.35">
      <c r="A14" s="132"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5.1000000000000004E-3</v>
      </c>
      <c r="M14" s="61" t="str">
        <f t="shared" si="6"/>
        <v>OK</v>
      </c>
      <c r="N14" s="62" t="s">
        <v>235</v>
      </c>
      <c r="O14" s="63">
        <f t="shared" si="7"/>
        <v>3529</v>
      </c>
      <c r="P14" s="11" t="str">
        <f t="shared" si="8"/>
        <v/>
      </c>
      <c r="Q14" s="11" t="str">
        <f t="shared" si="9"/>
        <v/>
      </c>
      <c r="R14">
        <v>11</v>
      </c>
    </row>
    <row r="15" spans="1:18" x14ac:dyDescent="0.35">
      <c r="A15" s="132" t="s">
        <v>86</v>
      </c>
      <c r="B15" s="60">
        <v>30</v>
      </c>
      <c r="C15" s="61" t="s">
        <v>236</v>
      </c>
      <c r="D15" s="60">
        <v>1</v>
      </c>
      <c r="E15" s="61"/>
      <c r="F15" s="24">
        <f t="shared" si="0"/>
        <v>30</v>
      </c>
      <c r="G15" s="42">
        <v>42.18</v>
      </c>
      <c r="H15" s="24">
        <f t="shared" si="1"/>
        <v>42.18</v>
      </c>
      <c r="I15" s="24">
        <f t="shared" si="2"/>
        <v>1.4059999999999999</v>
      </c>
      <c r="J15" s="24">
        <f t="shared" si="3"/>
        <v>0</v>
      </c>
      <c r="K15" s="57">
        <f t="shared" si="4"/>
        <v>30</v>
      </c>
      <c r="L15" s="24">
        <f t="shared" si="5"/>
        <v>1.1900000000000002</v>
      </c>
      <c r="M15" s="61" t="str">
        <f t="shared" si="6"/>
        <v>OK</v>
      </c>
      <c r="N15" s="62" t="s">
        <v>235</v>
      </c>
      <c r="O15" s="63">
        <f t="shared" si="7"/>
        <v>50</v>
      </c>
      <c r="P15" s="11" t="str">
        <f t="shared" si="8"/>
        <v/>
      </c>
      <c r="Q15" s="11" t="str">
        <f t="shared" si="9"/>
        <v/>
      </c>
      <c r="R15">
        <v>12</v>
      </c>
    </row>
    <row r="16" spans="1:18" x14ac:dyDescent="0.35">
      <c r="A16" s="132" t="s">
        <v>88</v>
      </c>
      <c r="B16" s="60">
        <v>10</v>
      </c>
      <c r="C16" s="61" t="s">
        <v>236</v>
      </c>
      <c r="D16" s="60">
        <v>2</v>
      </c>
      <c r="E16" s="61"/>
      <c r="F16" s="24">
        <f t="shared" si="0"/>
        <v>20</v>
      </c>
      <c r="G16" s="42">
        <v>15.69</v>
      </c>
      <c r="H16" s="24">
        <f t="shared" si="1"/>
        <v>31.38</v>
      </c>
      <c r="I16" s="24">
        <f t="shared" si="2"/>
        <v>1.569</v>
      </c>
      <c r="J16" s="24">
        <f t="shared" si="3"/>
        <v>0</v>
      </c>
      <c r="K16" s="57">
        <f t="shared" si="4"/>
        <v>20</v>
      </c>
      <c r="L16" s="24">
        <f t="shared" si="5"/>
        <v>0.42500000000000004</v>
      </c>
      <c r="M16" s="61" t="str">
        <f t="shared" si="6"/>
        <v>OK</v>
      </c>
      <c r="N16" s="62" t="s">
        <v>235</v>
      </c>
      <c r="O16" s="63">
        <f t="shared" si="7"/>
        <v>94</v>
      </c>
      <c r="P16" s="11" t="str">
        <f t="shared" si="8"/>
        <v/>
      </c>
      <c r="Q16" s="11" t="str">
        <f t="shared" si="9"/>
        <v/>
      </c>
      <c r="R16">
        <v>13</v>
      </c>
    </row>
    <row r="17" spans="1:18" x14ac:dyDescent="0.35">
      <c r="A17" s="132" t="s">
        <v>90</v>
      </c>
      <c r="B17" s="60">
        <v>10</v>
      </c>
      <c r="C17" s="61" t="s">
        <v>236</v>
      </c>
      <c r="D17" s="60">
        <v>1</v>
      </c>
      <c r="E17" s="61"/>
      <c r="F17" s="24">
        <f t="shared" si="0"/>
        <v>10</v>
      </c>
      <c r="G17" s="42">
        <v>26.51</v>
      </c>
      <c r="H17" s="24">
        <f t="shared" si="1"/>
        <v>26.51</v>
      </c>
      <c r="I17" s="24">
        <f t="shared" si="2"/>
        <v>2.6510000000000002</v>
      </c>
      <c r="J17" s="24">
        <f t="shared" si="3"/>
        <v>0</v>
      </c>
      <c r="K17" s="57">
        <f t="shared" si="4"/>
        <v>10</v>
      </c>
      <c r="L17" s="24">
        <f t="shared" si="5"/>
        <v>3.4000000000000002E-2</v>
      </c>
      <c r="M17" s="61" t="str">
        <f t="shared" si="6"/>
        <v>OK</v>
      </c>
      <c r="N17" s="62" t="s">
        <v>235</v>
      </c>
      <c r="O17" s="63">
        <f t="shared" si="7"/>
        <v>588</v>
      </c>
      <c r="P17" s="11" t="str">
        <f t="shared" si="8"/>
        <v/>
      </c>
      <c r="Q17" s="11" t="str">
        <f t="shared" si="9"/>
        <v/>
      </c>
      <c r="R17">
        <v>14</v>
      </c>
    </row>
    <row r="18" spans="1:18" x14ac:dyDescent="0.35">
      <c r="A18" s="132" t="s">
        <v>92</v>
      </c>
      <c r="B18" s="60">
        <v>500</v>
      </c>
      <c r="C18" s="61" t="s">
        <v>236</v>
      </c>
      <c r="D18" s="60">
        <v>1</v>
      </c>
      <c r="E18" s="61"/>
      <c r="F18" s="24">
        <f t="shared" si="0"/>
        <v>500</v>
      </c>
      <c r="G18" s="42">
        <v>150</v>
      </c>
      <c r="H18" s="24">
        <f t="shared" si="1"/>
        <v>150</v>
      </c>
      <c r="I18" s="24">
        <f t="shared" si="2"/>
        <v>0.3</v>
      </c>
      <c r="J18" s="24">
        <f t="shared" si="3"/>
        <v>0</v>
      </c>
      <c r="K18" s="57">
        <f t="shared" si="4"/>
        <v>500</v>
      </c>
      <c r="L18" s="24">
        <f t="shared" si="5"/>
        <v>0.76500000000000001</v>
      </c>
      <c r="M18" s="61" t="str">
        <f t="shared" si="6"/>
        <v>OK</v>
      </c>
      <c r="N18" s="62" t="s">
        <v>235</v>
      </c>
      <c r="O18" s="63">
        <f t="shared" si="7"/>
        <v>1307</v>
      </c>
      <c r="P18" s="11" t="str">
        <f t="shared" si="8"/>
        <v/>
      </c>
      <c r="Q18" s="11" t="str">
        <f t="shared" si="9"/>
        <v/>
      </c>
      <c r="R18">
        <v>15</v>
      </c>
    </row>
    <row r="19" spans="1:18" x14ac:dyDescent="0.35">
      <c r="A19" s="132"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0.42500000000000004</v>
      </c>
      <c r="M19" s="61" t="str">
        <f t="shared" si="6"/>
        <v>OK</v>
      </c>
      <c r="N19" s="62" t="s">
        <v>235</v>
      </c>
      <c r="O19" s="63">
        <f t="shared" si="7"/>
        <v>42</v>
      </c>
      <c r="P19" s="11" t="str">
        <f t="shared" si="8"/>
        <v/>
      </c>
      <c r="Q19" s="11" t="str">
        <f t="shared" si="9"/>
        <v/>
      </c>
      <c r="R19">
        <v>16</v>
      </c>
    </row>
    <row r="20" spans="1:18" x14ac:dyDescent="0.35">
      <c r="A20" s="132"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2.5500000000000002E-2</v>
      </c>
      <c r="M20" s="61" t="str">
        <f t="shared" si="6"/>
        <v>OK</v>
      </c>
      <c r="N20" s="62" t="s">
        <v>235</v>
      </c>
      <c r="O20" s="63">
        <f t="shared" si="7"/>
        <v>705</v>
      </c>
      <c r="P20" s="11" t="str">
        <f t="shared" si="8"/>
        <v/>
      </c>
      <c r="Q20" s="11" t="str">
        <f t="shared" si="9"/>
        <v/>
      </c>
      <c r="R20">
        <v>17</v>
      </c>
    </row>
    <row r="21" spans="1:18" x14ac:dyDescent="0.35">
      <c r="A21" s="132" t="s">
        <v>98</v>
      </c>
      <c r="B21" s="60">
        <v>10</v>
      </c>
      <c r="C21" s="61" t="s">
        <v>236</v>
      </c>
      <c r="D21" s="60">
        <v>2</v>
      </c>
      <c r="E21" s="61"/>
      <c r="F21" s="24">
        <f t="shared" si="0"/>
        <v>20</v>
      </c>
      <c r="G21" s="42">
        <v>133.75</v>
      </c>
      <c r="H21" s="24">
        <f t="shared" si="1"/>
        <v>267.5</v>
      </c>
      <c r="I21" s="24">
        <f t="shared" si="2"/>
        <v>13.375</v>
      </c>
      <c r="J21" s="24">
        <f t="shared" si="3"/>
        <v>0</v>
      </c>
      <c r="K21" s="57">
        <f t="shared" si="4"/>
        <v>20</v>
      </c>
      <c r="L21" s="24">
        <f t="shared" si="5"/>
        <v>1.2749999999999999</v>
      </c>
      <c r="M21" s="61" t="str">
        <f t="shared" si="6"/>
        <v>OK</v>
      </c>
      <c r="N21" s="62" t="s">
        <v>235</v>
      </c>
      <c r="O21" s="63">
        <f t="shared" si="7"/>
        <v>31</v>
      </c>
      <c r="P21" s="11" t="str">
        <f t="shared" si="8"/>
        <v/>
      </c>
      <c r="Q21" s="11" t="str">
        <f t="shared" si="9"/>
        <v/>
      </c>
      <c r="R21">
        <v>18</v>
      </c>
    </row>
    <row r="22" spans="1:18" x14ac:dyDescent="0.35">
      <c r="A22" s="132" t="s">
        <v>100</v>
      </c>
      <c r="B22" s="60">
        <v>30</v>
      </c>
      <c r="C22" s="61" t="s">
        <v>130</v>
      </c>
      <c r="D22" s="60">
        <v>1</v>
      </c>
      <c r="E22" s="43">
        <v>0.9</v>
      </c>
      <c r="F22" s="24">
        <f t="shared" si="0"/>
        <v>27</v>
      </c>
      <c r="G22" s="42">
        <v>39.17</v>
      </c>
      <c r="H22" s="24">
        <f t="shared" si="1"/>
        <v>39.17</v>
      </c>
      <c r="I22" s="24">
        <f t="shared" si="2"/>
        <v>1.4507407407407409</v>
      </c>
      <c r="J22" s="24">
        <f t="shared" si="3"/>
        <v>0</v>
      </c>
      <c r="K22" s="57">
        <f t="shared" si="4"/>
        <v>27</v>
      </c>
      <c r="L22" s="24">
        <f t="shared" si="5"/>
        <v>1.615</v>
      </c>
      <c r="M22" s="61" t="str">
        <f t="shared" si="6"/>
        <v>OK</v>
      </c>
      <c r="N22" s="62" t="s">
        <v>235</v>
      </c>
      <c r="O22" s="63">
        <f t="shared" si="7"/>
        <v>33</v>
      </c>
      <c r="P22" s="11" t="str">
        <f t="shared" si="8"/>
        <v/>
      </c>
      <c r="Q22" s="11" t="str">
        <f t="shared" si="9"/>
        <v/>
      </c>
      <c r="R22">
        <v>19</v>
      </c>
    </row>
    <row r="23" spans="1:18" x14ac:dyDescent="0.35">
      <c r="A23" s="132"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0.51</v>
      </c>
      <c r="M23" s="61" t="str">
        <f t="shared" si="6"/>
        <v>OK</v>
      </c>
      <c r="N23" s="62" t="s">
        <v>235</v>
      </c>
      <c r="O23" s="63">
        <f t="shared" si="7"/>
        <v>35</v>
      </c>
      <c r="P23" s="11" t="str">
        <f t="shared" si="8"/>
        <v/>
      </c>
      <c r="Q23" s="11" t="str">
        <f t="shared" si="9"/>
        <v/>
      </c>
      <c r="R23">
        <v>20</v>
      </c>
    </row>
    <row r="24" spans="1:18" x14ac:dyDescent="0.35">
      <c r="A24" s="132" t="s">
        <v>104</v>
      </c>
      <c r="B24" s="60">
        <v>10</v>
      </c>
      <c r="C24" s="61" t="s">
        <v>130</v>
      </c>
      <c r="D24" s="60">
        <v>2</v>
      </c>
      <c r="E24" s="43">
        <v>0.9</v>
      </c>
      <c r="F24" s="24">
        <f t="shared" si="0"/>
        <v>18</v>
      </c>
      <c r="G24" s="42">
        <v>23.54</v>
      </c>
      <c r="H24" s="24">
        <f t="shared" si="1"/>
        <v>47.08</v>
      </c>
      <c r="I24" s="24">
        <f t="shared" si="2"/>
        <v>2.6155555555555554</v>
      </c>
      <c r="J24" s="24">
        <f t="shared" si="3"/>
        <v>0</v>
      </c>
      <c r="K24" s="57">
        <f t="shared" si="4"/>
        <v>18</v>
      </c>
      <c r="L24" s="24">
        <f t="shared" si="5"/>
        <v>0.59500000000000008</v>
      </c>
      <c r="M24" s="61" t="str">
        <f t="shared" si="6"/>
        <v>OK</v>
      </c>
      <c r="N24" s="62" t="s">
        <v>235</v>
      </c>
      <c r="O24" s="63">
        <f t="shared" si="7"/>
        <v>60</v>
      </c>
      <c r="P24" s="11" t="str">
        <f t="shared" si="8"/>
        <v/>
      </c>
      <c r="Q24" s="11" t="str">
        <f t="shared" si="9"/>
        <v/>
      </c>
      <c r="R24">
        <v>21</v>
      </c>
    </row>
    <row r="25" spans="1:18" x14ac:dyDescent="0.35">
      <c r="A25" s="132" t="s">
        <v>106</v>
      </c>
      <c r="B25" s="60">
        <v>50</v>
      </c>
      <c r="C25" s="61" t="s">
        <v>130</v>
      </c>
      <c r="D25" s="60">
        <v>1</v>
      </c>
      <c r="E25" s="43">
        <v>0.9</v>
      </c>
      <c r="F25" s="24">
        <f t="shared" si="0"/>
        <v>45</v>
      </c>
      <c r="G25" s="42">
        <v>34.39</v>
      </c>
      <c r="H25" s="24">
        <f t="shared" si="1"/>
        <v>34.39</v>
      </c>
      <c r="I25" s="24">
        <f t="shared" si="2"/>
        <v>0.76422222222222225</v>
      </c>
      <c r="J25" s="24">
        <f t="shared" si="3"/>
        <v>0</v>
      </c>
      <c r="K25" s="57">
        <f t="shared" si="4"/>
        <v>45</v>
      </c>
      <c r="L25" s="24">
        <f t="shared" si="5"/>
        <v>1.2749999999999999</v>
      </c>
      <c r="M25" s="61" t="str">
        <f t="shared" si="6"/>
        <v>OK</v>
      </c>
      <c r="N25" s="62" t="s">
        <v>235</v>
      </c>
      <c r="O25" s="63">
        <f t="shared" si="7"/>
        <v>70</v>
      </c>
      <c r="P25" s="11" t="str">
        <f t="shared" si="8"/>
        <v/>
      </c>
      <c r="Q25" s="11" t="str">
        <f t="shared" si="9"/>
        <v/>
      </c>
      <c r="R25">
        <v>22</v>
      </c>
    </row>
    <row r="26" spans="1:18" x14ac:dyDescent="0.35">
      <c r="A26" s="132"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0.93500000000000005</v>
      </c>
      <c r="M26" s="61" t="str">
        <f t="shared" si="6"/>
        <v>OK</v>
      </c>
      <c r="N26" s="62" t="s">
        <v>235</v>
      </c>
      <c r="O26" s="63">
        <f t="shared" si="7"/>
        <v>57</v>
      </c>
      <c r="P26" s="11" t="str">
        <f t="shared" si="8"/>
        <v/>
      </c>
      <c r="Q26" s="11" t="str">
        <f t="shared" si="9"/>
        <v/>
      </c>
      <c r="R26">
        <v>23</v>
      </c>
    </row>
    <row r="27" spans="1:18" x14ac:dyDescent="0.35">
      <c r="A27" s="132"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0.42500000000000004</v>
      </c>
      <c r="M27" s="61" t="str">
        <f t="shared" si="6"/>
        <v>OK</v>
      </c>
      <c r="N27" s="62" t="s">
        <v>235</v>
      </c>
      <c r="O27" s="63">
        <f t="shared" si="7"/>
        <v>42</v>
      </c>
      <c r="P27" s="11" t="str">
        <f t="shared" si="8"/>
        <v/>
      </c>
      <c r="Q27" s="11" t="str">
        <f t="shared" si="9"/>
        <v/>
      </c>
      <c r="R27">
        <v>24</v>
      </c>
    </row>
    <row r="28" spans="1:18" x14ac:dyDescent="0.35">
      <c r="A28" s="132"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8.5000000000000006E-2</v>
      </c>
      <c r="M28" s="61" t="str">
        <f t="shared" si="6"/>
        <v>OK</v>
      </c>
      <c r="N28" s="62" t="s">
        <v>235</v>
      </c>
      <c r="O28" s="63">
        <f t="shared" si="7"/>
        <v>211</v>
      </c>
      <c r="P28" s="11" t="str">
        <f t="shared" si="8"/>
        <v/>
      </c>
      <c r="Q28" s="11" t="str">
        <f t="shared" si="9"/>
        <v/>
      </c>
      <c r="R28">
        <v>25</v>
      </c>
    </row>
    <row r="29" spans="1:18" x14ac:dyDescent="0.35">
      <c r="A29" s="132" t="s">
        <v>237</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0.73440000000000005</v>
      </c>
      <c r="M29" s="61" t="str">
        <f t="shared" si="6"/>
        <v>OK</v>
      </c>
      <c r="N29" s="62" t="s">
        <v>235</v>
      </c>
      <c r="O29" s="63">
        <f>IFERROR(FLOOR((MAX(K29,0)/(D10ActivePct*0.9))/(50*YC_Density*YC_ConcPct),1),"")</f>
        <v>1388</v>
      </c>
      <c r="P29" s="11" t="str">
        <f t="shared" si="8"/>
        <v/>
      </c>
      <c r="Q29" s="11" t="str">
        <f t="shared" si="9"/>
        <v/>
      </c>
      <c r="R29">
        <v>26</v>
      </c>
    </row>
    <row r="30" spans="1:18" x14ac:dyDescent="0.35">
      <c r="A30" s="132"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68</v>
      </c>
      <c r="M30" s="61" t="str">
        <f t="shared" si="6"/>
        <v>OK</v>
      </c>
      <c r="N30" s="62" t="s">
        <v>235</v>
      </c>
      <c r="O30" s="63">
        <f>IFERROR(FLOOR(MAX(K30,0)/(50*YC_Density*(1-YC_ConcPct)),1),"")</f>
        <v>119</v>
      </c>
      <c r="P30" s="11" t="str">
        <f t="shared" si="8"/>
        <v/>
      </c>
      <c r="Q30" s="11" t="str">
        <f t="shared" si="9"/>
        <v/>
      </c>
      <c r="R30">
        <v>27</v>
      </c>
    </row>
    <row r="31" spans="1:18" x14ac:dyDescent="0.35">
      <c r="A31" s="121" t="s">
        <v>238</v>
      </c>
      <c r="B31" s="89"/>
      <c r="C31" s="89"/>
      <c r="D31" s="89"/>
      <c r="E31" s="89"/>
      <c r="F31" s="89"/>
      <c r="G31" s="89"/>
      <c r="H31" s="64">
        <f>SUM(H4:H30)</f>
        <v>1692.83</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239</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240</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241</v>
      </c>
      <c r="B3" s="66">
        <v>10</v>
      </c>
      <c r="C3" s="66">
        <v>20</v>
      </c>
      <c r="D3" s="66">
        <v>30</v>
      </c>
      <c r="E3" s="66">
        <v>50</v>
      </c>
      <c r="F3" s="66">
        <v>70</v>
      </c>
      <c r="G3" s="66">
        <v>100</v>
      </c>
      <c r="H3" s="65" t="s">
        <v>242</v>
      </c>
      <c r="I3" s="107" t="s">
        <v>243</v>
      </c>
      <c r="J3" s="89"/>
      <c r="K3" s="89"/>
      <c r="L3" s="89"/>
      <c r="M3" s="89"/>
      <c r="N3" s="89"/>
      <c r="O3" s="89"/>
      <c r="P3" s="89"/>
      <c r="Q3" s="89"/>
      <c r="R3" s="89"/>
      <c r="S3" s="89"/>
      <c r="T3" s="89"/>
      <c r="U3" s="89"/>
      <c r="V3" s="89"/>
      <c r="W3" s="89"/>
      <c r="X3" s="89"/>
      <c r="Y3" s="89"/>
    </row>
    <row r="4" spans="1:25" ht="18" x14ac:dyDescent="0.35">
      <c r="A4" s="89"/>
      <c r="B4" s="67">
        <f t="shared" ref="B4:G4" si="0">MIN(K7:K33)</f>
        <v>156</v>
      </c>
      <c r="C4" s="67">
        <f t="shared" si="0"/>
        <v>78</v>
      </c>
      <c r="D4" s="67">
        <f t="shared" si="0"/>
        <v>52</v>
      </c>
      <c r="E4" s="67">
        <f t="shared" si="0"/>
        <v>31</v>
      </c>
      <c r="F4" s="67">
        <f t="shared" si="0"/>
        <v>22</v>
      </c>
      <c r="G4" s="67">
        <f t="shared" si="0"/>
        <v>15</v>
      </c>
      <c r="H4" s="65" t="s">
        <v>244</v>
      </c>
      <c r="I4" s="89"/>
      <c r="J4" s="89"/>
      <c r="K4" s="89"/>
      <c r="L4" s="89"/>
      <c r="M4" s="89"/>
      <c r="N4" s="89"/>
      <c r="O4" s="89"/>
      <c r="P4" s="89"/>
      <c r="Q4" s="89"/>
      <c r="R4" s="89"/>
      <c r="S4" s="89"/>
      <c r="T4" s="89"/>
      <c r="U4" s="89"/>
      <c r="V4" s="89"/>
      <c r="W4" s="89"/>
      <c r="X4" s="89"/>
      <c r="Y4" s="89"/>
    </row>
    <row r="5" spans="1:25" ht="18" x14ac:dyDescent="0.35">
      <c r="A5" s="89"/>
      <c r="B5" s="68">
        <f t="shared" ref="B5:G5" si="1">MIN(Q7:Q33)</f>
        <v>156</v>
      </c>
      <c r="C5" s="68">
        <f t="shared" si="1"/>
        <v>78</v>
      </c>
      <c r="D5" s="68">
        <f t="shared" si="1"/>
        <v>52</v>
      </c>
      <c r="E5" s="68">
        <f t="shared" si="1"/>
        <v>31</v>
      </c>
      <c r="F5" s="68">
        <f t="shared" si="1"/>
        <v>22</v>
      </c>
      <c r="G5" s="68">
        <f t="shared" si="1"/>
        <v>15</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245</v>
      </c>
      <c r="F6" s="17" t="s">
        <v>246</v>
      </c>
      <c r="G6" s="17" t="s">
        <v>247</v>
      </c>
      <c r="H6" s="17" t="s">
        <v>248</v>
      </c>
      <c r="I6" s="17" t="s">
        <v>57</v>
      </c>
      <c r="J6" s="17" t="s">
        <v>249</v>
      </c>
      <c r="K6" s="17" t="s">
        <v>250</v>
      </c>
      <c r="L6" s="17" t="s">
        <v>251</v>
      </c>
      <c r="M6" s="17" t="s">
        <v>252</v>
      </c>
      <c r="N6" s="17" t="s">
        <v>253</v>
      </c>
      <c r="O6" s="17" t="s">
        <v>254</v>
      </c>
      <c r="P6" s="17" t="s">
        <v>255</v>
      </c>
      <c r="Q6" s="17" t="s">
        <v>256</v>
      </c>
      <c r="R6" s="17" t="s">
        <v>257</v>
      </c>
      <c r="S6" s="17" t="s">
        <v>258</v>
      </c>
      <c r="T6" s="17" t="s">
        <v>259</v>
      </c>
      <c r="U6" s="17" t="s">
        <v>260</v>
      </c>
      <c r="V6" s="17" t="s">
        <v>261</v>
      </c>
      <c r="W6" s="17" t="s">
        <v>262</v>
      </c>
      <c r="X6" s="17" t="s">
        <v>263</v>
      </c>
      <c r="Y6" s="17" t="s">
        <v>264</v>
      </c>
    </row>
    <row r="7" spans="1:25" x14ac:dyDescent="0.35">
      <c r="A7" s="53" t="str">
        <f>Inventory!A4</f>
        <v>Bergamot Accord</v>
      </c>
      <c r="B7" s="69">
        <f>Inventory!B4</f>
        <v>30</v>
      </c>
      <c r="C7" s="61" t="str">
        <f>Inventory!C4</f>
        <v>ml</v>
      </c>
      <c r="D7" s="69">
        <f>Inventory!D4</f>
        <v>1</v>
      </c>
      <c r="E7" s="60">
        <v>0</v>
      </c>
      <c r="F7" s="70">
        <f>Inventory!E4</f>
        <v>0.9</v>
      </c>
      <c r="G7" s="24">
        <f>Inventory!K4</f>
        <v>27</v>
      </c>
      <c r="H7" s="57">
        <f t="shared" ref="H7:H33" si="2">G7+E7*IF(C7="ml",B7*F7,B7)</f>
        <v>27</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352</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176</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117</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70</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50</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35</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352</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176</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117</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70</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50</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35</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265</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5294</v>
      </c>
      <c r="L8" s="69">
        <f t="shared" si="6"/>
        <v>2647</v>
      </c>
      <c r="M8" s="69">
        <f t="shared" si="7"/>
        <v>1764</v>
      </c>
      <c r="N8" s="69">
        <f t="shared" si="8"/>
        <v>1058</v>
      </c>
      <c r="O8" s="69">
        <f t="shared" si="9"/>
        <v>756</v>
      </c>
      <c r="P8" s="69">
        <f t="shared" si="10"/>
        <v>529</v>
      </c>
      <c r="Q8" s="63">
        <f t="shared" si="11"/>
        <v>5294</v>
      </c>
      <c r="R8" s="63">
        <f t="shared" si="12"/>
        <v>2647</v>
      </c>
      <c r="S8" s="63">
        <f t="shared" si="13"/>
        <v>1764</v>
      </c>
      <c r="T8" s="63">
        <f t="shared" si="14"/>
        <v>1058</v>
      </c>
      <c r="U8" s="63">
        <f t="shared" si="15"/>
        <v>756</v>
      </c>
      <c r="V8" s="63">
        <f t="shared" si="16"/>
        <v>529</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265</v>
      </c>
    </row>
    <row r="9" spans="1:25" x14ac:dyDescent="0.35">
      <c r="A9" s="53" t="str">
        <f>Inventory!A6</f>
        <v>Aldehyde C-14 Peach</v>
      </c>
      <c r="B9" s="69">
        <f>Inventory!B6</f>
        <v>10</v>
      </c>
      <c r="C9" s="61" t="str">
        <f>Inventory!C6</f>
        <v>ml</v>
      </c>
      <c r="D9" s="69">
        <f>Inventory!D6</f>
        <v>2</v>
      </c>
      <c r="E9" s="60">
        <v>0</v>
      </c>
      <c r="F9" s="70">
        <f>Inventory!E6</f>
        <v>0.9</v>
      </c>
      <c r="G9" s="24">
        <f>Inventory!K6</f>
        <v>18</v>
      </c>
      <c r="H9" s="57">
        <f t="shared" si="2"/>
        <v>18</v>
      </c>
      <c r="I9" s="71">
        <f t="shared" si="3"/>
        <v>0.02</v>
      </c>
      <c r="J9" s="72">
        <f t="shared" si="4"/>
        <v>0.02</v>
      </c>
      <c r="K9" s="69">
        <f t="shared" si="5"/>
        <v>529</v>
      </c>
      <c r="L9" s="69">
        <f t="shared" si="6"/>
        <v>264</v>
      </c>
      <c r="M9" s="69">
        <f t="shared" si="7"/>
        <v>176</v>
      </c>
      <c r="N9" s="69">
        <f t="shared" si="8"/>
        <v>105</v>
      </c>
      <c r="O9" s="69">
        <f t="shared" si="9"/>
        <v>75</v>
      </c>
      <c r="P9" s="69">
        <f t="shared" si="10"/>
        <v>52</v>
      </c>
      <c r="Q9" s="63">
        <f t="shared" si="11"/>
        <v>529</v>
      </c>
      <c r="R9" s="63">
        <f t="shared" si="12"/>
        <v>264</v>
      </c>
      <c r="S9" s="63">
        <f t="shared" si="13"/>
        <v>176</v>
      </c>
      <c r="T9" s="63">
        <f t="shared" si="14"/>
        <v>105</v>
      </c>
      <c r="U9" s="63">
        <f t="shared" si="15"/>
        <v>75</v>
      </c>
      <c r="V9" s="63">
        <f t="shared" si="16"/>
        <v>52</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265</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529</v>
      </c>
      <c r="L10" s="69">
        <f t="shared" si="6"/>
        <v>264</v>
      </c>
      <c r="M10" s="69">
        <f t="shared" si="7"/>
        <v>176</v>
      </c>
      <c r="N10" s="69">
        <f t="shared" si="8"/>
        <v>105</v>
      </c>
      <c r="O10" s="69">
        <f t="shared" si="9"/>
        <v>75</v>
      </c>
      <c r="P10" s="69">
        <f t="shared" si="10"/>
        <v>52</v>
      </c>
      <c r="Q10" s="63">
        <f t="shared" si="11"/>
        <v>529</v>
      </c>
      <c r="R10" s="63">
        <f t="shared" si="12"/>
        <v>264</v>
      </c>
      <c r="S10" s="63">
        <f t="shared" si="13"/>
        <v>176</v>
      </c>
      <c r="T10" s="63">
        <f t="shared" si="14"/>
        <v>105</v>
      </c>
      <c r="U10" s="63">
        <f t="shared" si="15"/>
        <v>75</v>
      </c>
      <c r="V10" s="63">
        <f t="shared" si="16"/>
        <v>52</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265</v>
      </c>
    </row>
    <row r="11" spans="1:25" x14ac:dyDescent="0.35">
      <c r="A11" s="53" t="str">
        <f>Inventory!A8</f>
        <v>Hedione (Firmenich)</v>
      </c>
      <c r="B11" s="69">
        <f>Inventory!B8</f>
        <v>100</v>
      </c>
      <c r="C11" s="61" t="str">
        <f>Inventory!C8</f>
        <v>ml</v>
      </c>
      <c r="D11" s="69">
        <f>Inventory!D8</f>
        <v>1</v>
      </c>
      <c r="E11" s="60">
        <v>0</v>
      </c>
      <c r="F11" s="70">
        <f>Inventory!E8</f>
        <v>0.9</v>
      </c>
      <c r="G11" s="24">
        <f>Inventory!K8</f>
        <v>90</v>
      </c>
      <c r="H11" s="57">
        <f t="shared" si="2"/>
        <v>90</v>
      </c>
      <c r="I11" s="71">
        <f t="shared" si="3"/>
        <v>0.14699999999999999</v>
      </c>
      <c r="J11" s="72">
        <f t="shared" si="4"/>
        <v>0.14699999999999999</v>
      </c>
      <c r="K11" s="69">
        <f t="shared" si="5"/>
        <v>360</v>
      </c>
      <c r="L11" s="69">
        <f t="shared" si="6"/>
        <v>180</v>
      </c>
      <c r="M11" s="69">
        <f t="shared" si="7"/>
        <v>120</v>
      </c>
      <c r="N11" s="69">
        <f t="shared" si="8"/>
        <v>72</v>
      </c>
      <c r="O11" s="69">
        <f t="shared" si="9"/>
        <v>51</v>
      </c>
      <c r="P11" s="69">
        <f t="shared" si="10"/>
        <v>36</v>
      </c>
      <c r="Q11" s="63">
        <f t="shared" si="11"/>
        <v>360</v>
      </c>
      <c r="R11" s="63">
        <f t="shared" si="12"/>
        <v>180</v>
      </c>
      <c r="S11" s="63">
        <f t="shared" si="13"/>
        <v>120</v>
      </c>
      <c r="T11" s="63">
        <f t="shared" si="14"/>
        <v>72</v>
      </c>
      <c r="U11" s="63">
        <f t="shared" si="15"/>
        <v>51</v>
      </c>
      <c r="V11" s="63">
        <f t="shared" si="16"/>
        <v>36</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265</v>
      </c>
    </row>
    <row r="12" spans="1:25" x14ac:dyDescent="0.35">
      <c r="A12" s="53" t="str">
        <f>Inventory!A9</f>
        <v>Jasmin Absolute Accord</v>
      </c>
      <c r="B12" s="69">
        <f>Inventory!B9</f>
        <v>10</v>
      </c>
      <c r="C12" s="61" t="str">
        <f>Inventory!C9</f>
        <v>ml</v>
      </c>
      <c r="D12" s="69">
        <f>Inventory!D9</f>
        <v>2</v>
      </c>
      <c r="E12" s="60">
        <v>0</v>
      </c>
      <c r="F12" s="70">
        <f>Inventory!E9</f>
        <v>0.9</v>
      </c>
      <c r="G12" s="24">
        <f>Inventory!K9</f>
        <v>18</v>
      </c>
      <c r="H12" s="57">
        <f t="shared" si="2"/>
        <v>18</v>
      </c>
      <c r="I12" s="71">
        <f t="shared" si="3"/>
        <v>0.03</v>
      </c>
      <c r="J12" s="72">
        <f t="shared" si="4"/>
        <v>0.03</v>
      </c>
      <c r="K12" s="69">
        <f t="shared" si="5"/>
        <v>352</v>
      </c>
      <c r="L12" s="69">
        <f t="shared" si="6"/>
        <v>176</v>
      </c>
      <c r="M12" s="69">
        <f t="shared" si="7"/>
        <v>117</v>
      </c>
      <c r="N12" s="69">
        <f t="shared" si="8"/>
        <v>70</v>
      </c>
      <c r="O12" s="69">
        <f t="shared" si="9"/>
        <v>50</v>
      </c>
      <c r="P12" s="69">
        <f t="shared" si="10"/>
        <v>35</v>
      </c>
      <c r="Q12" s="63">
        <f t="shared" si="11"/>
        <v>352</v>
      </c>
      <c r="R12" s="63">
        <f t="shared" si="12"/>
        <v>176</v>
      </c>
      <c r="S12" s="63">
        <f t="shared" si="13"/>
        <v>117</v>
      </c>
      <c r="T12" s="63">
        <f t="shared" si="14"/>
        <v>70</v>
      </c>
      <c r="U12" s="63">
        <f t="shared" si="15"/>
        <v>50</v>
      </c>
      <c r="V12" s="63">
        <f t="shared" si="16"/>
        <v>35</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265</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352</v>
      </c>
      <c r="L13" s="69">
        <f t="shared" si="6"/>
        <v>176</v>
      </c>
      <c r="M13" s="69">
        <f t="shared" si="7"/>
        <v>117</v>
      </c>
      <c r="N13" s="69">
        <f t="shared" si="8"/>
        <v>70</v>
      </c>
      <c r="O13" s="69">
        <f t="shared" si="9"/>
        <v>50</v>
      </c>
      <c r="P13" s="69">
        <f t="shared" si="10"/>
        <v>35</v>
      </c>
      <c r="Q13" s="63">
        <f t="shared" si="11"/>
        <v>352</v>
      </c>
      <c r="R13" s="63">
        <f t="shared" si="12"/>
        <v>176</v>
      </c>
      <c r="S13" s="63">
        <f t="shared" si="13"/>
        <v>117</v>
      </c>
      <c r="T13" s="63">
        <f t="shared" si="14"/>
        <v>70</v>
      </c>
      <c r="U13" s="63">
        <f t="shared" si="15"/>
        <v>50</v>
      </c>
      <c r="V13" s="63">
        <f t="shared" si="16"/>
        <v>35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265</v>
      </c>
    </row>
    <row r="14" spans="1:25" x14ac:dyDescent="0.35">
      <c r="A14" s="53" t="str">
        <f>Inventory!A11</f>
        <v>Methyl Alpha Ionone Iso</v>
      </c>
      <c r="B14" s="69">
        <f>Inventory!B11</f>
        <v>30</v>
      </c>
      <c r="C14" s="61" t="str">
        <f>Inventory!C11</f>
        <v>ml</v>
      </c>
      <c r="D14" s="69">
        <f>Inventory!D11</f>
        <v>1</v>
      </c>
      <c r="E14" s="60">
        <v>0</v>
      </c>
      <c r="F14" s="70">
        <f>Inventory!E11</f>
        <v>0.9</v>
      </c>
      <c r="G14" s="24">
        <f>Inventory!K11</f>
        <v>27</v>
      </c>
      <c r="H14" s="57">
        <f t="shared" si="2"/>
        <v>27</v>
      </c>
      <c r="I14" s="71">
        <f t="shared" si="3"/>
        <v>0.04</v>
      </c>
      <c r="J14" s="72">
        <f t="shared" si="4"/>
        <v>0.04</v>
      </c>
      <c r="K14" s="69">
        <f t="shared" si="5"/>
        <v>397</v>
      </c>
      <c r="L14" s="69">
        <f t="shared" si="6"/>
        <v>198</v>
      </c>
      <c r="M14" s="69">
        <f t="shared" si="7"/>
        <v>132</v>
      </c>
      <c r="N14" s="69">
        <f t="shared" si="8"/>
        <v>79</v>
      </c>
      <c r="O14" s="69">
        <f t="shared" si="9"/>
        <v>56</v>
      </c>
      <c r="P14" s="69">
        <f t="shared" si="10"/>
        <v>39</v>
      </c>
      <c r="Q14" s="63">
        <f t="shared" si="11"/>
        <v>397</v>
      </c>
      <c r="R14" s="63">
        <f t="shared" si="12"/>
        <v>198</v>
      </c>
      <c r="S14" s="63">
        <f t="shared" si="13"/>
        <v>132</v>
      </c>
      <c r="T14" s="63">
        <f t="shared" si="14"/>
        <v>79</v>
      </c>
      <c r="U14" s="63">
        <f t="shared" si="15"/>
        <v>56</v>
      </c>
      <c r="V14" s="63">
        <f t="shared" si="16"/>
        <v>39</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265</v>
      </c>
    </row>
    <row r="15" spans="1:25" x14ac:dyDescent="0.35">
      <c r="A15" s="53" t="str">
        <f>Inventory!A12</f>
        <v>Benzyl Salicylate</v>
      </c>
      <c r="B15" s="69">
        <f>Inventory!B12</f>
        <v>30</v>
      </c>
      <c r="C15" s="61" t="str">
        <f>Inventory!C12</f>
        <v>ml</v>
      </c>
      <c r="D15" s="69">
        <f>Inventory!D12</f>
        <v>2</v>
      </c>
      <c r="E15" s="60">
        <v>0</v>
      </c>
      <c r="F15" s="70">
        <f>Inventory!E12</f>
        <v>0.9</v>
      </c>
      <c r="G15" s="24">
        <f>Inventory!K12</f>
        <v>54</v>
      </c>
      <c r="H15" s="57">
        <f t="shared" si="2"/>
        <v>54</v>
      </c>
      <c r="I15" s="71">
        <f t="shared" si="3"/>
        <v>7.0000000000000007E-2</v>
      </c>
      <c r="J15" s="72">
        <f t="shared" si="4"/>
        <v>7.0000000000000007E-2</v>
      </c>
      <c r="K15" s="69">
        <f t="shared" si="5"/>
        <v>453</v>
      </c>
      <c r="L15" s="69">
        <f t="shared" si="6"/>
        <v>226</v>
      </c>
      <c r="M15" s="69">
        <f t="shared" si="7"/>
        <v>151</v>
      </c>
      <c r="N15" s="69">
        <f t="shared" si="8"/>
        <v>90</v>
      </c>
      <c r="O15" s="69">
        <f t="shared" si="9"/>
        <v>64</v>
      </c>
      <c r="P15" s="69">
        <f t="shared" si="10"/>
        <v>45</v>
      </c>
      <c r="Q15" s="63">
        <f t="shared" si="11"/>
        <v>453</v>
      </c>
      <c r="R15" s="63">
        <f t="shared" si="12"/>
        <v>226</v>
      </c>
      <c r="S15" s="63">
        <f t="shared" si="13"/>
        <v>151</v>
      </c>
      <c r="T15" s="63">
        <f t="shared" si="14"/>
        <v>90</v>
      </c>
      <c r="U15" s="63">
        <f t="shared" si="15"/>
        <v>64</v>
      </c>
      <c r="V15" s="63">
        <f t="shared" si="16"/>
        <v>45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265</v>
      </c>
    </row>
    <row r="16" spans="1:25" x14ac:dyDescent="0.35">
      <c r="A16" s="53" t="str">
        <f>Inventory!A13</f>
        <v>Linalool</v>
      </c>
      <c r="B16" s="69">
        <f>Inventory!B13</f>
        <v>10</v>
      </c>
      <c r="C16" s="61" t="str">
        <f>Inventory!C13</f>
        <v>ml</v>
      </c>
      <c r="D16" s="69">
        <f>Inventory!D13</f>
        <v>2</v>
      </c>
      <c r="E16" s="60">
        <v>0</v>
      </c>
      <c r="F16" s="70">
        <f>Inventory!E13</f>
        <v>0.9</v>
      </c>
      <c r="G16" s="24">
        <f>Inventory!K13</f>
        <v>18</v>
      </c>
      <c r="H16" s="57">
        <f t="shared" si="2"/>
        <v>18</v>
      </c>
      <c r="I16" s="71">
        <f t="shared" si="3"/>
        <v>1.4999999999999999E-2</v>
      </c>
      <c r="J16" s="72">
        <f t="shared" si="4"/>
        <v>1.4999999999999999E-2</v>
      </c>
      <c r="K16" s="69">
        <f t="shared" si="5"/>
        <v>705</v>
      </c>
      <c r="L16" s="69">
        <f t="shared" si="6"/>
        <v>352</v>
      </c>
      <c r="M16" s="69">
        <f t="shared" si="7"/>
        <v>235</v>
      </c>
      <c r="N16" s="69">
        <f t="shared" si="8"/>
        <v>141</v>
      </c>
      <c r="O16" s="69">
        <f t="shared" si="9"/>
        <v>100</v>
      </c>
      <c r="P16" s="69">
        <f t="shared" si="10"/>
        <v>70</v>
      </c>
      <c r="Q16" s="63">
        <f t="shared" si="11"/>
        <v>705</v>
      </c>
      <c r="R16" s="63">
        <f t="shared" si="12"/>
        <v>352</v>
      </c>
      <c r="S16" s="63">
        <f t="shared" si="13"/>
        <v>235</v>
      </c>
      <c r="T16" s="63">
        <f t="shared" si="14"/>
        <v>141</v>
      </c>
      <c r="U16" s="63">
        <f t="shared" si="15"/>
        <v>100</v>
      </c>
      <c r="V16" s="63">
        <f t="shared" si="16"/>
        <v>70</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265</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17647</v>
      </c>
      <c r="L17" s="69">
        <f t="shared" si="6"/>
        <v>8823</v>
      </c>
      <c r="M17" s="69">
        <f t="shared" si="7"/>
        <v>5882</v>
      </c>
      <c r="N17" s="69">
        <f t="shared" si="8"/>
        <v>3529</v>
      </c>
      <c r="O17" s="69">
        <f t="shared" si="9"/>
        <v>2521</v>
      </c>
      <c r="P17" s="69">
        <f t="shared" si="10"/>
        <v>1764</v>
      </c>
      <c r="Q17" s="63">
        <f t="shared" si="11"/>
        <v>17647</v>
      </c>
      <c r="R17" s="63">
        <f t="shared" si="12"/>
        <v>8823</v>
      </c>
      <c r="S17" s="63">
        <f t="shared" si="13"/>
        <v>5882</v>
      </c>
      <c r="T17" s="63">
        <f t="shared" si="14"/>
        <v>3529</v>
      </c>
      <c r="U17" s="63">
        <f t="shared" si="15"/>
        <v>2521</v>
      </c>
      <c r="V17" s="63">
        <f t="shared" si="16"/>
        <v>1764</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265</v>
      </c>
    </row>
    <row r="18" spans="1:25" x14ac:dyDescent="0.35">
      <c r="A18" s="53" t="str">
        <f>Inventory!A15</f>
        <v>Vanillin Crystals</v>
      </c>
      <c r="B18" s="69">
        <f>Inventory!B15</f>
        <v>30</v>
      </c>
      <c r="C18" s="61" t="str">
        <f>Inventory!C15</f>
        <v>g</v>
      </c>
      <c r="D18" s="69">
        <f>Inventory!D15</f>
        <v>1</v>
      </c>
      <c r="E18" s="60">
        <v>0</v>
      </c>
      <c r="F18" s="70">
        <f>Inventory!E15</f>
        <v>0</v>
      </c>
      <c r="G18" s="24">
        <f>Inventory!K15</f>
        <v>30</v>
      </c>
      <c r="H18" s="57">
        <f t="shared" si="2"/>
        <v>30</v>
      </c>
      <c r="I18" s="71">
        <f t="shared" si="3"/>
        <v>7.0000000000000007E-2</v>
      </c>
      <c r="J18" s="72">
        <f t="shared" si="4"/>
        <v>7.0000000000000007E-2</v>
      </c>
      <c r="K18" s="69">
        <f t="shared" si="5"/>
        <v>252</v>
      </c>
      <c r="L18" s="69">
        <f t="shared" si="6"/>
        <v>126</v>
      </c>
      <c r="M18" s="69">
        <f t="shared" si="7"/>
        <v>84</v>
      </c>
      <c r="N18" s="69">
        <f t="shared" si="8"/>
        <v>50</v>
      </c>
      <c r="O18" s="69">
        <f t="shared" si="9"/>
        <v>36</v>
      </c>
      <c r="P18" s="69">
        <f t="shared" si="10"/>
        <v>25</v>
      </c>
      <c r="Q18" s="63">
        <f t="shared" si="11"/>
        <v>252</v>
      </c>
      <c r="R18" s="63">
        <f t="shared" si="12"/>
        <v>126</v>
      </c>
      <c r="S18" s="63">
        <f t="shared" si="13"/>
        <v>84</v>
      </c>
      <c r="T18" s="63">
        <f t="shared" si="14"/>
        <v>50</v>
      </c>
      <c r="U18" s="63">
        <f t="shared" si="15"/>
        <v>36</v>
      </c>
      <c r="V18" s="63">
        <f t="shared" si="16"/>
        <v>25</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265</v>
      </c>
    </row>
    <row r="19" spans="1:25" x14ac:dyDescent="0.35">
      <c r="A19" s="53" t="str">
        <f>Inventory!A16</f>
        <v>Ethyl Vanillin</v>
      </c>
      <c r="B19" s="69">
        <f>Inventory!B16</f>
        <v>10</v>
      </c>
      <c r="C19" s="61" t="str">
        <f>Inventory!C16</f>
        <v>g</v>
      </c>
      <c r="D19" s="69">
        <f>Inventory!D16</f>
        <v>2</v>
      </c>
      <c r="E19" s="60">
        <v>0</v>
      </c>
      <c r="F19" s="70">
        <f>Inventory!E16</f>
        <v>0</v>
      </c>
      <c r="G19" s="24">
        <f>Inventory!K16</f>
        <v>20</v>
      </c>
      <c r="H19" s="57">
        <f t="shared" si="2"/>
        <v>20</v>
      </c>
      <c r="I19" s="71">
        <f t="shared" si="3"/>
        <v>2.5000000000000001E-2</v>
      </c>
      <c r="J19" s="72">
        <f t="shared" si="4"/>
        <v>2.5000000000000001E-2</v>
      </c>
      <c r="K19" s="69">
        <f t="shared" si="5"/>
        <v>470</v>
      </c>
      <c r="L19" s="69">
        <f t="shared" si="6"/>
        <v>235</v>
      </c>
      <c r="M19" s="69">
        <f t="shared" si="7"/>
        <v>156</v>
      </c>
      <c r="N19" s="69">
        <f t="shared" si="8"/>
        <v>94</v>
      </c>
      <c r="O19" s="69">
        <f t="shared" si="9"/>
        <v>67</v>
      </c>
      <c r="P19" s="69">
        <f t="shared" si="10"/>
        <v>47</v>
      </c>
      <c r="Q19" s="63">
        <f t="shared" si="11"/>
        <v>470</v>
      </c>
      <c r="R19" s="63">
        <f t="shared" si="12"/>
        <v>235</v>
      </c>
      <c r="S19" s="63">
        <f t="shared" si="13"/>
        <v>156</v>
      </c>
      <c r="T19" s="63">
        <f t="shared" si="14"/>
        <v>94</v>
      </c>
      <c r="U19" s="63">
        <f t="shared" si="15"/>
        <v>67</v>
      </c>
      <c r="V19" s="63">
        <f t="shared" si="16"/>
        <v>47</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265</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2941</v>
      </c>
      <c r="L20" s="69">
        <f t="shared" si="6"/>
        <v>1470</v>
      </c>
      <c r="M20" s="69">
        <f t="shared" si="7"/>
        <v>980</v>
      </c>
      <c r="N20" s="69">
        <f t="shared" si="8"/>
        <v>588</v>
      </c>
      <c r="O20" s="69">
        <f t="shared" si="9"/>
        <v>420</v>
      </c>
      <c r="P20" s="69">
        <f t="shared" si="10"/>
        <v>294</v>
      </c>
      <c r="Q20" s="63">
        <f t="shared" si="11"/>
        <v>2941</v>
      </c>
      <c r="R20" s="63">
        <f t="shared" si="12"/>
        <v>1470</v>
      </c>
      <c r="S20" s="63">
        <f t="shared" si="13"/>
        <v>980</v>
      </c>
      <c r="T20" s="63">
        <f t="shared" si="14"/>
        <v>588</v>
      </c>
      <c r="U20" s="63">
        <f t="shared" si="15"/>
        <v>420</v>
      </c>
      <c r="V20" s="63">
        <f t="shared" si="16"/>
        <v>294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265</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4.4999999999999998E-2</v>
      </c>
      <c r="J21" s="72">
        <f t="shared" si="4"/>
        <v>4.4999999999999998E-2</v>
      </c>
      <c r="K21" s="69">
        <f t="shared" si="5"/>
        <v>6535</v>
      </c>
      <c r="L21" s="69">
        <f t="shared" si="6"/>
        <v>3267</v>
      </c>
      <c r="M21" s="69">
        <f t="shared" si="7"/>
        <v>2178</v>
      </c>
      <c r="N21" s="69">
        <f t="shared" si="8"/>
        <v>1307</v>
      </c>
      <c r="O21" s="69">
        <f t="shared" si="9"/>
        <v>933</v>
      </c>
      <c r="P21" s="69">
        <f t="shared" si="10"/>
        <v>653</v>
      </c>
      <c r="Q21" s="63">
        <f t="shared" si="11"/>
        <v>6535</v>
      </c>
      <c r="R21" s="63">
        <f t="shared" si="12"/>
        <v>3267</v>
      </c>
      <c r="S21" s="63">
        <f t="shared" si="13"/>
        <v>2178</v>
      </c>
      <c r="T21" s="63">
        <f t="shared" si="14"/>
        <v>1307</v>
      </c>
      <c r="U21" s="63">
        <f t="shared" si="15"/>
        <v>933</v>
      </c>
      <c r="V21" s="63">
        <f t="shared" si="16"/>
        <v>653</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265</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211</v>
      </c>
      <c r="L22" s="69">
        <f t="shared" si="6"/>
        <v>105</v>
      </c>
      <c r="M22" s="69">
        <f t="shared" si="7"/>
        <v>70</v>
      </c>
      <c r="N22" s="69">
        <f t="shared" si="8"/>
        <v>42</v>
      </c>
      <c r="O22" s="69">
        <f t="shared" si="9"/>
        <v>30</v>
      </c>
      <c r="P22" s="69">
        <f t="shared" si="10"/>
        <v>21</v>
      </c>
      <c r="Q22" s="63">
        <f t="shared" si="11"/>
        <v>211</v>
      </c>
      <c r="R22" s="63">
        <f t="shared" si="12"/>
        <v>105</v>
      </c>
      <c r="S22" s="63">
        <f t="shared" si="13"/>
        <v>70</v>
      </c>
      <c r="T22" s="63">
        <f t="shared" si="14"/>
        <v>42</v>
      </c>
      <c r="U22" s="63">
        <f t="shared" si="15"/>
        <v>30</v>
      </c>
      <c r="V22" s="63">
        <f t="shared" si="16"/>
        <v>21</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265</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3529</v>
      </c>
      <c r="L23" s="69">
        <f t="shared" si="6"/>
        <v>1764</v>
      </c>
      <c r="M23" s="69">
        <f t="shared" si="7"/>
        <v>1176</v>
      </c>
      <c r="N23" s="69">
        <f t="shared" si="8"/>
        <v>705</v>
      </c>
      <c r="O23" s="69">
        <f t="shared" si="9"/>
        <v>504</v>
      </c>
      <c r="P23" s="69">
        <f t="shared" si="10"/>
        <v>352</v>
      </c>
      <c r="Q23" s="63">
        <f t="shared" si="11"/>
        <v>3529</v>
      </c>
      <c r="R23" s="63">
        <f t="shared" si="12"/>
        <v>1764</v>
      </c>
      <c r="S23" s="63">
        <f t="shared" si="13"/>
        <v>1176</v>
      </c>
      <c r="T23" s="63">
        <f t="shared" si="14"/>
        <v>705</v>
      </c>
      <c r="U23" s="63">
        <f t="shared" si="15"/>
        <v>504</v>
      </c>
      <c r="V23" s="63">
        <f t="shared" si="16"/>
        <v>352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265</v>
      </c>
    </row>
    <row r="24" spans="1:25" x14ac:dyDescent="0.35">
      <c r="A24" s="53" t="str">
        <f>Inventory!A21</f>
        <v>Ambroxan</v>
      </c>
      <c r="B24" s="69">
        <f>Inventory!B21</f>
        <v>10</v>
      </c>
      <c r="C24" s="61" t="str">
        <f>Inventory!C21</f>
        <v>g</v>
      </c>
      <c r="D24" s="69">
        <f>Inventory!D21</f>
        <v>2</v>
      </c>
      <c r="E24" s="60">
        <v>0</v>
      </c>
      <c r="F24" s="70">
        <f>Inventory!E21</f>
        <v>0</v>
      </c>
      <c r="G24" s="24">
        <f>Inventory!K21</f>
        <v>20</v>
      </c>
      <c r="H24" s="57">
        <f t="shared" si="2"/>
        <v>20</v>
      </c>
      <c r="I24" s="71">
        <f t="shared" si="3"/>
        <v>7.4999999999999997E-2</v>
      </c>
      <c r="J24" s="72">
        <f t="shared" si="4"/>
        <v>7.4999999999999997E-2</v>
      </c>
      <c r="K24" s="69">
        <f t="shared" si="5"/>
        <v>156</v>
      </c>
      <c r="L24" s="69">
        <f t="shared" si="6"/>
        <v>78</v>
      </c>
      <c r="M24" s="69">
        <f t="shared" si="7"/>
        <v>52</v>
      </c>
      <c r="N24" s="69">
        <f t="shared" si="8"/>
        <v>31</v>
      </c>
      <c r="O24" s="69">
        <f t="shared" si="9"/>
        <v>22</v>
      </c>
      <c r="P24" s="69">
        <f t="shared" si="10"/>
        <v>15</v>
      </c>
      <c r="Q24" s="63">
        <f t="shared" si="11"/>
        <v>156</v>
      </c>
      <c r="R24" s="63">
        <f t="shared" si="12"/>
        <v>78</v>
      </c>
      <c r="S24" s="63">
        <f t="shared" si="13"/>
        <v>52</v>
      </c>
      <c r="T24" s="63">
        <f t="shared" si="14"/>
        <v>31</v>
      </c>
      <c r="U24" s="63">
        <f t="shared" si="15"/>
        <v>22</v>
      </c>
      <c r="V24" s="63">
        <f t="shared" si="16"/>
        <v>15</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2</v>
      </c>
      <c r="X24" s="61" t="str">
        <f t="shared" si="17"/>
        <v>BUY MORE - raises output</v>
      </c>
      <c r="Y24" s="62" t="s">
        <v>265</v>
      </c>
    </row>
    <row r="25" spans="1:25" x14ac:dyDescent="0.35">
      <c r="A25" s="53" t="str">
        <f>Inventory!A22</f>
        <v>Iso E Super</v>
      </c>
      <c r="B25" s="69">
        <f>Inventory!B22</f>
        <v>30</v>
      </c>
      <c r="C25" s="61" t="str">
        <f>Inventory!C22</f>
        <v>ml</v>
      </c>
      <c r="D25" s="69">
        <f>Inventory!D22</f>
        <v>1</v>
      </c>
      <c r="E25" s="60">
        <v>0</v>
      </c>
      <c r="F25" s="70">
        <f>Inventory!E22</f>
        <v>0.9</v>
      </c>
      <c r="G25" s="24">
        <f>Inventory!K22</f>
        <v>27</v>
      </c>
      <c r="H25" s="57">
        <f t="shared" si="2"/>
        <v>27</v>
      </c>
      <c r="I25" s="71">
        <f t="shared" si="3"/>
        <v>9.5000000000000001E-2</v>
      </c>
      <c r="J25" s="72">
        <f t="shared" si="4"/>
        <v>9.5000000000000001E-2</v>
      </c>
      <c r="K25" s="69">
        <f t="shared" si="5"/>
        <v>167</v>
      </c>
      <c r="L25" s="69">
        <f t="shared" si="6"/>
        <v>83</v>
      </c>
      <c r="M25" s="69">
        <f t="shared" si="7"/>
        <v>55</v>
      </c>
      <c r="N25" s="69">
        <f t="shared" si="8"/>
        <v>33</v>
      </c>
      <c r="O25" s="69">
        <f t="shared" si="9"/>
        <v>23</v>
      </c>
      <c r="P25" s="69">
        <f t="shared" si="10"/>
        <v>16</v>
      </c>
      <c r="Q25" s="63">
        <f t="shared" si="11"/>
        <v>167</v>
      </c>
      <c r="R25" s="63">
        <f t="shared" si="12"/>
        <v>83</v>
      </c>
      <c r="S25" s="63">
        <f t="shared" si="13"/>
        <v>55</v>
      </c>
      <c r="T25" s="63">
        <f t="shared" si="14"/>
        <v>33</v>
      </c>
      <c r="U25" s="63">
        <f t="shared" si="15"/>
        <v>23</v>
      </c>
      <c r="V25" s="63">
        <f t="shared" si="16"/>
        <v>16</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0</v>
      </c>
      <c r="X25" s="61" t="str">
        <f t="shared" si="17"/>
        <v>NEXT LIMIT</v>
      </c>
      <c r="Y25" s="62" t="s">
        <v>265</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176</v>
      </c>
      <c r="L26" s="69">
        <f t="shared" si="6"/>
        <v>88</v>
      </c>
      <c r="M26" s="69">
        <f t="shared" si="7"/>
        <v>58</v>
      </c>
      <c r="N26" s="69">
        <f t="shared" si="8"/>
        <v>35</v>
      </c>
      <c r="O26" s="69">
        <f t="shared" si="9"/>
        <v>25</v>
      </c>
      <c r="P26" s="69">
        <f t="shared" si="10"/>
        <v>17</v>
      </c>
      <c r="Q26" s="63">
        <f t="shared" si="11"/>
        <v>176</v>
      </c>
      <c r="R26" s="63">
        <f t="shared" si="12"/>
        <v>88</v>
      </c>
      <c r="S26" s="63">
        <f t="shared" si="13"/>
        <v>58</v>
      </c>
      <c r="T26" s="63">
        <f t="shared" si="14"/>
        <v>35</v>
      </c>
      <c r="U26" s="63">
        <f t="shared" si="15"/>
        <v>25</v>
      </c>
      <c r="V26" s="63">
        <f t="shared" si="16"/>
        <v>17</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265</v>
      </c>
    </row>
    <row r="27" spans="1:25" x14ac:dyDescent="0.35">
      <c r="A27" s="53" t="str">
        <f>Inventory!A24</f>
        <v>Sandalore (Givaudan)</v>
      </c>
      <c r="B27" s="69">
        <f>Inventory!B24</f>
        <v>10</v>
      </c>
      <c r="C27" s="61" t="str">
        <f>Inventory!C24</f>
        <v>ml</v>
      </c>
      <c r="D27" s="69">
        <f>Inventory!D24</f>
        <v>2</v>
      </c>
      <c r="E27" s="60">
        <v>0</v>
      </c>
      <c r="F27" s="70">
        <f>Inventory!E24</f>
        <v>0.9</v>
      </c>
      <c r="G27" s="24">
        <f>Inventory!K24</f>
        <v>18</v>
      </c>
      <c r="H27" s="57">
        <f t="shared" si="2"/>
        <v>18</v>
      </c>
      <c r="I27" s="71">
        <f t="shared" si="3"/>
        <v>3.5000000000000003E-2</v>
      </c>
      <c r="J27" s="72">
        <f t="shared" si="4"/>
        <v>3.5000000000000003E-2</v>
      </c>
      <c r="K27" s="69">
        <f t="shared" si="5"/>
        <v>302</v>
      </c>
      <c r="L27" s="69">
        <f t="shared" si="6"/>
        <v>151</v>
      </c>
      <c r="M27" s="69">
        <f t="shared" si="7"/>
        <v>100</v>
      </c>
      <c r="N27" s="69">
        <f t="shared" si="8"/>
        <v>60</v>
      </c>
      <c r="O27" s="69">
        <f t="shared" si="9"/>
        <v>43</v>
      </c>
      <c r="P27" s="69">
        <f t="shared" si="10"/>
        <v>30</v>
      </c>
      <c r="Q27" s="63">
        <f t="shared" si="11"/>
        <v>302</v>
      </c>
      <c r="R27" s="63">
        <f t="shared" si="12"/>
        <v>151</v>
      </c>
      <c r="S27" s="63">
        <f t="shared" si="13"/>
        <v>100</v>
      </c>
      <c r="T27" s="63">
        <f t="shared" si="14"/>
        <v>60</v>
      </c>
      <c r="U27" s="63">
        <f t="shared" si="15"/>
        <v>43</v>
      </c>
      <c r="V27" s="63">
        <f t="shared" si="16"/>
        <v>30</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265</v>
      </c>
    </row>
    <row r="28" spans="1:25" x14ac:dyDescent="0.35">
      <c r="A28" s="53" t="str">
        <f>Inventory!A25</f>
        <v>Ethylene Brassylate</v>
      </c>
      <c r="B28" s="69">
        <f>Inventory!B25</f>
        <v>50</v>
      </c>
      <c r="C28" s="61" t="str">
        <f>Inventory!C25</f>
        <v>ml</v>
      </c>
      <c r="D28" s="69">
        <f>Inventory!D25</f>
        <v>1</v>
      </c>
      <c r="E28" s="60">
        <v>0</v>
      </c>
      <c r="F28" s="70">
        <f>Inventory!E25</f>
        <v>0.9</v>
      </c>
      <c r="G28" s="24">
        <f>Inventory!K25</f>
        <v>45</v>
      </c>
      <c r="H28" s="57">
        <f t="shared" si="2"/>
        <v>45</v>
      </c>
      <c r="I28" s="71">
        <f t="shared" si="3"/>
        <v>7.4999999999999997E-2</v>
      </c>
      <c r="J28" s="72">
        <f t="shared" si="4"/>
        <v>7.4999999999999997E-2</v>
      </c>
      <c r="K28" s="69">
        <f t="shared" si="5"/>
        <v>352</v>
      </c>
      <c r="L28" s="69">
        <f t="shared" si="6"/>
        <v>176</v>
      </c>
      <c r="M28" s="69">
        <f t="shared" si="7"/>
        <v>117</v>
      </c>
      <c r="N28" s="69">
        <f t="shared" si="8"/>
        <v>70</v>
      </c>
      <c r="O28" s="69">
        <f t="shared" si="9"/>
        <v>50</v>
      </c>
      <c r="P28" s="69">
        <f t="shared" si="10"/>
        <v>35</v>
      </c>
      <c r="Q28" s="63">
        <f t="shared" si="11"/>
        <v>352</v>
      </c>
      <c r="R28" s="63">
        <f t="shared" si="12"/>
        <v>176</v>
      </c>
      <c r="S28" s="63">
        <f t="shared" si="13"/>
        <v>117</v>
      </c>
      <c r="T28" s="63">
        <f t="shared" si="14"/>
        <v>70</v>
      </c>
      <c r="U28" s="63">
        <f t="shared" si="15"/>
        <v>50</v>
      </c>
      <c r="V28" s="63">
        <f t="shared" si="16"/>
        <v>35</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265</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288</v>
      </c>
      <c r="L29" s="69">
        <f t="shared" si="6"/>
        <v>144</v>
      </c>
      <c r="M29" s="69">
        <f t="shared" si="7"/>
        <v>96</v>
      </c>
      <c r="N29" s="69">
        <f t="shared" si="8"/>
        <v>57</v>
      </c>
      <c r="O29" s="69">
        <f t="shared" si="9"/>
        <v>41</v>
      </c>
      <c r="P29" s="69">
        <f t="shared" si="10"/>
        <v>28</v>
      </c>
      <c r="Q29" s="63">
        <f t="shared" si="11"/>
        <v>288</v>
      </c>
      <c r="R29" s="63">
        <f t="shared" si="12"/>
        <v>144</v>
      </c>
      <c r="S29" s="63">
        <f t="shared" si="13"/>
        <v>96</v>
      </c>
      <c r="T29" s="63">
        <f t="shared" si="14"/>
        <v>57</v>
      </c>
      <c r="U29" s="63">
        <f t="shared" si="15"/>
        <v>41</v>
      </c>
      <c r="V29" s="63">
        <f t="shared" si="16"/>
        <v>28</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265</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211</v>
      </c>
      <c r="L30" s="69">
        <f t="shared" si="6"/>
        <v>105</v>
      </c>
      <c r="M30" s="69">
        <f t="shared" si="7"/>
        <v>70</v>
      </c>
      <c r="N30" s="69">
        <f t="shared" si="8"/>
        <v>42</v>
      </c>
      <c r="O30" s="69">
        <f t="shared" si="9"/>
        <v>30</v>
      </c>
      <c r="P30" s="69">
        <f t="shared" si="10"/>
        <v>21</v>
      </c>
      <c r="Q30" s="63">
        <f t="shared" si="11"/>
        <v>211</v>
      </c>
      <c r="R30" s="63">
        <f t="shared" si="12"/>
        <v>105</v>
      </c>
      <c r="S30" s="63">
        <f t="shared" si="13"/>
        <v>70</v>
      </c>
      <c r="T30" s="63">
        <f t="shared" si="14"/>
        <v>42</v>
      </c>
      <c r="U30" s="63">
        <f t="shared" si="15"/>
        <v>30</v>
      </c>
      <c r="V30" s="63">
        <f t="shared" si="16"/>
        <v>21</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265</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1058</v>
      </c>
      <c r="L31" s="69">
        <f t="shared" si="6"/>
        <v>529</v>
      </c>
      <c r="M31" s="69">
        <f t="shared" si="7"/>
        <v>352</v>
      </c>
      <c r="N31" s="69">
        <f t="shared" si="8"/>
        <v>211</v>
      </c>
      <c r="O31" s="69">
        <f t="shared" si="9"/>
        <v>151</v>
      </c>
      <c r="P31" s="69">
        <f t="shared" si="10"/>
        <v>105</v>
      </c>
      <c r="Q31" s="63">
        <f t="shared" si="11"/>
        <v>1058</v>
      </c>
      <c r="R31" s="63">
        <f t="shared" si="12"/>
        <v>529</v>
      </c>
      <c r="S31" s="63">
        <f t="shared" si="13"/>
        <v>352</v>
      </c>
      <c r="T31" s="63">
        <f t="shared" si="14"/>
        <v>211</v>
      </c>
      <c r="U31" s="63">
        <f t="shared" si="15"/>
        <v>151</v>
      </c>
      <c r="V31" s="63">
        <f t="shared" si="16"/>
        <v>105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265</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6944</v>
      </c>
      <c r="L32" s="69">
        <f t="shared" si="6"/>
        <v>3472</v>
      </c>
      <c r="M32" s="69">
        <f t="shared" si="7"/>
        <v>2314</v>
      </c>
      <c r="N32" s="69">
        <f t="shared" si="8"/>
        <v>1388</v>
      </c>
      <c r="O32" s="69">
        <f t="shared" si="9"/>
        <v>992</v>
      </c>
      <c r="P32" s="69">
        <f t="shared" si="10"/>
        <v>694</v>
      </c>
      <c r="Q32" s="63">
        <f t="shared" si="11"/>
        <v>6944</v>
      </c>
      <c r="R32" s="63">
        <f t="shared" si="12"/>
        <v>3472</v>
      </c>
      <c r="S32" s="63">
        <f t="shared" si="13"/>
        <v>2314</v>
      </c>
      <c r="T32" s="63">
        <f t="shared" si="14"/>
        <v>1388</v>
      </c>
      <c r="U32" s="63">
        <f t="shared" si="15"/>
        <v>992</v>
      </c>
      <c r="V32" s="63">
        <f t="shared" si="16"/>
        <v>694</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265</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595</v>
      </c>
      <c r="L33" s="69">
        <f t="shared" si="6"/>
        <v>297</v>
      </c>
      <c r="M33" s="69">
        <f t="shared" si="7"/>
        <v>198</v>
      </c>
      <c r="N33" s="69">
        <f t="shared" si="8"/>
        <v>119</v>
      </c>
      <c r="O33" s="69">
        <f t="shared" si="9"/>
        <v>85</v>
      </c>
      <c r="P33" s="69">
        <f t="shared" si="10"/>
        <v>59</v>
      </c>
      <c r="Q33" s="63">
        <f t="shared" si="11"/>
        <v>595</v>
      </c>
      <c r="R33" s="63">
        <f t="shared" si="12"/>
        <v>297</v>
      </c>
      <c r="S33" s="63">
        <f t="shared" si="13"/>
        <v>198</v>
      </c>
      <c r="T33" s="63">
        <f t="shared" si="14"/>
        <v>119</v>
      </c>
      <c r="U33" s="63">
        <f t="shared" si="15"/>
        <v>85</v>
      </c>
      <c r="V33" s="63">
        <f t="shared" si="16"/>
        <v>59</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265</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266</v>
      </c>
      <c r="B1" s="89"/>
      <c r="C1" s="89"/>
      <c r="D1" s="89"/>
      <c r="E1" s="89"/>
      <c r="F1" s="89"/>
      <c r="G1" s="89"/>
      <c r="H1" s="89"/>
      <c r="I1" s="89"/>
      <c r="J1" s="89"/>
      <c r="K1" s="89"/>
      <c r="L1" s="89"/>
      <c r="M1" s="1"/>
    </row>
    <row r="2" spans="1:13" x14ac:dyDescent="0.35">
      <c r="A2" s="105" t="s">
        <v>267</v>
      </c>
      <c r="B2" s="106"/>
      <c r="C2" s="106"/>
      <c r="D2" s="106"/>
      <c r="E2" s="106"/>
      <c r="F2" s="106"/>
      <c r="G2" s="106"/>
      <c r="H2" s="106"/>
      <c r="I2" s="106"/>
      <c r="J2" s="106"/>
      <c r="K2" s="106"/>
      <c r="L2" s="106"/>
      <c r="M2" s="1"/>
    </row>
    <row r="3" spans="1:13" x14ac:dyDescent="0.35">
      <c r="A3" s="125" t="s">
        <v>268</v>
      </c>
      <c r="B3" s="89"/>
      <c r="C3" s="60">
        <v>42</v>
      </c>
      <c r="D3" s="125" t="s">
        <v>269</v>
      </c>
      <c r="E3" s="89"/>
      <c r="F3" s="73">
        <f>SUM(LogConcG)</f>
        <v>0</v>
      </c>
      <c r="G3" s="125" t="s">
        <v>270</v>
      </c>
      <c r="H3" s="89"/>
      <c r="I3" s="73">
        <f>SUM(LogAlcG)</f>
        <v>0</v>
      </c>
      <c r="J3" s="1"/>
      <c r="K3" s="1"/>
      <c r="L3" s="1"/>
      <c r="M3" s="1"/>
    </row>
    <row r="4" spans="1:13" ht="24" customHeight="1" x14ac:dyDescent="0.35">
      <c r="A4" s="17" t="s">
        <v>271</v>
      </c>
      <c r="B4" s="17" t="s">
        <v>272</v>
      </c>
      <c r="C4" s="17" t="s">
        <v>10</v>
      </c>
      <c r="D4" s="17" t="s">
        <v>273</v>
      </c>
      <c r="E4" s="17" t="s">
        <v>223</v>
      </c>
      <c r="F4" s="17" t="s">
        <v>274</v>
      </c>
      <c r="G4" s="17" t="s">
        <v>275</v>
      </c>
      <c r="H4" s="17" t="s">
        <v>16</v>
      </c>
      <c r="I4" s="17" t="s">
        <v>276</v>
      </c>
      <c r="J4" s="17" t="s">
        <v>277</v>
      </c>
      <c r="K4" s="17" t="s">
        <v>232</v>
      </c>
      <c r="L4" s="17" t="s">
        <v>278</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279</v>
      </c>
      <c r="B1" s="89"/>
      <c r="C1" s="89"/>
      <c r="D1" s="89"/>
      <c r="E1" s="89"/>
      <c r="F1" s="89"/>
      <c r="G1" s="89"/>
      <c r="H1" s="89"/>
      <c r="I1" s="89"/>
    </row>
    <row r="2" spans="1:9" x14ac:dyDescent="0.35">
      <c r="A2" s="105" t="s">
        <v>280</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272</v>
      </c>
      <c r="B4" s="17" t="s">
        <v>10</v>
      </c>
      <c r="C4" s="17" t="s">
        <v>281</v>
      </c>
      <c r="D4" s="17" t="s">
        <v>277</v>
      </c>
      <c r="E4" s="17" t="s">
        <v>282</v>
      </c>
      <c r="F4" s="17" t="s">
        <v>283</v>
      </c>
      <c r="G4" s="17" t="s">
        <v>284</v>
      </c>
      <c r="H4" s="17" t="s">
        <v>232</v>
      </c>
      <c r="I4" s="17" t="s">
        <v>285</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286</v>
      </c>
      <c r="B1" s="89"/>
      <c r="C1" s="89"/>
      <c r="D1" s="89"/>
      <c r="E1" s="89"/>
      <c r="F1" s="89"/>
      <c r="G1" s="89"/>
      <c r="H1" s="89"/>
      <c r="I1" s="89"/>
    </row>
    <row r="2" spans="1:9" x14ac:dyDescent="0.35">
      <c r="A2" s="105" t="s">
        <v>287</v>
      </c>
      <c r="B2" s="106"/>
      <c r="C2" s="106"/>
      <c r="D2" s="106"/>
      <c r="E2" s="106"/>
      <c r="F2" s="106"/>
      <c r="G2" s="106"/>
      <c r="H2" s="106"/>
      <c r="I2" s="106"/>
    </row>
    <row r="3" spans="1:9" ht="18" customHeight="1" x14ac:dyDescent="0.35">
      <c r="A3" s="97" t="s">
        <v>288</v>
      </c>
      <c r="B3" s="98"/>
      <c r="C3" s="98"/>
      <c r="D3" s="98"/>
      <c r="E3" s="98"/>
      <c r="F3" s="98"/>
      <c r="G3" s="98"/>
      <c r="H3" s="98"/>
      <c r="I3" s="98"/>
    </row>
    <row r="4" spans="1:9" x14ac:dyDescent="0.35">
      <c r="A4" s="88" t="s">
        <v>289</v>
      </c>
      <c r="B4" s="89"/>
      <c r="C4" s="46">
        <f>SUM(Inv_TotalPaid)</f>
        <v>1692.83</v>
      </c>
      <c r="D4" s="92" t="s">
        <v>290</v>
      </c>
      <c r="E4" s="89"/>
      <c r="F4" s="89"/>
      <c r="G4" s="89"/>
      <c r="H4" s="89"/>
      <c r="I4" s="89"/>
    </row>
    <row r="5" spans="1:9" x14ac:dyDescent="0.35">
      <c r="A5" s="88" t="s">
        <v>291</v>
      </c>
      <c r="B5" s="89"/>
      <c r="C5" s="42">
        <v>351</v>
      </c>
      <c r="D5" s="92" t="s">
        <v>292</v>
      </c>
      <c r="E5" s="89"/>
      <c r="F5" s="89"/>
      <c r="G5" s="89"/>
      <c r="H5" s="89"/>
      <c r="I5" s="89"/>
    </row>
    <row r="6" spans="1:9" x14ac:dyDescent="0.35">
      <c r="A6" s="104" t="s">
        <v>293</v>
      </c>
      <c r="B6" s="89"/>
      <c r="C6" s="46">
        <f>C4+C5</f>
        <v>2043.83</v>
      </c>
      <c r="D6" s="92"/>
      <c r="E6" s="89"/>
      <c r="F6" s="89"/>
      <c r="G6" s="89"/>
      <c r="H6" s="89"/>
      <c r="I6" s="89"/>
    </row>
    <row r="7" spans="1:9" x14ac:dyDescent="0.35">
      <c r="A7" s="88" t="s">
        <v>294</v>
      </c>
      <c r="B7" s="89"/>
      <c r="C7" s="77">
        <f>1+ShippingSAR/MaterialsTotalSAR</f>
        <v>1.2073450966724362</v>
      </c>
      <c r="D7" s="92" t="s">
        <v>295</v>
      </c>
      <c r="E7" s="89"/>
      <c r="F7" s="89"/>
      <c r="G7" s="89"/>
      <c r="H7" s="89"/>
      <c r="I7" s="89"/>
    </row>
    <row r="8" spans="1:9" x14ac:dyDescent="0.35">
      <c r="A8" s="1"/>
      <c r="B8" s="1"/>
      <c r="C8" s="1"/>
      <c r="D8" s="1"/>
      <c r="E8" s="1"/>
      <c r="F8" s="1"/>
      <c r="G8" s="1"/>
      <c r="H8" s="1"/>
      <c r="I8" s="1"/>
    </row>
    <row r="9" spans="1:9" ht="18" customHeight="1" x14ac:dyDescent="0.35">
      <c r="A9" s="97" t="s">
        <v>296</v>
      </c>
      <c r="B9" s="98"/>
      <c r="C9" s="98"/>
      <c r="D9" s="98"/>
      <c r="E9" s="98"/>
      <c r="F9" s="98"/>
      <c r="G9" s="98"/>
      <c r="H9" s="98"/>
      <c r="I9" s="98"/>
    </row>
    <row r="10" spans="1:9" x14ac:dyDescent="0.35">
      <c r="A10" s="88" t="s">
        <v>297</v>
      </c>
      <c r="B10" s="89"/>
      <c r="C10" s="46">
        <f>INDEX(Inv_PricePerG,MATCH("DPG (Dipropylene Glycol)",Inv_Mat,0))</f>
        <v>9.8039215686274508E-2</v>
      </c>
      <c r="D10" s="92" t="s">
        <v>298</v>
      </c>
      <c r="E10" s="89"/>
      <c r="F10" s="89"/>
      <c r="G10" s="89"/>
      <c r="H10" s="89"/>
      <c r="I10" s="89"/>
    </row>
    <row r="11" spans="1:9" x14ac:dyDescent="0.35">
      <c r="A11" s="88" t="s">
        <v>299</v>
      </c>
      <c r="B11" s="89"/>
      <c r="C11" s="46">
        <f>SUMPRODUCT(FM_Active,FM_CostG)</f>
        <v>2.5142107755991283</v>
      </c>
      <c r="D11" s="92" t="s">
        <v>300</v>
      </c>
      <c r="E11" s="89"/>
      <c r="F11" s="89"/>
      <c r="G11" s="89"/>
      <c r="H11" s="89"/>
      <c r="I11" s="89"/>
    </row>
    <row r="12" spans="1:9" x14ac:dyDescent="0.35">
      <c r="A12" s="88" t="s">
        <v>301</v>
      </c>
      <c r="B12" s="89"/>
      <c r="C12" s="46">
        <f>ConcCostPerG*ShipLoad</f>
        <v>3.0355200519206105</v>
      </c>
      <c r="D12" s="92" t="s">
        <v>302</v>
      </c>
      <c r="E12" s="89"/>
      <c r="F12" s="89"/>
      <c r="G12" s="89"/>
      <c r="H12" s="89"/>
      <c r="I12" s="89"/>
    </row>
    <row r="13" spans="1:9" x14ac:dyDescent="0.35">
      <c r="A13" s="1"/>
      <c r="B13" s="1"/>
      <c r="C13" s="1"/>
      <c r="D13" s="1"/>
      <c r="E13" s="1"/>
      <c r="F13" s="1"/>
      <c r="G13" s="1"/>
      <c r="H13" s="1"/>
      <c r="I13" s="1"/>
    </row>
    <row r="14" spans="1:9" ht="18" customHeight="1" x14ac:dyDescent="0.35">
      <c r="A14" s="97" t="s">
        <v>303</v>
      </c>
      <c r="B14" s="98"/>
      <c r="C14" s="98"/>
      <c r="D14" s="98"/>
      <c r="E14" s="98"/>
      <c r="F14" s="98"/>
      <c r="G14" s="98"/>
      <c r="H14" s="98"/>
      <c r="I14" s="98"/>
    </row>
    <row r="15" spans="1:9" x14ac:dyDescent="0.35">
      <c r="A15" s="126" t="s">
        <v>175</v>
      </c>
      <c r="B15" s="89"/>
      <c r="C15" s="78" t="s">
        <v>228</v>
      </c>
      <c r="D15" s="126" t="s">
        <v>177</v>
      </c>
      <c r="E15" s="89"/>
      <c r="F15" s="89"/>
      <c r="G15" s="89"/>
      <c r="H15" s="89"/>
      <c r="I15" s="89"/>
    </row>
    <row r="16" spans="1:9" x14ac:dyDescent="0.35">
      <c r="A16" s="114" t="s">
        <v>178</v>
      </c>
      <c r="B16" s="111"/>
      <c r="C16" s="24">
        <f>INDEX(Inv_PricePerG,MATCH("Alcohol 190 proof SDA 40B",Inv_Mat,0))*ShipLoad</f>
        <v>4.4716485061942077E-2</v>
      </c>
      <c r="D16" s="113" t="s">
        <v>304</v>
      </c>
      <c r="E16" s="89"/>
      <c r="F16" s="89"/>
      <c r="G16" s="89"/>
      <c r="H16" s="89"/>
      <c r="I16" s="89"/>
    </row>
    <row r="17" spans="1:9" x14ac:dyDescent="0.35">
      <c r="A17" s="114" t="s">
        <v>180</v>
      </c>
      <c r="B17" s="111"/>
      <c r="C17" s="42">
        <v>0.01</v>
      </c>
      <c r="D17" s="113" t="s">
        <v>305</v>
      </c>
      <c r="E17" s="89"/>
      <c r="F17" s="89"/>
      <c r="G17" s="89"/>
      <c r="H17" s="89"/>
      <c r="I17" s="89"/>
    </row>
    <row r="18" spans="1:9" x14ac:dyDescent="0.35">
      <c r="A18" s="114" t="s">
        <v>182</v>
      </c>
      <c r="B18" s="111"/>
      <c r="C18" s="42">
        <v>0.05</v>
      </c>
      <c r="D18" s="113" t="s">
        <v>305</v>
      </c>
      <c r="E18" s="89"/>
      <c r="F18" s="89"/>
      <c r="G18" s="89"/>
      <c r="H18" s="89"/>
      <c r="I18" s="89"/>
    </row>
    <row r="19" spans="1:9" x14ac:dyDescent="0.35">
      <c r="A19" s="114" t="s">
        <v>306</v>
      </c>
      <c r="B19" s="111"/>
      <c r="C19" s="42">
        <v>0.1</v>
      </c>
      <c r="D19" s="113" t="s">
        <v>305</v>
      </c>
      <c r="E19" s="89"/>
      <c r="F19" s="89"/>
      <c r="G19" s="89"/>
      <c r="H19" s="89"/>
      <c r="I19" s="89"/>
    </row>
    <row r="20" spans="1:9" x14ac:dyDescent="0.35">
      <c r="A20" s="114" t="s">
        <v>186</v>
      </c>
      <c r="B20" s="111"/>
      <c r="C20" s="42">
        <v>0.4</v>
      </c>
      <c r="D20" s="113" t="s">
        <v>305</v>
      </c>
      <c r="E20" s="89"/>
      <c r="F20" s="89"/>
      <c r="G20" s="89"/>
      <c r="H20" s="89"/>
      <c r="I20" s="89"/>
    </row>
    <row r="21" spans="1:9" x14ac:dyDescent="0.35">
      <c r="A21" s="114" t="s">
        <v>307</v>
      </c>
      <c r="B21" s="111"/>
      <c r="C21" s="42">
        <v>0.08</v>
      </c>
      <c r="D21" s="113" t="s">
        <v>305</v>
      </c>
      <c r="E21" s="89"/>
      <c r="F21" s="89"/>
      <c r="G21" s="89"/>
      <c r="H21" s="89"/>
      <c r="I21" s="89"/>
    </row>
    <row r="22" spans="1:9" x14ac:dyDescent="0.35">
      <c r="A22" s="114" t="s">
        <v>145</v>
      </c>
      <c r="B22" s="111"/>
      <c r="C22" s="42">
        <v>0.15</v>
      </c>
      <c r="D22" s="113" t="s">
        <v>305</v>
      </c>
      <c r="E22" s="89"/>
      <c r="F22" s="89"/>
      <c r="G22" s="89"/>
      <c r="H22" s="89"/>
      <c r="I22" s="89"/>
    </row>
    <row r="23" spans="1:9" x14ac:dyDescent="0.35">
      <c r="A23" s="114" t="s">
        <v>148</v>
      </c>
      <c r="B23" s="111"/>
      <c r="C23" s="42">
        <v>0.1</v>
      </c>
      <c r="D23" s="113" t="s">
        <v>305</v>
      </c>
      <c r="E23" s="89"/>
      <c r="F23" s="89"/>
      <c r="G23" s="89"/>
      <c r="H23" s="89"/>
      <c r="I23" s="89"/>
    </row>
    <row r="24" spans="1:9" x14ac:dyDescent="0.35">
      <c r="A24" s="114" t="s">
        <v>151</v>
      </c>
      <c r="B24" s="111"/>
      <c r="C24" s="42">
        <v>0.06</v>
      </c>
      <c r="D24" s="113" t="s">
        <v>305</v>
      </c>
      <c r="E24" s="89"/>
      <c r="F24" s="89"/>
      <c r="G24" s="89"/>
      <c r="H24" s="89"/>
      <c r="I24" s="89"/>
    </row>
    <row r="25" spans="1:9" x14ac:dyDescent="0.35">
      <c r="A25" s="114" t="s">
        <v>154</v>
      </c>
      <c r="B25" s="111"/>
      <c r="C25" s="42">
        <v>0.08</v>
      </c>
      <c r="D25" s="113" t="s">
        <v>305</v>
      </c>
      <c r="E25" s="89"/>
      <c r="F25" s="89"/>
      <c r="G25" s="89"/>
      <c r="H25" s="89"/>
      <c r="I25" s="89"/>
    </row>
    <row r="26" spans="1:9" x14ac:dyDescent="0.35">
      <c r="A26" s="114" t="s">
        <v>192</v>
      </c>
      <c r="B26" s="111"/>
      <c r="C26" s="42">
        <v>0.5</v>
      </c>
      <c r="D26" s="113" t="s">
        <v>305</v>
      </c>
      <c r="E26" s="89"/>
      <c r="F26" s="89"/>
      <c r="G26" s="89"/>
      <c r="H26" s="89"/>
      <c r="I26" s="89"/>
    </row>
    <row r="27" spans="1:9" x14ac:dyDescent="0.35">
      <c r="A27" s="1"/>
      <c r="B27" s="1"/>
      <c r="C27" s="1"/>
      <c r="D27" s="1"/>
      <c r="E27" s="1"/>
      <c r="F27" s="1"/>
      <c r="G27" s="1"/>
      <c r="H27" s="1"/>
      <c r="I27" s="1"/>
    </row>
    <row r="28" spans="1:9" ht="18" customHeight="1" x14ac:dyDescent="0.35">
      <c r="A28" s="97" t="s">
        <v>308</v>
      </c>
      <c r="B28" s="98"/>
      <c r="C28" s="98"/>
      <c r="D28" s="98"/>
      <c r="E28" s="98"/>
      <c r="F28" s="98"/>
      <c r="G28" s="98"/>
      <c r="H28" s="98"/>
      <c r="I28" s="98"/>
    </row>
    <row r="29" spans="1:9" ht="24" customHeight="1" x14ac:dyDescent="0.35">
      <c r="A29" s="17" t="s">
        <v>264</v>
      </c>
      <c r="B29" s="17" t="s">
        <v>273</v>
      </c>
      <c r="C29" s="17" t="s">
        <v>223</v>
      </c>
      <c r="D29" s="17" t="s">
        <v>246</v>
      </c>
      <c r="E29" s="17" t="s">
        <v>309</v>
      </c>
      <c r="F29" s="17" t="s">
        <v>274</v>
      </c>
      <c r="G29" s="17" t="s">
        <v>310</v>
      </c>
      <c r="H29" s="17" t="s">
        <v>311</v>
      </c>
      <c r="I29" s="17" t="s">
        <v>312</v>
      </c>
    </row>
    <row r="30" spans="1:9" x14ac:dyDescent="0.35">
      <c r="A30" s="53" t="s">
        <v>125</v>
      </c>
      <c r="B30" s="69">
        <v>30</v>
      </c>
      <c r="C30" s="61" t="s">
        <v>130</v>
      </c>
      <c r="D30" s="43">
        <v>0.85</v>
      </c>
      <c r="E30" s="24">
        <f t="shared" ref="E30:E37" si="0">IF(C30="ml",B30*D30,B30)</f>
        <v>25.5</v>
      </c>
      <c r="F30" s="20">
        <v>0.2</v>
      </c>
      <c r="G30" s="24">
        <f t="shared" ref="G30:G37" si="1">E30*F30</f>
        <v>5.1000000000000005</v>
      </c>
      <c r="H30" s="46">
        <f>G30*ConcCostPerGLoaded+(E30-G30)*$C$16</f>
        <v>16.393368560058732</v>
      </c>
      <c r="I30" s="24">
        <f t="shared" ref="I30:I37" si="2">H30/B30</f>
        <v>0.5464456186686244</v>
      </c>
    </row>
    <row r="31" spans="1:9" x14ac:dyDescent="0.35">
      <c r="A31" s="53" t="s">
        <v>125</v>
      </c>
      <c r="B31" s="69">
        <v>50</v>
      </c>
      <c r="C31" s="61" t="s">
        <v>130</v>
      </c>
      <c r="D31" s="43">
        <v>0.85</v>
      </c>
      <c r="E31" s="24">
        <f t="shared" si="0"/>
        <v>42.5</v>
      </c>
      <c r="F31" s="20">
        <v>0.2</v>
      </c>
      <c r="G31" s="24">
        <f t="shared" si="1"/>
        <v>8.5</v>
      </c>
      <c r="H31" s="46">
        <f>G31*ConcCostPerGLoaded+(E31-G31)*$C$16</f>
        <v>27.32228093343122</v>
      </c>
      <c r="I31" s="24">
        <f t="shared" si="2"/>
        <v>0.5464456186686244</v>
      </c>
    </row>
    <row r="32" spans="1:9" x14ac:dyDescent="0.35">
      <c r="A32" s="53" t="s">
        <v>125</v>
      </c>
      <c r="B32" s="69">
        <v>100</v>
      </c>
      <c r="C32" s="61" t="s">
        <v>130</v>
      </c>
      <c r="D32" s="43">
        <v>0.85</v>
      </c>
      <c r="E32" s="24">
        <f t="shared" si="0"/>
        <v>85</v>
      </c>
      <c r="F32" s="20">
        <v>0.2</v>
      </c>
      <c r="G32" s="24">
        <f t="shared" si="1"/>
        <v>17</v>
      </c>
      <c r="H32" s="46">
        <f>G32*ConcCostPerGLoaded+(E32-G32)*$C$16</f>
        <v>54.644561866862439</v>
      </c>
      <c r="I32" s="24">
        <f t="shared" si="2"/>
        <v>0.5464456186686244</v>
      </c>
    </row>
    <row r="33" spans="1:9" x14ac:dyDescent="0.35">
      <c r="A33" s="53" t="s">
        <v>313</v>
      </c>
      <c r="B33" s="69">
        <v>50</v>
      </c>
      <c r="C33" s="61" t="s">
        <v>130</v>
      </c>
      <c r="D33" s="43">
        <v>0.85</v>
      </c>
      <c r="E33" s="24">
        <f t="shared" si="0"/>
        <v>42.5</v>
      </c>
      <c r="F33" s="20">
        <v>0.28000000000000003</v>
      </c>
      <c r="G33" s="24">
        <f t="shared" si="1"/>
        <v>11.9</v>
      </c>
      <c r="H33" s="46">
        <f>G33*ConcCostPerGLoaded+(E33-G33)*$C$16</f>
        <v>37.491013060750696</v>
      </c>
      <c r="I33" s="24">
        <f t="shared" si="2"/>
        <v>0.74982026121501388</v>
      </c>
    </row>
    <row r="34" spans="1:9" x14ac:dyDescent="0.35">
      <c r="A34" s="53" t="s">
        <v>314</v>
      </c>
      <c r="B34" s="69">
        <v>100</v>
      </c>
      <c r="C34" s="61" t="s">
        <v>130</v>
      </c>
      <c r="D34" s="43">
        <v>0.87</v>
      </c>
      <c r="E34" s="24">
        <f t="shared" si="0"/>
        <v>87</v>
      </c>
      <c r="F34" s="20">
        <v>0.05</v>
      </c>
      <c r="G34" s="24">
        <f t="shared" si="1"/>
        <v>4.3500000000000005</v>
      </c>
      <c r="H34" s="46">
        <f>G34*ConcCostPerGLoaded+(E34-G34-E34*0.02-E34*0.05)*$C$16+E34*0.02*$C$18+E34*0.05*$C$17</f>
        <v>16.758506322196943</v>
      </c>
      <c r="I34" s="24">
        <f t="shared" si="2"/>
        <v>0.16758506322196942</v>
      </c>
    </row>
    <row r="35" spans="1:9" x14ac:dyDescent="0.35">
      <c r="A35" s="53" t="s">
        <v>150</v>
      </c>
      <c r="B35" s="69">
        <v>100</v>
      </c>
      <c r="C35" s="61" t="s">
        <v>236</v>
      </c>
      <c r="D35" s="61"/>
      <c r="E35" s="24">
        <f t="shared" si="0"/>
        <v>100</v>
      </c>
      <c r="F35" s="20">
        <v>2.5000000000000001E-2</v>
      </c>
      <c r="G35" s="24">
        <f t="shared" si="1"/>
        <v>2.5</v>
      </c>
      <c r="H35" s="46">
        <f>G35*ConcCostPerGLoaded+G35*4*$C$19+E35*0.025*$C$18+E35*0.008*$C$20+(E35-G35-G35*4-E35*0.025-E35*0.008)*$C$17</f>
        <v>9.8758001298015277</v>
      </c>
      <c r="I35" s="24">
        <f t="shared" si="2"/>
        <v>9.8758001298015277E-2</v>
      </c>
    </row>
    <row r="36" spans="1:9" x14ac:dyDescent="0.35">
      <c r="A36" s="53" t="s">
        <v>315</v>
      </c>
      <c r="B36" s="69">
        <v>100</v>
      </c>
      <c r="C36" s="61" t="s">
        <v>236</v>
      </c>
      <c r="D36" s="61"/>
      <c r="E36" s="24">
        <f t="shared" si="0"/>
        <v>100</v>
      </c>
      <c r="F36" s="20">
        <v>0.01</v>
      </c>
      <c r="G36" s="24">
        <f t="shared" si="1"/>
        <v>1</v>
      </c>
      <c r="H36" s="46">
        <f>G36*ConcCostPerGLoaded+(E36-G36)*$C$21</f>
        <v>10.95552005192061</v>
      </c>
      <c r="I36" s="24">
        <f t="shared" si="2"/>
        <v>0.1095552005192061</v>
      </c>
    </row>
    <row r="37" spans="1:9" x14ac:dyDescent="0.35">
      <c r="A37" s="53" t="s">
        <v>316</v>
      </c>
      <c r="B37" s="69">
        <v>100</v>
      </c>
      <c r="C37" s="61" t="s">
        <v>236</v>
      </c>
      <c r="D37" s="61"/>
      <c r="E37" s="24">
        <f t="shared" si="0"/>
        <v>100</v>
      </c>
      <c r="F37" s="20">
        <v>0.01</v>
      </c>
      <c r="G37" s="24">
        <f t="shared" si="1"/>
        <v>1</v>
      </c>
      <c r="H37" s="46">
        <f>G37*ConcCostPerGLoaded+E37*(0.03*$C$18+0.05*$C$22+0.02*$C$23+0.15*$C$24+0.05*$C$25+0.01*$C$20+0.005*$C$26)+(E37-G37-E37*0.315)*$C$17</f>
        <v>6.7605200519206097</v>
      </c>
      <c r="I37" s="24">
        <f t="shared" si="2"/>
        <v>6.7605200519206099E-2</v>
      </c>
    </row>
    <row r="38" spans="1:9" x14ac:dyDescent="0.35">
      <c r="A38" s="1"/>
      <c r="B38" s="1"/>
      <c r="C38" s="1"/>
      <c r="D38" s="1"/>
      <c r="E38" s="1"/>
      <c r="F38" s="1"/>
      <c r="G38" s="1"/>
      <c r="H38" s="1"/>
      <c r="I38" s="1"/>
    </row>
    <row r="39" spans="1:9" ht="18" customHeight="1" x14ac:dyDescent="0.35">
      <c r="A39" s="97" t="s">
        <v>317</v>
      </c>
      <c r="B39" s="98"/>
      <c r="C39" s="98"/>
      <c r="D39" s="98"/>
      <c r="E39" s="98"/>
      <c r="F39" s="98"/>
      <c r="G39" s="98"/>
      <c r="H39" s="98"/>
      <c r="I39" s="98"/>
    </row>
    <row r="40" spans="1:9" x14ac:dyDescent="0.35">
      <c r="A40" s="88" t="s">
        <v>318</v>
      </c>
      <c r="B40" s="89"/>
      <c r="C40" s="46">
        <f>SUMPRODUCT(Inv_OnHand,Inv_PricePerG)</f>
        <v>1692.83</v>
      </c>
      <c r="D40" s="1"/>
      <c r="E40" s="1"/>
      <c r="F40" s="1"/>
      <c r="G40" s="1"/>
      <c r="H40" s="1"/>
      <c r="I40" s="1"/>
    </row>
    <row r="41" spans="1:9" x14ac:dyDescent="0.35">
      <c r="A41" s="88" t="s">
        <v>319</v>
      </c>
      <c r="B41" s="89"/>
      <c r="C41" s="46">
        <f>StockValueSAR*ShipLoad</f>
        <v>2043.83</v>
      </c>
      <c r="D41" s="1"/>
      <c r="E41" s="1"/>
      <c r="F41" s="1"/>
      <c r="G41" s="1"/>
      <c r="H41" s="1"/>
      <c r="I41" s="1"/>
    </row>
  </sheetData>
  <mergeCells count="47">
    <mergeCell ref="D23:I23"/>
    <mergeCell ref="A17:B17"/>
    <mergeCell ref="D20:I20"/>
    <mergeCell ref="A23:B23"/>
    <mergeCell ref="A3:I3"/>
    <mergeCell ref="D16:I16"/>
    <mergeCell ref="D7:I7"/>
    <mergeCell ref="A6:B6"/>
    <mergeCell ref="A16:B16"/>
    <mergeCell ref="D5:I5"/>
    <mergeCell ref="A5:B5"/>
    <mergeCell ref="A9:I9"/>
    <mergeCell ref="D11:I11"/>
    <mergeCell ref="A15:B15"/>
    <mergeCell ref="A11:B11"/>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24:B24"/>
    <mergeCell ref="D17:I1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320</v>
      </c>
      <c r="B1" s="89"/>
      <c r="C1" s="89"/>
      <c r="D1" s="89"/>
      <c r="E1" s="89"/>
      <c r="F1" s="89"/>
      <c r="G1" s="89"/>
      <c r="H1" s="89"/>
      <c r="I1" s="89"/>
    </row>
    <row r="2" spans="1:9" x14ac:dyDescent="0.35">
      <c r="A2" s="105" t="s">
        <v>321</v>
      </c>
      <c r="B2" s="106"/>
      <c r="C2" s="106"/>
      <c r="D2" s="106"/>
      <c r="E2" s="106"/>
      <c r="F2" s="106"/>
      <c r="G2" s="106"/>
      <c r="H2" s="106"/>
      <c r="I2" s="106"/>
    </row>
    <row r="3" spans="1:9" ht="18" customHeight="1" x14ac:dyDescent="0.35">
      <c r="A3" s="97" t="s">
        <v>322</v>
      </c>
      <c r="B3" s="98"/>
      <c r="C3" s="98"/>
      <c r="D3" s="98"/>
      <c r="E3" s="98"/>
      <c r="F3" s="98"/>
      <c r="G3" s="98"/>
      <c r="H3" s="98"/>
      <c r="I3" s="98"/>
    </row>
    <row r="4" spans="1:9" x14ac:dyDescent="0.35">
      <c r="A4" s="104" t="s">
        <v>132</v>
      </c>
      <c r="B4" s="89"/>
      <c r="C4" s="20">
        <v>0.2</v>
      </c>
      <c r="D4" s="92" t="s">
        <v>323</v>
      </c>
      <c r="E4" s="89"/>
      <c r="F4" s="89"/>
      <c r="G4" s="89"/>
      <c r="H4" s="89"/>
      <c r="I4" s="89"/>
    </row>
    <row r="5" spans="1:9" x14ac:dyDescent="0.35">
      <c r="A5" s="104" t="s">
        <v>133</v>
      </c>
      <c r="B5" s="89"/>
      <c r="C5" s="43">
        <v>0.85</v>
      </c>
      <c r="D5" s="92" t="s">
        <v>324</v>
      </c>
      <c r="E5" s="89"/>
      <c r="F5" s="89"/>
      <c r="G5" s="89"/>
      <c r="H5" s="89"/>
      <c r="I5" s="89"/>
    </row>
    <row r="6" spans="1:9" x14ac:dyDescent="0.35">
      <c r="A6" s="104" t="s">
        <v>325</v>
      </c>
      <c r="B6" s="89"/>
      <c r="C6" s="20">
        <v>0</v>
      </c>
      <c r="D6" s="92" t="s">
        <v>326</v>
      </c>
      <c r="E6" s="89"/>
      <c r="F6" s="89"/>
      <c r="G6" s="89"/>
      <c r="H6" s="89"/>
      <c r="I6" s="89"/>
    </row>
    <row r="7" spans="1:9" x14ac:dyDescent="0.35">
      <c r="A7" s="104" t="s">
        <v>327</v>
      </c>
      <c r="B7" s="89"/>
      <c r="C7" s="16" t="s">
        <v>328</v>
      </c>
      <c r="D7" s="92" t="s">
        <v>329</v>
      </c>
      <c r="E7" s="89"/>
      <c r="F7" s="89"/>
      <c r="G7" s="89"/>
      <c r="H7" s="89"/>
      <c r="I7" s="89"/>
    </row>
    <row r="8" spans="1:9" x14ac:dyDescent="0.35">
      <c r="A8" s="1"/>
      <c r="B8" s="1"/>
      <c r="C8" s="1"/>
      <c r="D8" s="1"/>
      <c r="E8" s="1"/>
      <c r="F8" s="1"/>
      <c r="G8" s="121" t="s">
        <v>330</v>
      </c>
      <c r="H8" s="89"/>
      <c r="I8" s="60">
        <v>50</v>
      </c>
    </row>
    <row r="9" spans="1:9" ht="18" customHeight="1" x14ac:dyDescent="0.35">
      <c r="A9" s="97" t="s">
        <v>331</v>
      </c>
      <c r="B9" s="98"/>
      <c r="C9" s="98"/>
      <c r="D9" s="98"/>
      <c r="E9" s="98"/>
      <c r="F9" s="98"/>
      <c r="G9" s="98"/>
      <c r="H9" s="98"/>
      <c r="I9" s="98"/>
    </row>
    <row r="10" spans="1:9" x14ac:dyDescent="0.35">
      <c r="A10" s="1"/>
      <c r="B10" s="3" t="s">
        <v>332</v>
      </c>
      <c r="C10" s="3" t="s">
        <v>333</v>
      </c>
      <c r="D10" s="3" t="s">
        <v>334</v>
      </c>
      <c r="E10" s="3" t="s">
        <v>335</v>
      </c>
      <c r="F10" s="3" t="s">
        <v>336</v>
      </c>
      <c r="G10" s="1"/>
      <c r="H10" s="1"/>
      <c r="I10" s="1"/>
    </row>
    <row r="11" spans="1:9" ht="26" customHeight="1" x14ac:dyDescent="0.35">
      <c r="A11" s="1"/>
      <c r="B11" s="4">
        <f>MIN($F$27:$F$52)</f>
        <v>266.66666666666669</v>
      </c>
      <c r="C11" s="4">
        <f>$B$11*(1-YC_Loss)</f>
        <v>266.66666666666669</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Ambroxan</v>
      </c>
      <c r="G11" s="89"/>
      <c r="H11" s="89"/>
      <c r="I11" s="89"/>
    </row>
    <row r="12" spans="1:9" x14ac:dyDescent="0.35">
      <c r="A12" s="1"/>
      <c r="B12" s="1"/>
      <c r="C12" s="1"/>
      <c r="D12" s="1"/>
      <c r="E12" s="1"/>
      <c r="F12" s="1"/>
      <c r="G12" s="1"/>
      <c r="H12" s="1"/>
      <c r="I12" s="1"/>
    </row>
    <row r="13" spans="1:9" ht="18" customHeight="1" x14ac:dyDescent="0.35">
      <c r="A13" s="97" t="s">
        <v>337</v>
      </c>
      <c r="B13" s="98"/>
      <c r="C13" s="98"/>
      <c r="D13" s="98"/>
      <c r="E13" s="98"/>
      <c r="F13" s="98"/>
      <c r="G13" s="98"/>
      <c r="H13" s="98"/>
      <c r="I13" s="98"/>
    </row>
    <row r="14" spans="1:9" x14ac:dyDescent="0.35">
      <c r="A14" s="92" t="str">
        <f>"At "&amp;TEXT(YC_ConcPct,"0%")&amp;" concentrate ("&amp;IF(YC_ConcPct&gt;=0.25,"Extrait",IF(YC_ConcPct&gt;=0.15,"EDP","light"))&amp;"), "&amp;TEXT(YC_Density,"0.00")&amp;" g/ml, "&amp;TEXT(YC_Loss,"0%")&amp;" bench loss, stock basis: "&amp;YC_Basis</f>
        <v>At 20% concentrate (EDP), 0.85 g/ml, 0% bench loss, stock basis: On hand</v>
      </c>
      <c r="B14" s="89"/>
      <c r="C14" s="89"/>
      <c r="D14" s="89"/>
      <c r="E14" s="89"/>
      <c r="F14" s="89"/>
      <c r="G14" s="89"/>
      <c r="H14" s="89"/>
      <c r="I14" s="89"/>
    </row>
    <row r="15" spans="1:9" ht="24" customHeight="1" x14ac:dyDescent="0.35">
      <c r="A15" s="17" t="s">
        <v>338</v>
      </c>
      <c r="B15" s="17" t="s">
        <v>339</v>
      </c>
      <c r="C15" s="17" t="s">
        <v>340</v>
      </c>
      <c r="D15" s="17" t="s">
        <v>341</v>
      </c>
      <c r="E15" s="17" t="s">
        <v>342</v>
      </c>
      <c r="F15" s="17" t="s">
        <v>343</v>
      </c>
      <c r="G15" s="17" t="s">
        <v>344</v>
      </c>
      <c r="H15" s="17" t="s">
        <v>345</v>
      </c>
      <c r="I15" s="17" t="s">
        <v>346</v>
      </c>
    </row>
    <row r="16" spans="1:9" ht="18" x14ac:dyDescent="0.35">
      <c r="A16" s="66">
        <v>10</v>
      </c>
      <c r="B16" s="24">
        <f t="shared" ref="B16:B21" si="0">$A16*YC_Density*YC_ConcPct</f>
        <v>1.7000000000000002</v>
      </c>
      <c r="C16" s="24">
        <f t="shared" ref="C16:C21" si="1">$A16*YC_Density*(1-YC_ConcPct)</f>
        <v>6.8000000000000007</v>
      </c>
      <c r="D16" s="76">
        <f t="shared" ref="D16:D21" si="2">IF(B16=0,"",YC_UsableConc/B16)</f>
        <v>156.8627450980392</v>
      </c>
      <c r="E16" s="76">
        <f t="shared" ref="E16:E21" si="3">IF(C16=0,"",YC_AlcOnHand/C16)</f>
        <v>595.58823529411768</v>
      </c>
      <c r="F16" s="67">
        <f t="shared" ref="F16:F21" si="4">FLOOR(MIN(D16,E16),1)</f>
        <v>156</v>
      </c>
      <c r="G16" s="24">
        <f t="shared" ref="G16:G21" si="5">B16*ConcCostPerGLoaded+C16*AlcCostPerG</f>
        <v>5.4644561866862444</v>
      </c>
      <c r="H16" s="24">
        <f t="shared" ref="H16:H21" si="6">F16*G16</f>
        <v>852.45516512305414</v>
      </c>
      <c r="I16" s="61" t="str">
        <f t="shared" ref="I16:I21" si="7">IF(D16&lt;=E16,"concentrate ("&amp;YC_LimitMat&amp;")","alcohol")</f>
        <v>concentrate (Ambroxan)</v>
      </c>
    </row>
    <row r="17" spans="1:9" ht="18" x14ac:dyDescent="0.35">
      <c r="A17" s="66">
        <v>20</v>
      </c>
      <c r="B17" s="24">
        <f t="shared" si="0"/>
        <v>3.4000000000000004</v>
      </c>
      <c r="C17" s="24">
        <f t="shared" si="1"/>
        <v>13.600000000000001</v>
      </c>
      <c r="D17" s="76">
        <f t="shared" si="2"/>
        <v>78.431372549019599</v>
      </c>
      <c r="E17" s="76">
        <f t="shared" si="3"/>
        <v>297.79411764705884</v>
      </c>
      <c r="F17" s="67">
        <f t="shared" si="4"/>
        <v>78</v>
      </c>
      <c r="G17" s="24">
        <f t="shared" si="5"/>
        <v>10.928912373372489</v>
      </c>
      <c r="H17" s="24">
        <f t="shared" si="6"/>
        <v>852.45516512305414</v>
      </c>
      <c r="I17" s="61" t="str">
        <f t="shared" si="7"/>
        <v>concentrate (Ambroxan)</v>
      </c>
    </row>
    <row r="18" spans="1:9" ht="18" x14ac:dyDescent="0.35">
      <c r="A18" s="66">
        <v>30</v>
      </c>
      <c r="B18" s="24">
        <f t="shared" si="0"/>
        <v>5.1000000000000005</v>
      </c>
      <c r="C18" s="24">
        <f t="shared" si="1"/>
        <v>20.400000000000002</v>
      </c>
      <c r="D18" s="76">
        <f t="shared" si="2"/>
        <v>52.287581699346404</v>
      </c>
      <c r="E18" s="76">
        <f t="shared" si="3"/>
        <v>198.52941176470588</v>
      </c>
      <c r="F18" s="67">
        <f t="shared" si="4"/>
        <v>52</v>
      </c>
      <c r="G18" s="24">
        <f t="shared" si="5"/>
        <v>16.393368560058732</v>
      </c>
      <c r="H18" s="24">
        <f t="shared" si="6"/>
        <v>852.45516512305403</v>
      </c>
      <c r="I18" s="61" t="str">
        <f t="shared" si="7"/>
        <v>concentrate (Ambroxan)</v>
      </c>
    </row>
    <row r="19" spans="1:9" ht="18" x14ac:dyDescent="0.35">
      <c r="A19" s="66">
        <v>50</v>
      </c>
      <c r="B19" s="24">
        <f t="shared" si="0"/>
        <v>8.5</v>
      </c>
      <c r="C19" s="24">
        <f t="shared" si="1"/>
        <v>34</v>
      </c>
      <c r="D19" s="76">
        <f t="shared" si="2"/>
        <v>31.372549019607845</v>
      </c>
      <c r="E19" s="76">
        <f t="shared" si="3"/>
        <v>119.11764705882354</v>
      </c>
      <c r="F19" s="67">
        <f t="shared" si="4"/>
        <v>31</v>
      </c>
      <c r="G19" s="24">
        <f t="shared" si="5"/>
        <v>27.32228093343122</v>
      </c>
      <c r="H19" s="24">
        <f t="shared" si="6"/>
        <v>846.99070893636781</v>
      </c>
      <c r="I19" s="61" t="str">
        <f t="shared" si="7"/>
        <v>concentrate (Ambroxan)</v>
      </c>
    </row>
    <row r="20" spans="1:9" ht="18" x14ac:dyDescent="0.35">
      <c r="A20" s="66">
        <v>70</v>
      </c>
      <c r="B20" s="24">
        <f t="shared" si="0"/>
        <v>11.9</v>
      </c>
      <c r="C20" s="24">
        <f t="shared" si="1"/>
        <v>47.6</v>
      </c>
      <c r="D20" s="76">
        <f t="shared" si="2"/>
        <v>22.408963585434176</v>
      </c>
      <c r="E20" s="76">
        <f t="shared" si="3"/>
        <v>85.084033613445385</v>
      </c>
      <c r="F20" s="67">
        <f t="shared" si="4"/>
        <v>22</v>
      </c>
      <c r="G20" s="24">
        <f t="shared" si="5"/>
        <v>38.251193306803714</v>
      </c>
      <c r="H20" s="24">
        <f t="shared" si="6"/>
        <v>841.5262527496817</v>
      </c>
      <c r="I20" s="61" t="str">
        <f t="shared" si="7"/>
        <v>concentrate (Ambroxan)</v>
      </c>
    </row>
    <row r="21" spans="1:9" ht="18" x14ac:dyDescent="0.35">
      <c r="A21" s="66">
        <v>100</v>
      </c>
      <c r="B21" s="24">
        <f t="shared" si="0"/>
        <v>17</v>
      </c>
      <c r="C21" s="24">
        <f t="shared" si="1"/>
        <v>68</v>
      </c>
      <c r="D21" s="76">
        <f t="shared" si="2"/>
        <v>15.686274509803923</v>
      </c>
      <c r="E21" s="76">
        <f t="shared" si="3"/>
        <v>59.558823529411768</v>
      </c>
      <c r="F21" s="67">
        <f t="shared" si="4"/>
        <v>15</v>
      </c>
      <c r="G21" s="24">
        <f t="shared" si="5"/>
        <v>54.644561866862439</v>
      </c>
      <c r="H21" s="24">
        <f t="shared" si="6"/>
        <v>819.66842800293659</v>
      </c>
      <c r="I21" s="61" t="str">
        <f t="shared" si="7"/>
        <v>concentrate (Ambroxan)</v>
      </c>
    </row>
    <row r="22" spans="1:9" x14ac:dyDescent="0.35">
      <c r="A22" s="92" t="str">
        <f>"To make more, buy more "&amp;YC_LimitMat&amp;" — it runs out first. See the material-by-material table below for the next bottlenecks."</f>
        <v>To make more, buy more Ambroxan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7" t="s">
        <v>347</v>
      </c>
      <c r="B24" s="98"/>
      <c r="C24" s="98"/>
      <c r="D24" s="98"/>
      <c r="E24" s="98"/>
      <c r="F24" s="98"/>
      <c r="G24" s="98"/>
      <c r="H24" s="98"/>
      <c r="I24" s="98"/>
    </row>
    <row r="25" spans="1:9" x14ac:dyDescent="0.35">
      <c r="A25" s="1"/>
      <c r="B25" s="1"/>
      <c r="C25" s="1"/>
      <c r="D25" s="1"/>
      <c r="E25" s="1"/>
      <c r="F25" s="1"/>
      <c r="G25" s="1"/>
      <c r="H25" s="1"/>
      <c r="I25" s="1"/>
    </row>
    <row r="26" spans="1:9" ht="24" customHeight="1" x14ac:dyDescent="0.35">
      <c r="A26" s="17" t="s">
        <v>53</v>
      </c>
      <c r="B26" s="17" t="s">
        <v>52</v>
      </c>
      <c r="C26" s="17" t="s">
        <v>57</v>
      </c>
      <c r="D26" s="17" t="s">
        <v>348</v>
      </c>
      <c r="E26" s="17" t="s">
        <v>349</v>
      </c>
      <c r="F26" s="17" t="s">
        <v>350</v>
      </c>
      <c r="G26" s="17" t="s">
        <v>351</v>
      </c>
      <c r="H26" s="17" t="s">
        <v>352</v>
      </c>
      <c r="I26" s="17" t="s">
        <v>353</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27</v>
      </c>
      <c r="E27" s="72">
        <f>C27*IF('Formula Master'!$D$7="D10",0.1,1)</f>
        <v>4.4999999999999998E-2</v>
      </c>
      <c r="F27" s="57">
        <f t="shared" ref="F27:F52" si="9">IF(E27&lt;=0,"",MAX(D27,0)/E27)</f>
        <v>600</v>
      </c>
      <c r="G27" s="79">
        <f t="shared" ref="G27:G52" si="10">IF(F27="","",FLOOR(F27/(50*YC_Density*YC_ConcPct),1))</f>
        <v>70</v>
      </c>
      <c r="H27" s="69">
        <f t="shared" ref="H27:H52" si="11">YC_MatBottleMl</f>
        <v>50</v>
      </c>
      <c r="I27" s="63">
        <f t="shared" ref="I27:I52" si="12">IF(F27="","",FLOOR(F27/(YC_MatBottleMl*YC_Density*YC_ConcPct),1))</f>
        <v>70</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1058</v>
      </c>
      <c r="H28" s="69">
        <f t="shared" si="11"/>
        <v>50</v>
      </c>
      <c r="I28" s="63">
        <f t="shared" si="12"/>
        <v>1058</v>
      </c>
    </row>
    <row r="29" spans="1:9" x14ac:dyDescent="0.35">
      <c r="A29" s="53" t="str">
        <f>'Formula Master'!$B$9</f>
        <v>Aldehyde C-14 Peach</v>
      </c>
      <c r="B29" s="61" t="str">
        <f>'Formula Master'!$A$9</f>
        <v>TOP</v>
      </c>
      <c r="C29" s="71">
        <f>'Formula Master'!$F$9</f>
        <v>0.02</v>
      </c>
      <c r="D29" s="24">
        <f t="shared" si="8"/>
        <v>18</v>
      </c>
      <c r="E29" s="72">
        <f>C29*IF('Formula Master'!$D$9="D10",0.1,1)</f>
        <v>0.02</v>
      </c>
      <c r="F29" s="57">
        <f t="shared" si="9"/>
        <v>900</v>
      </c>
      <c r="G29" s="79">
        <f t="shared" si="10"/>
        <v>105</v>
      </c>
      <c r="H29" s="69">
        <f t="shared" si="11"/>
        <v>50</v>
      </c>
      <c r="I29" s="63">
        <f t="shared" si="12"/>
        <v>105</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105</v>
      </c>
      <c r="H30" s="69">
        <f t="shared" si="11"/>
        <v>50</v>
      </c>
      <c r="I30" s="63">
        <f t="shared" si="12"/>
        <v>105</v>
      </c>
    </row>
    <row r="31" spans="1:9" x14ac:dyDescent="0.35">
      <c r="A31" s="53" t="str">
        <f>'Formula Master'!$B$11</f>
        <v>Hedione (Firmenich)</v>
      </c>
      <c r="B31" s="61" t="str">
        <f>'Formula Master'!$A$11</f>
        <v>HEART</v>
      </c>
      <c r="C31" s="71">
        <f>'Formula Master'!$F$11</f>
        <v>0.14699999999999999</v>
      </c>
      <c r="D31" s="24">
        <f t="shared" si="8"/>
        <v>90</v>
      </c>
      <c r="E31" s="72">
        <f>C31*IF('Formula Master'!$D$11="D10",0.1,1)</f>
        <v>0.14699999999999999</v>
      </c>
      <c r="F31" s="57">
        <f t="shared" si="9"/>
        <v>612.24489795918373</v>
      </c>
      <c r="G31" s="79">
        <f t="shared" si="10"/>
        <v>72</v>
      </c>
      <c r="H31" s="69">
        <f t="shared" si="11"/>
        <v>50</v>
      </c>
      <c r="I31" s="63">
        <f t="shared" si="12"/>
        <v>72</v>
      </c>
    </row>
    <row r="32" spans="1:9" x14ac:dyDescent="0.35">
      <c r="A32" s="53" t="str">
        <f>'Formula Master'!$B$12</f>
        <v>Jasmin Absolute Accord</v>
      </c>
      <c r="B32" s="61" t="str">
        <f>'Formula Master'!$A$12</f>
        <v>HEART</v>
      </c>
      <c r="C32" s="71">
        <f>'Formula Master'!$F$12</f>
        <v>0.03</v>
      </c>
      <c r="D32" s="24">
        <f t="shared" si="8"/>
        <v>18</v>
      </c>
      <c r="E32" s="72">
        <f>C32*IF('Formula Master'!$D$12="D10",0.1,1)</f>
        <v>0.03</v>
      </c>
      <c r="F32" s="57">
        <f t="shared" si="9"/>
        <v>600</v>
      </c>
      <c r="G32" s="79">
        <f t="shared" si="10"/>
        <v>70</v>
      </c>
      <c r="H32" s="69">
        <f t="shared" si="11"/>
        <v>50</v>
      </c>
      <c r="I32" s="63">
        <f t="shared" si="12"/>
        <v>70</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70</v>
      </c>
      <c r="H33" s="69">
        <f t="shared" si="11"/>
        <v>50</v>
      </c>
      <c r="I33" s="63">
        <f t="shared" si="12"/>
        <v>70</v>
      </c>
    </row>
    <row r="34" spans="1:9" x14ac:dyDescent="0.35">
      <c r="A34" s="53" t="str">
        <f>'Formula Master'!$B$14</f>
        <v>Methyl Alpha Ionone Iso</v>
      </c>
      <c r="B34" s="61" t="str">
        <f>'Formula Master'!$A$14</f>
        <v>HEART</v>
      </c>
      <c r="C34" s="71">
        <f>'Formula Master'!$F$14</f>
        <v>0.04</v>
      </c>
      <c r="D34" s="24">
        <f t="shared" si="8"/>
        <v>27</v>
      </c>
      <c r="E34" s="72">
        <f>C34*IF('Formula Master'!$D$14="D10",0.1,1)</f>
        <v>0.04</v>
      </c>
      <c r="F34" s="57">
        <f t="shared" si="9"/>
        <v>675</v>
      </c>
      <c r="G34" s="79">
        <f t="shared" si="10"/>
        <v>79</v>
      </c>
      <c r="H34" s="69">
        <f t="shared" si="11"/>
        <v>50</v>
      </c>
      <c r="I34" s="63">
        <f t="shared" si="12"/>
        <v>79</v>
      </c>
    </row>
    <row r="35" spans="1:9" x14ac:dyDescent="0.35">
      <c r="A35" s="53" t="str">
        <f>'Formula Master'!$B$15</f>
        <v>Benzyl Salicylate</v>
      </c>
      <c r="B35" s="61" t="str">
        <f>'Formula Master'!$A$15</f>
        <v>HEART</v>
      </c>
      <c r="C35" s="71">
        <f>'Formula Master'!$F$15</f>
        <v>7.0000000000000007E-2</v>
      </c>
      <c r="D35" s="24">
        <f t="shared" si="8"/>
        <v>54</v>
      </c>
      <c r="E35" s="72">
        <f>C35*IF('Formula Master'!$D$15="D10",0.1,1)</f>
        <v>7.0000000000000007E-2</v>
      </c>
      <c r="F35" s="57">
        <f t="shared" si="9"/>
        <v>771.42857142857133</v>
      </c>
      <c r="G35" s="79">
        <f t="shared" si="10"/>
        <v>90</v>
      </c>
      <c r="H35" s="69">
        <f t="shared" si="11"/>
        <v>50</v>
      </c>
      <c r="I35" s="63">
        <f t="shared" si="12"/>
        <v>90</v>
      </c>
    </row>
    <row r="36" spans="1:9" x14ac:dyDescent="0.35">
      <c r="A36" s="53" t="str">
        <f>'Formula Master'!$B$16</f>
        <v>Linalool</v>
      </c>
      <c r="B36" s="61" t="str">
        <f>'Formula Master'!$A$16</f>
        <v>HEART</v>
      </c>
      <c r="C36" s="71">
        <f>'Formula Master'!$F$16</f>
        <v>1.4999999999999999E-2</v>
      </c>
      <c r="D36" s="24">
        <f t="shared" si="8"/>
        <v>18</v>
      </c>
      <c r="E36" s="72">
        <f>C36*IF('Formula Master'!$D$16="D10",0.1,1)</f>
        <v>1.4999999999999999E-2</v>
      </c>
      <c r="F36" s="57">
        <f t="shared" si="9"/>
        <v>1200</v>
      </c>
      <c r="G36" s="79">
        <f t="shared" si="10"/>
        <v>141</v>
      </c>
      <c r="H36" s="69">
        <f t="shared" si="11"/>
        <v>50</v>
      </c>
      <c r="I36" s="63">
        <f t="shared" si="12"/>
        <v>141</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3529</v>
      </c>
      <c r="H37" s="69">
        <f t="shared" si="11"/>
        <v>50</v>
      </c>
      <c r="I37" s="63">
        <f t="shared" si="12"/>
        <v>3529</v>
      </c>
    </row>
    <row r="38" spans="1:9" x14ac:dyDescent="0.35">
      <c r="A38" s="53" t="str">
        <f>'Formula Master'!$B$18</f>
        <v>Vanillin Crystals</v>
      </c>
      <c r="B38" s="61" t="str">
        <f>'Formula Master'!$A$18</f>
        <v>BASE</v>
      </c>
      <c r="C38" s="71">
        <f>'Formula Master'!$F$18</f>
        <v>7.0000000000000007E-2</v>
      </c>
      <c r="D38" s="24">
        <f t="shared" si="8"/>
        <v>30</v>
      </c>
      <c r="E38" s="72">
        <f>C38*IF('Formula Master'!$D$18="D10",0.1,1)</f>
        <v>7.0000000000000007E-2</v>
      </c>
      <c r="F38" s="57">
        <f t="shared" si="9"/>
        <v>428.57142857142856</v>
      </c>
      <c r="G38" s="79">
        <f t="shared" si="10"/>
        <v>50</v>
      </c>
      <c r="H38" s="69">
        <f t="shared" si="11"/>
        <v>50</v>
      </c>
      <c r="I38" s="63">
        <f t="shared" si="12"/>
        <v>50</v>
      </c>
    </row>
    <row r="39" spans="1:9" x14ac:dyDescent="0.35">
      <c r="A39" s="53" t="str">
        <f>'Formula Master'!$B$19</f>
        <v>Ethyl Vanillin</v>
      </c>
      <c r="B39" s="61" t="str">
        <f>'Formula Master'!$A$19</f>
        <v>BASE</v>
      </c>
      <c r="C39" s="71">
        <f>'Formula Master'!$F$19</f>
        <v>2.5000000000000001E-2</v>
      </c>
      <c r="D39" s="24">
        <f t="shared" si="8"/>
        <v>20</v>
      </c>
      <c r="E39" s="72">
        <f>C39*IF('Formula Master'!$D$19="D10",0.1,1)</f>
        <v>2.5000000000000001E-2</v>
      </c>
      <c r="F39" s="57">
        <f t="shared" si="9"/>
        <v>800</v>
      </c>
      <c r="G39" s="79">
        <f t="shared" si="10"/>
        <v>94</v>
      </c>
      <c r="H39" s="69">
        <f t="shared" si="11"/>
        <v>50</v>
      </c>
      <c r="I39" s="63">
        <f t="shared" si="12"/>
        <v>94</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588</v>
      </c>
      <c r="H40" s="69">
        <f t="shared" si="11"/>
        <v>50</v>
      </c>
      <c r="I40" s="63">
        <f t="shared" si="12"/>
        <v>588</v>
      </c>
    </row>
    <row r="41" spans="1:9" x14ac:dyDescent="0.35">
      <c r="A41" s="53" t="str">
        <f>'Formula Master'!$B$21</f>
        <v>Coumarin</v>
      </c>
      <c r="B41" s="61" t="str">
        <f>'Formula Master'!$A$21</f>
        <v>BASE</v>
      </c>
      <c r="C41" s="71">
        <f>'Formula Master'!$F$21</f>
        <v>4.4999999999999998E-2</v>
      </c>
      <c r="D41" s="24">
        <f t="shared" si="8"/>
        <v>500</v>
      </c>
      <c r="E41" s="72">
        <f>C41*IF('Formula Master'!$D$21="D10",0.1,1)</f>
        <v>4.4999999999999998E-2</v>
      </c>
      <c r="F41" s="57">
        <f t="shared" si="9"/>
        <v>11111.111111111111</v>
      </c>
      <c r="G41" s="79">
        <f t="shared" si="10"/>
        <v>1307</v>
      </c>
      <c r="H41" s="69">
        <f t="shared" si="11"/>
        <v>50</v>
      </c>
      <c r="I41" s="63">
        <f t="shared" si="12"/>
        <v>1307</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42</v>
      </c>
      <c r="H42" s="69">
        <f t="shared" si="11"/>
        <v>50</v>
      </c>
      <c r="I42" s="63">
        <f t="shared" si="12"/>
        <v>42</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705</v>
      </c>
      <c r="H43" s="69">
        <f t="shared" si="11"/>
        <v>50</v>
      </c>
      <c r="I43" s="63">
        <f t="shared" si="12"/>
        <v>705</v>
      </c>
    </row>
    <row r="44" spans="1:9" x14ac:dyDescent="0.35">
      <c r="A44" s="53" t="str">
        <f>'Formula Master'!$B$24</f>
        <v>Ambroxan</v>
      </c>
      <c r="B44" s="61" t="str">
        <f>'Formula Master'!$A$24</f>
        <v>BASE</v>
      </c>
      <c r="C44" s="71">
        <f>'Formula Master'!$F$24</f>
        <v>7.4999999999999997E-2</v>
      </c>
      <c r="D44" s="24">
        <f t="shared" si="8"/>
        <v>20</v>
      </c>
      <c r="E44" s="72">
        <f>C44*IF('Formula Master'!$D$24="D10",0.1,1)</f>
        <v>7.4999999999999997E-2</v>
      </c>
      <c r="F44" s="57">
        <f t="shared" si="9"/>
        <v>266.66666666666669</v>
      </c>
      <c r="G44" s="79">
        <f t="shared" si="10"/>
        <v>31</v>
      </c>
      <c r="H44" s="69">
        <f t="shared" si="11"/>
        <v>50</v>
      </c>
      <c r="I44" s="63">
        <f t="shared" si="12"/>
        <v>31</v>
      </c>
    </row>
    <row r="45" spans="1:9" x14ac:dyDescent="0.35">
      <c r="A45" s="53" t="str">
        <f>'Formula Master'!$B$25</f>
        <v>Iso E Super</v>
      </c>
      <c r="B45" s="61" t="str">
        <f>'Formula Master'!$A$25</f>
        <v>BASE</v>
      </c>
      <c r="C45" s="71">
        <f>'Formula Master'!$F$25</f>
        <v>9.5000000000000001E-2</v>
      </c>
      <c r="D45" s="24">
        <f t="shared" si="8"/>
        <v>27</v>
      </c>
      <c r="E45" s="72">
        <f>C45*IF('Formula Master'!$D$25="D10",0.1,1)</f>
        <v>9.5000000000000001E-2</v>
      </c>
      <c r="F45" s="57">
        <f t="shared" si="9"/>
        <v>284.21052631578948</v>
      </c>
      <c r="G45" s="79">
        <f t="shared" si="10"/>
        <v>33</v>
      </c>
      <c r="H45" s="69">
        <f t="shared" si="11"/>
        <v>50</v>
      </c>
      <c r="I45" s="63">
        <f t="shared" si="12"/>
        <v>33</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35</v>
      </c>
      <c r="H46" s="69">
        <f t="shared" si="11"/>
        <v>50</v>
      </c>
      <c r="I46" s="63">
        <f t="shared" si="12"/>
        <v>35</v>
      </c>
    </row>
    <row r="47" spans="1:9" x14ac:dyDescent="0.35">
      <c r="A47" s="53" t="str">
        <f>'Formula Master'!$B$27</f>
        <v>Sandalore (Givaudan)</v>
      </c>
      <c r="B47" s="61" t="str">
        <f>'Formula Master'!$A$27</f>
        <v>BASE</v>
      </c>
      <c r="C47" s="71">
        <f>'Formula Master'!$F$27</f>
        <v>3.5000000000000003E-2</v>
      </c>
      <c r="D47" s="24">
        <f t="shared" si="8"/>
        <v>18</v>
      </c>
      <c r="E47" s="72">
        <f>C47*IF('Formula Master'!$D$27="D10",0.1,1)</f>
        <v>3.5000000000000003E-2</v>
      </c>
      <c r="F47" s="57">
        <f t="shared" si="9"/>
        <v>514.28571428571422</v>
      </c>
      <c r="G47" s="79">
        <f t="shared" si="10"/>
        <v>60</v>
      </c>
      <c r="H47" s="69">
        <f t="shared" si="11"/>
        <v>50</v>
      </c>
      <c r="I47" s="63">
        <f t="shared" si="12"/>
        <v>60</v>
      </c>
    </row>
    <row r="48" spans="1:9" x14ac:dyDescent="0.35">
      <c r="A48" s="53" t="str">
        <f>'Formula Master'!$B$28</f>
        <v>Ethylene Brassylate</v>
      </c>
      <c r="B48" s="61" t="str">
        <f>'Formula Master'!$A$28</f>
        <v>BASE</v>
      </c>
      <c r="C48" s="71">
        <f>'Formula Master'!$F$28</f>
        <v>7.4999999999999997E-2</v>
      </c>
      <c r="D48" s="24">
        <f t="shared" si="8"/>
        <v>45</v>
      </c>
      <c r="E48" s="72">
        <f>C48*IF('Formula Master'!$D$28="D10",0.1,1)</f>
        <v>7.4999999999999997E-2</v>
      </c>
      <c r="F48" s="57">
        <f t="shared" si="9"/>
        <v>600</v>
      </c>
      <c r="G48" s="79">
        <f t="shared" si="10"/>
        <v>70</v>
      </c>
      <c r="H48" s="69">
        <f t="shared" si="11"/>
        <v>50</v>
      </c>
      <c r="I48" s="63">
        <f t="shared" si="12"/>
        <v>70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57</v>
      </c>
      <c r="H49" s="69">
        <f t="shared" si="11"/>
        <v>50</v>
      </c>
      <c r="I49" s="63">
        <f t="shared" si="12"/>
        <v>57</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42</v>
      </c>
      <c r="H50" s="69">
        <f t="shared" si="11"/>
        <v>50</v>
      </c>
      <c r="I50" s="63">
        <f t="shared" si="12"/>
        <v>42</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211</v>
      </c>
      <c r="H51" s="69">
        <f t="shared" si="11"/>
        <v>50</v>
      </c>
      <c r="I51" s="63">
        <f t="shared" si="12"/>
        <v>211</v>
      </c>
    </row>
    <row r="52" spans="1:9" x14ac:dyDescent="0.35">
      <c r="A52" s="54" t="s">
        <v>237</v>
      </c>
      <c r="B52" s="61" t="s">
        <v>354</v>
      </c>
      <c r="C52" s="71">
        <f>D10ActivePct</f>
        <v>4.8000000000000001E-2</v>
      </c>
      <c r="D52" s="24">
        <f>YC_DPGOnHand</f>
        <v>510</v>
      </c>
      <c r="E52" s="72">
        <f>D10ActivePct*0.9</f>
        <v>4.3200000000000002E-2</v>
      </c>
      <c r="F52" s="57">
        <f t="shared" si="9"/>
        <v>11805.555555555555</v>
      </c>
      <c r="G52" s="79">
        <f t="shared" si="10"/>
        <v>1388</v>
      </c>
      <c r="H52" s="69">
        <f t="shared" si="11"/>
        <v>50</v>
      </c>
      <c r="I52" s="63">
        <f t="shared" si="12"/>
        <v>1388</v>
      </c>
    </row>
  </sheetData>
  <mergeCells count="18">
    <mergeCell ref="F11:I11"/>
    <mergeCell ref="A5:B5"/>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355</v>
      </c>
      <c r="B1" s="89"/>
      <c r="C1" s="89"/>
      <c r="D1" s="89"/>
      <c r="E1" s="89"/>
      <c r="F1" s="89"/>
      <c r="G1" s="89"/>
      <c r="H1" s="89"/>
      <c r="I1" s="89"/>
      <c r="J1" s="89"/>
      <c r="K1" s="89"/>
    </row>
    <row r="2" spans="1:11" x14ac:dyDescent="0.35">
      <c r="A2" s="105" t="s">
        <v>356</v>
      </c>
      <c r="B2" s="106"/>
      <c r="C2" s="106"/>
      <c r="D2" s="106"/>
      <c r="E2" s="106"/>
      <c r="F2" s="106"/>
      <c r="G2" s="106"/>
      <c r="H2" s="106"/>
      <c r="I2" s="106"/>
      <c r="J2" s="106"/>
      <c r="K2" s="106"/>
    </row>
    <row r="3" spans="1:11" ht="18" customHeight="1" x14ac:dyDescent="0.35">
      <c r="A3" s="97" t="s">
        <v>357</v>
      </c>
      <c r="B3" s="98"/>
      <c r="C3" s="98"/>
      <c r="D3" s="98"/>
      <c r="E3" s="98"/>
      <c r="F3" s="98"/>
      <c r="G3" s="98"/>
      <c r="H3" s="98"/>
      <c r="I3" s="98"/>
      <c r="J3" s="98"/>
      <c r="K3" s="98"/>
    </row>
    <row r="4" spans="1:11" x14ac:dyDescent="0.35">
      <c r="A4" s="104" t="s">
        <v>358</v>
      </c>
      <c r="B4" s="89"/>
      <c r="C4" s="60">
        <f>FLOOR(YC_AlcOnHand/(50*$C$6*(1-$C$5)),1)</f>
        <v>119</v>
      </c>
      <c r="D4" s="92" t="s">
        <v>359</v>
      </c>
      <c r="E4" s="89"/>
      <c r="F4" s="89"/>
      <c r="G4" s="89"/>
      <c r="H4" s="89"/>
      <c r="I4" s="89"/>
      <c r="J4" s="89"/>
      <c r="K4" s="89"/>
    </row>
    <row r="5" spans="1:11" x14ac:dyDescent="0.35">
      <c r="A5" s="104" t="s">
        <v>132</v>
      </c>
      <c r="B5" s="89"/>
      <c r="C5" s="20">
        <v>0.2</v>
      </c>
      <c r="D5" s="92" t="s">
        <v>360</v>
      </c>
      <c r="E5" s="89"/>
      <c r="F5" s="89"/>
      <c r="G5" s="89"/>
      <c r="H5" s="89"/>
      <c r="I5" s="89"/>
      <c r="J5" s="89"/>
      <c r="K5" s="89"/>
    </row>
    <row r="6" spans="1:11" x14ac:dyDescent="0.35">
      <c r="A6" s="104" t="s">
        <v>133</v>
      </c>
      <c r="B6" s="89"/>
      <c r="C6" s="43">
        <v>0.85</v>
      </c>
      <c r="D6" s="92" t="s">
        <v>361</v>
      </c>
      <c r="E6" s="89"/>
      <c r="F6" s="89"/>
      <c r="G6" s="89"/>
      <c r="H6" s="89"/>
      <c r="I6" s="89"/>
      <c r="J6" s="89"/>
      <c r="K6" s="89"/>
    </row>
    <row r="7" spans="1:11" x14ac:dyDescent="0.35">
      <c r="A7" s="104" t="s">
        <v>325</v>
      </c>
      <c r="B7" s="89"/>
      <c r="C7" s="20">
        <v>0.05</v>
      </c>
      <c r="D7" s="92" t="s">
        <v>362</v>
      </c>
      <c r="E7" s="89"/>
      <c r="F7" s="89"/>
      <c r="G7" s="89"/>
      <c r="H7" s="89"/>
      <c r="I7" s="89"/>
      <c r="J7" s="89"/>
      <c r="K7" s="89"/>
    </row>
    <row r="8" spans="1:11" x14ac:dyDescent="0.35">
      <c r="A8" s="104" t="s">
        <v>327</v>
      </c>
      <c r="B8" s="89"/>
      <c r="C8" s="16" t="s">
        <v>328</v>
      </c>
      <c r="D8" s="92" t="s">
        <v>363</v>
      </c>
      <c r="E8" s="89"/>
      <c r="F8" s="89"/>
      <c r="G8" s="89"/>
      <c r="H8" s="89"/>
      <c r="I8" s="89"/>
      <c r="J8" s="89"/>
      <c r="K8" s="89"/>
    </row>
    <row r="9" spans="1:11" x14ac:dyDescent="0.35">
      <c r="A9" s="1"/>
      <c r="B9" s="1"/>
      <c r="C9" s="1"/>
      <c r="D9" s="1"/>
      <c r="E9" s="1"/>
      <c r="F9" s="1"/>
      <c r="G9" s="1"/>
      <c r="H9" s="1"/>
      <c r="I9" s="1"/>
      <c r="J9" s="1"/>
      <c r="K9" s="1"/>
    </row>
    <row r="10" spans="1:11" ht="18" customHeight="1" x14ac:dyDescent="0.35">
      <c r="A10" s="97" t="s">
        <v>364</v>
      </c>
      <c r="B10" s="98"/>
      <c r="C10" s="98"/>
      <c r="D10" s="98"/>
      <c r="E10" s="98"/>
      <c r="F10" s="98"/>
      <c r="G10" s="98"/>
      <c r="H10" s="98"/>
      <c r="I10" s="98"/>
      <c r="J10" s="98"/>
      <c r="K10" s="98"/>
    </row>
    <row r="11" spans="1:11" x14ac:dyDescent="0.35">
      <c r="A11" s="1"/>
      <c r="B11" s="3" t="s">
        <v>365</v>
      </c>
      <c r="C11" s="3" t="s">
        <v>366</v>
      </c>
      <c r="D11" s="3" t="s">
        <v>367</v>
      </c>
      <c r="E11" s="3" t="s">
        <v>368</v>
      </c>
      <c r="F11" s="3" t="s">
        <v>369</v>
      </c>
      <c r="G11" s="3" t="s">
        <v>370</v>
      </c>
      <c r="H11" s="3" t="s">
        <v>371</v>
      </c>
      <c r="I11" s="3" t="s">
        <v>372</v>
      </c>
      <c r="J11" s="1"/>
      <c r="K11" s="1"/>
    </row>
    <row r="12" spans="1:11" ht="28" customHeight="1" x14ac:dyDescent="0.35">
      <c r="A12" s="1"/>
      <c r="B12" s="4">
        <f>$C$4*50*$C$6*$C$5/(1-$C$7)</f>
        <v>1064.7368421052631</v>
      </c>
      <c r="C12" s="4">
        <f>$C$4*50*$C$6*(1-$C$5)</f>
        <v>4046</v>
      </c>
      <c r="D12" s="4">
        <f>YC_MaxConc</f>
        <v>266.66666666666669</v>
      </c>
      <c r="E12" s="5">
        <f>FLOOR(YC_UsableConc/(50*$C$6*$C$5),1)</f>
        <v>31</v>
      </c>
      <c r="F12" s="5">
        <f>FLOOR(YC_AlcOnHand/(50*$C$6*(1-$C$5)),1)</f>
        <v>119</v>
      </c>
      <c r="G12" s="5">
        <f>SUM($H$27:$H$53)</f>
        <v>26</v>
      </c>
      <c r="H12" s="80">
        <f>SUM($I$27:$I$53)</f>
        <v>1501.3500000000001</v>
      </c>
      <c r="I12" s="128" t="str">
        <f>YC_LimitMat</f>
        <v>Ambroxan</v>
      </c>
      <c r="J12" s="116"/>
      <c r="K12" s="117"/>
    </row>
    <row r="13" spans="1:11" x14ac:dyDescent="0.35">
      <c r="A13" s="1"/>
      <c r="B13" s="1"/>
      <c r="C13" s="1"/>
      <c r="D13" s="1"/>
      <c r="E13" s="1"/>
      <c r="F13" s="1"/>
      <c r="G13" s="1"/>
      <c r="H13" s="1"/>
      <c r="I13" s="1"/>
      <c r="J13" s="1"/>
      <c r="K13" s="1"/>
    </row>
    <row r="14" spans="1:11" x14ac:dyDescent="0.35">
      <c r="A14" s="94" t="str">
        <f>"Plan: "&amp;TEXT($C$4,"0")&amp;" × 50 ml at "&amp;TEXT($C$5,"0%")&amp;" needs "&amp;TEXT($B$12,"0.0")&amp;" g concentrate. Buy the red rows below first; once they are covered, alcohol becomes the ceiling."</f>
        <v>Plan: 119 × 50 ml at 20% needs 1064.7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7" t="s">
        <v>373</v>
      </c>
      <c r="B17" s="98"/>
      <c r="C17" s="98"/>
      <c r="D17" s="98"/>
      <c r="E17" s="98"/>
      <c r="F17" s="98"/>
      <c r="G17" s="98"/>
      <c r="H17" s="98"/>
      <c r="I17" s="98"/>
      <c r="J17" s="98"/>
      <c r="K17" s="98"/>
    </row>
    <row r="18" spans="1:11" ht="24" customHeight="1" x14ac:dyDescent="0.35">
      <c r="A18" s="17" t="s">
        <v>53</v>
      </c>
      <c r="B18" s="17" t="s">
        <v>52</v>
      </c>
      <c r="C18" s="17" t="s">
        <v>57</v>
      </c>
      <c r="D18" s="17" t="s">
        <v>348</v>
      </c>
      <c r="E18" s="17" t="s">
        <v>374</v>
      </c>
      <c r="F18" s="17" t="s">
        <v>375</v>
      </c>
      <c r="G18" s="17" t="s">
        <v>376</v>
      </c>
      <c r="H18" s="17" t="s">
        <v>245</v>
      </c>
      <c r="I18" s="17" t="s">
        <v>377</v>
      </c>
      <c r="J18" s="17" t="s">
        <v>232</v>
      </c>
      <c r="K18" s="17" t="s">
        <v>378</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27</v>
      </c>
      <c r="E19" s="24">
        <f>$B$12*C19*IF('Formula Master'!$D$7="D10",0.1,1)</f>
        <v>47.913157894736841</v>
      </c>
      <c r="F19" s="57">
        <f t="shared" ref="F19:F43" si="1">MAX(E19-D19,0)</f>
        <v>20.913157894736841</v>
      </c>
      <c r="G19" s="24">
        <f>IF(INDEX(Inventory!$C$4:$C$30,MATCH($A19,Inv_Mat,0))="ml",INDEX(Inventory!$B$4:$B$30,MATCH($A19,Inv_Mat,0))*INDEX(Inventory!$E$4:$E$30,MATCH($A19,Inv_Mat,0)),INDEX(Inventory!$B$4:$B$30,MATCH($A19,Inv_Mat,0)))</f>
        <v>27</v>
      </c>
      <c r="H19" s="63">
        <f t="shared" ref="H19:H43" si="2">IF(F19=0,0,CEILING(F19/G19,1))</f>
        <v>1</v>
      </c>
      <c r="I19" s="24">
        <f>H19*INDEX(Inventory!$G$4:$G$30,MATCH($A19,Inv_Mat,0))</f>
        <v>54</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1.0647368421052632</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18</v>
      </c>
      <c r="E21" s="24">
        <f>$B$12*C21*IF('Formula Master'!$D$9="D10",0.1,1)</f>
        <v>21.294736842105262</v>
      </c>
      <c r="F21" s="57">
        <f t="shared" si="1"/>
        <v>3.2947368421052623</v>
      </c>
      <c r="G21" s="24">
        <f>IF(INDEX(Inventory!$C$4:$C$30,MATCH($A21,Inv_Mat,0))="ml",INDEX(Inventory!$B$4:$B$30,MATCH($A21,Inv_Mat,0))*INDEX(Inventory!$E$4:$E$30,MATCH($A21,Inv_Mat,0)),INDEX(Inventory!$B$4:$B$30,MATCH($A21,Inv_Mat,0)))</f>
        <v>9</v>
      </c>
      <c r="H21" s="63">
        <f t="shared" si="2"/>
        <v>1</v>
      </c>
      <c r="I21" s="24">
        <f>H21*INDEX(Inventory!$G$4:$G$30,MATCH($A21,Inv_Mat,0))</f>
        <v>16.739999999999998</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10.647368421052631</v>
      </c>
      <c r="F22" s="57">
        <f t="shared" si="1"/>
        <v>1.6473684210526311</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90</v>
      </c>
      <c r="E23" s="24">
        <f>$B$12*C23*IF('Formula Master'!$D$11="D10",0.1,1)</f>
        <v>156.51631578947368</v>
      </c>
      <c r="F23" s="57">
        <f t="shared" si="1"/>
        <v>66.51631578947368</v>
      </c>
      <c r="G23" s="24">
        <f>IF(INDEX(Inventory!$C$4:$C$30,MATCH($A23,Inv_Mat,0))="ml",INDEX(Inventory!$B$4:$B$30,MATCH($A23,Inv_Mat,0))*INDEX(Inventory!$E$4:$E$30,MATCH($A23,Inv_Mat,0)),INDEX(Inventory!$B$4:$B$30,MATCH($A23,Inv_Mat,0)))</f>
        <v>90</v>
      </c>
      <c r="H23" s="63">
        <f t="shared" si="2"/>
        <v>1</v>
      </c>
      <c r="I23" s="24">
        <f>H23*INDEX(Inventory!$G$4:$G$30,MATCH($A23,Inv_Mat,0))</f>
        <v>39.840000000000003</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18</v>
      </c>
      <c r="E24" s="24">
        <f>$B$12*C24*IF('Formula Master'!$D$12="D10",0.1,1)</f>
        <v>31.942105263157892</v>
      </c>
      <c r="F24" s="57">
        <f t="shared" si="1"/>
        <v>13.942105263157892</v>
      </c>
      <c r="G24" s="24">
        <f>IF(INDEX(Inventory!$C$4:$C$30,MATCH($A24,Inv_Mat,0))="ml",INDEX(Inventory!$B$4:$B$30,MATCH($A24,Inv_Mat,0))*INDEX(Inventory!$E$4:$E$30,MATCH($A24,Inv_Mat,0)),INDEX(Inventory!$B$4:$B$30,MATCH($A24,Inv_Mat,0)))</f>
        <v>9</v>
      </c>
      <c r="H24" s="63">
        <f t="shared" si="2"/>
        <v>2</v>
      </c>
      <c r="I24" s="24">
        <f>H24*INDEX(Inventory!$G$4:$G$30,MATCH($A24,Inv_Mat,0))</f>
        <v>90</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15.971052631578946</v>
      </c>
      <c r="F25" s="57">
        <f t="shared" si="1"/>
        <v>6.9710526315789458</v>
      </c>
      <c r="G25" s="24">
        <f>IF(INDEX(Inventory!$C$4:$C$30,MATCH($A25,Inv_Mat,0))="ml",INDEX(Inventory!$B$4:$B$30,MATCH($A25,Inv_Mat,0))*INDEX(Inventory!$E$4:$E$30,MATCH($A25,Inv_Mat,0)),INDEX(Inventory!$B$4:$B$30,MATCH($A25,Inv_Mat,0)))</f>
        <v>9</v>
      </c>
      <c r="H25" s="63">
        <f t="shared" si="2"/>
        <v>1</v>
      </c>
      <c r="I25" s="24">
        <f>H25*INDEX(Inventory!$G$4:$G$30,MATCH($A25,Inv_Mat,0))</f>
        <v>35.630000000000003</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27</v>
      </c>
      <c r="E26" s="24">
        <f>$B$12*C26*IF('Formula Master'!$D$14="D10",0.1,1)</f>
        <v>42.589473684210525</v>
      </c>
      <c r="F26" s="57">
        <f t="shared" si="1"/>
        <v>15.589473684210525</v>
      </c>
      <c r="G26" s="24">
        <f>IF(INDEX(Inventory!$C$4:$C$30,MATCH($A26,Inv_Mat,0))="ml",INDEX(Inventory!$B$4:$B$30,MATCH($A26,Inv_Mat,0))*INDEX(Inventory!$E$4:$E$30,MATCH($A26,Inv_Mat,0)),INDEX(Inventory!$B$4:$B$30,MATCH($A26,Inv_Mat,0)))</f>
        <v>27</v>
      </c>
      <c r="H26" s="63">
        <f t="shared" si="2"/>
        <v>1</v>
      </c>
      <c r="I26" s="24">
        <f>H26*INDEX(Inventory!$G$4:$G$30,MATCH($A26,Inv_Mat,0))</f>
        <v>50.27</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54</v>
      </c>
      <c r="E27" s="24">
        <f>$B$12*C27*IF('Formula Master'!$D$15="D10",0.1,1)</f>
        <v>74.53157894736843</v>
      </c>
      <c r="F27" s="57">
        <f t="shared" si="1"/>
        <v>20.53157894736843</v>
      </c>
      <c r="G27" s="24">
        <f>IF(INDEX(Inventory!$C$4:$C$30,MATCH($A27,Inv_Mat,0))="ml",INDEX(Inventory!$B$4:$B$30,MATCH($A27,Inv_Mat,0))*INDEX(Inventory!$E$4:$E$30,MATCH($A27,Inv_Mat,0)),INDEX(Inventory!$B$4:$B$30,MATCH($A27,Inv_Mat,0)))</f>
        <v>27</v>
      </c>
      <c r="H27" s="63">
        <f t="shared" si="2"/>
        <v>1</v>
      </c>
      <c r="I27" s="24">
        <f>H27*INDEX(Inventory!$G$4:$G$30,MATCH($A27,Inv_Mat,0))</f>
        <v>32.14</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18</v>
      </c>
      <c r="E28" s="24">
        <f>$B$12*C28*IF('Formula Master'!$D$16="D10",0.1,1)</f>
        <v>15.971052631578946</v>
      </c>
      <c r="F28" s="57">
        <f t="shared" si="1"/>
        <v>0</v>
      </c>
      <c r="G28" s="24">
        <f>IF(INDEX(Inventory!$C$4:$C$30,MATCH($A28,Inv_Mat,0))="ml",INDEX(Inventory!$B$4:$B$30,MATCH($A28,Inv_Mat,0))*INDEX(Inventory!$E$4:$E$30,MATCH($A28,Inv_Mat,0)),INDEX(Inventory!$B$4:$B$30,MATCH($A28,Inv_Mat,0)))</f>
        <v>9</v>
      </c>
      <c r="H28" s="63">
        <f t="shared" si="2"/>
        <v>0</v>
      </c>
      <c r="I28" s="24">
        <f>H28*INDEX(Inventory!$G$4:$G$30,MATCH($A28,Inv_Mat,0))</f>
        <v>0</v>
      </c>
      <c r="J28" s="61" t="str">
        <f t="shared" si="3"/>
        <v>OK</v>
      </c>
      <c r="K28" s="61" t="str">
        <f t="shared" si="4"/>
        <v>Enough for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0.31942105263157899</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7.0000000000000007E-2</v>
      </c>
      <c r="D30" s="24">
        <f t="shared" si="0"/>
        <v>30</v>
      </c>
      <c r="E30" s="24">
        <f>$B$12*C30*IF('Formula Master'!$D$18="D10",0.1,1)</f>
        <v>74.53157894736843</v>
      </c>
      <c r="F30" s="57">
        <f t="shared" si="1"/>
        <v>44.53157894736843</v>
      </c>
      <c r="G30" s="24">
        <f>IF(INDEX(Inventory!$C$4:$C$30,MATCH($A30,Inv_Mat,0))="ml",INDEX(Inventory!$B$4:$B$30,MATCH($A30,Inv_Mat,0))*INDEX(Inventory!$E$4:$E$30,MATCH($A30,Inv_Mat,0)),INDEX(Inventory!$B$4:$B$30,MATCH($A30,Inv_Mat,0)))</f>
        <v>30</v>
      </c>
      <c r="H30" s="63">
        <f t="shared" si="2"/>
        <v>2</v>
      </c>
      <c r="I30" s="24">
        <f>H30*INDEX(Inventory!$G$4:$G$30,MATCH($A30,Inv_Mat,0))</f>
        <v>84.36</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20</v>
      </c>
      <c r="E31" s="24">
        <f>$B$12*C31*IF('Formula Master'!$D$19="D10",0.1,1)</f>
        <v>26.618421052631579</v>
      </c>
      <c r="F31" s="57">
        <f t="shared" si="1"/>
        <v>6.6184210526315788</v>
      </c>
      <c r="G31" s="24">
        <f>IF(INDEX(Inventory!$C$4:$C$30,MATCH($A31,Inv_Mat,0))="ml",INDEX(Inventory!$B$4:$B$30,MATCH($A31,Inv_Mat,0))*INDEX(Inventory!$E$4:$E$30,MATCH($A31,Inv_Mat,0)),INDEX(Inventory!$B$4:$B$30,MATCH($A31,Inv_Mat,0)))</f>
        <v>10</v>
      </c>
      <c r="H31" s="63">
        <f t="shared" si="2"/>
        <v>1</v>
      </c>
      <c r="I31" s="24">
        <f>H31*INDEX(Inventory!$G$4:$G$30,MATCH($A31,Inv_Mat,0))</f>
        <v>15.69</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2.1294736842105264</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4.4999999999999998E-2</v>
      </c>
      <c r="D33" s="24">
        <f t="shared" si="0"/>
        <v>500</v>
      </c>
      <c r="E33" s="24">
        <f>$B$12*C33*IF('Formula Master'!$D$21="D10",0.1,1)</f>
        <v>47.913157894736841</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26.618421052631579</v>
      </c>
      <c r="F34" s="57">
        <f t="shared" si="1"/>
        <v>17.618421052631579</v>
      </c>
      <c r="G34" s="24">
        <f>IF(INDEX(Inventory!$C$4:$C$30,MATCH($A34,Inv_Mat,0))="ml",INDEX(Inventory!$B$4:$B$30,MATCH($A34,Inv_Mat,0))*INDEX(Inventory!$E$4:$E$30,MATCH($A34,Inv_Mat,0)),INDEX(Inventory!$B$4:$B$30,MATCH($A34,Inv_Mat,0)))</f>
        <v>9</v>
      </c>
      <c r="H34" s="63">
        <f t="shared" si="2"/>
        <v>2</v>
      </c>
      <c r="I34" s="24">
        <f>H34*INDEX(Inventory!$G$4:$G$30,MATCH($A34,Inv_Mat,0))</f>
        <v>67.5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1.5971052631578946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20</v>
      </c>
      <c r="E36" s="24">
        <f>$B$12*C36*IF('Formula Master'!$D$24="D10",0.1,1)</f>
        <v>79.855263157894726</v>
      </c>
      <c r="F36" s="57">
        <f t="shared" si="1"/>
        <v>59.855263157894726</v>
      </c>
      <c r="G36" s="24">
        <f>IF(INDEX(Inventory!$C$4:$C$30,MATCH($A36,Inv_Mat,0))="ml",INDEX(Inventory!$B$4:$B$30,MATCH($A36,Inv_Mat,0))*INDEX(Inventory!$E$4:$E$30,MATCH($A36,Inv_Mat,0)),INDEX(Inventory!$B$4:$B$30,MATCH($A36,Inv_Mat,0)))</f>
        <v>10</v>
      </c>
      <c r="H36" s="63">
        <f t="shared" si="2"/>
        <v>6</v>
      </c>
      <c r="I36" s="24">
        <f>H36*INDEX(Inventory!$G$4:$G$30,MATCH($A36,Inv_Mat,0))</f>
        <v>802.5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27</v>
      </c>
      <c r="E37" s="24">
        <f>$B$12*C37*IF('Formula Master'!$D$25="D10",0.1,1)</f>
        <v>101.14999999999999</v>
      </c>
      <c r="F37" s="57">
        <f t="shared" si="1"/>
        <v>74.149999999999991</v>
      </c>
      <c r="G37" s="24">
        <f>IF(INDEX(Inventory!$C$4:$C$30,MATCH($A37,Inv_Mat,0))="ml",INDEX(Inventory!$B$4:$B$30,MATCH($A37,Inv_Mat,0))*INDEX(Inventory!$E$4:$E$30,MATCH($A37,Inv_Mat,0)),INDEX(Inventory!$B$4:$B$30,MATCH($A37,Inv_Mat,0)))</f>
        <v>27</v>
      </c>
      <c r="H37" s="63">
        <f t="shared" si="2"/>
        <v>3</v>
      </c>
      <c r="I37" s="24">
        <f>H37*INDEX(Inventory!$G$4:$G$30,MATCH($A37,Inv_Mat,0))</f>
        <v>117.51</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31.942105263157892</v>
      </c>
      <c r="F38" s="57">
        <f t="shared" si="1"/>
        <v>22.942105263157892</v>
      </c>
      <c r="G38" s="24">
        <f>IF(INDEX(Inventory!$C$4:$C$30,MATCH($A38,Inv_Mat,0))="ml",INDEX(Inventory!$B$4:$B$30,MATCH($A38,Inv_Mat,0))*INDEX(Inventory!$E$4:$E$30,MATCH($A38,Inv_Mat,0)),INDEX(Inventory!$B$4:$B$30,MATCH($A38,Inv_Mat,0)))</f>
        <v>9</v>
      </c>
      <c r="H38" s="63">
        <f t="shared" si="2"/>
        <v>3</v>
      </c>
      <c r="I38" s="24">
        <f>H38*INDEX(Inventory!$G$4:$G$30,MATCH($A38,Inv_Mat,0))</f>
        <v>167.57999999999998</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18</v>
      </c>
      <c r="E39" s="24">
        <f>$B$12*C39*IF('Formula Master'!$D$27="D10",0.1,1)</f>
        <v>37.265789473684215</v>
      </c>
      <c r="F39" s="57">
        <f t="shared" si="1"/>
        <v>19.265789473684215</v>
      </c>
      <c r="G39" s="24">
        <f>IF(INDEX(Inventory!$C$4:$C$30,MATCH($A39,Inv_Mat,0))="ml",INDEX(Inventory!$B$4:$B$30,MATCH($A39,Inv_Mat,0))*INDEX(Inventory!$E$4:$E$30,MATCH($A39,Inv_Mat,0)),INDEX(Inventory!$B$4:$B$30,MATCH($A39,Inv_Mat,0)))</f>
        <v>9</v>
      </c>
      <c r="H39" s="63">
        <f t="shared" si="2"/>
        <v>3</v>
      </c>
      <c r="I39" s="24">
        <f>H39*INDEX(Inventory!$G$4:$G$30,MATCH($A39,Inv_Mat,0))</f>
        <v>70.62</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45</v>
      </c>
      <c r="E40" s="24">
        <f>$B$12*C40*IF('Formula Master'!$D$28="D10",0.1,1)</f>
        <v>79.855263157894726</v>
      </c>
      <c r="F40" s="57">
        <f t="shared" si="1"/>
        <v>34.855263157894726</v>
      </c>
      <c r="G40" s="24">
        <f>IF(INDEX(Inventory!$C$4:$C$30,MATCH($A40,Inv_Mat,0))="ml",INDEX(Inventory!$B$4:$B$30,MATCH($A40,Inv_Mat,0))*INDEX(Inventory!$E$4:$E$30,MATCH($A40,Inv_Mat,0)),INDEX(Inventory!$B$4:$B$30,MATCH($A40,Inv_Mat,0)))</f>
        <v>45</v>
      </c>
      <c r="H40" s="63">
        <f t="shared" si="2"/>
        <v>1</v>
      </c>
      <c r="I40" s="24">
        <f>H40*INDEX(Inventory!$G$4:$G$30,MATCH($A40,Inv_Mat,0))</f>
        <v>34.39</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58.560526315789474</v>
      </c>
      <c r="F41" s="57">
        <f t="shared" si="1"/>
        <v>31.560526315789474</v>
      </c>
      <c r="G41" s="24">
        <f>IF(INDEX(Inventory!$C$4:$C$30,MATCH($A41,Inv_Mat,0))="ml",INDEX(Inventory!$B$4:$B$30,MATCH($A41,Inv_Mat,0))*INDEX(Inventory!$E$4:$E$30,MATCH($A41,Inv_Mat,0)),INDEX(Inventory!$B$4:$B$30,MATCH($A41,Inv_Mat,0)))</f>
        <v>27</v>
      </c>
      <c r="H41" s="63">
        <f t="shared" si="2"/>
        <v>2</v>
      </c>
      <c r="I41" s="24">
        <f>H41*INDEX(Inventory!$G$4:$G$30,MATCH($A41,Inv_Mat,0))</f>
        <v>54</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26.618421052631579</v>
      </c>
      <c r="F42" s="57">
        <f t="shared" si="1"/>
        <v>17.618421052631579</v>
      </c>
      <c r="G42" s="24">
        <f>IF(INDEX(Inventory!$C$4:$C$30,MATCH($A42,Inv_Mat,0))="ml",INDEX(Inventory!$B$4:$B$30,MATCH($A42,Inv_Mat,0))*INDEX(Inventory!$E$4:$E$30,MATCH($A42,Inv_Mat,0)),INDEX(Inventory!$B$4:$B$30,MATCH($A42,Inv_Mat,0)))</f>
        <v>9</v>
      </c>
      <c r="H42" s="63">
        <f t="shared" si="2"/>
        <v>2</v>
      </c>
      <c r="I42" s="24">
        <f>H42*INDEX(Inventory!$G$4:$G$30,MATCH($A42,Inv_Mat,0))</f>
        <v>55.06</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5.3236842105263156</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237</v>
      </c>
      <c r="B52" s="61" t="s">
        <v>354</v>
      </c>
      <c r="C52" s="71">
        <f>D10ActivePct</f>
        <v>4.8000000000000001E-2</v>
      </c>
      <c r="D52" s="24">
        <f>IF($C$8="On hand",INDEX(Inv_OnHand,MATCH($A52,Inv_Mat,0)),INDEX(Inv_GramsBought,MATCH($A52,Inv_Mat,0)))</f>
        <v>510</v>
      </c>
      <c r="E52" s="24">
        <f>$B$12*D10ActivePct*0.9</f>
        <v>45.996631578947373</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379</v>
      </c>
      <c r="C53" s="71">
        <f>1-$C$5</f>
        <v>0.8</v>
      </c>
      <c r="D53" s="24">
        <f>IF($C$8="On hand",INDEX(Inv_OnHand,MATCH($A53,Inv_Mat,0)),INDEX(Inv_GramsBought,MATCH($A53,Inv_Mat,0)))</f>
        <v>4050.0000000000005</v>
      </c>
      <c r="E53" s="24">
        <f>$C$12</f>
        <v>4046</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7:K17"/>
    <mergeCell ref="A10:K10"/>
    <mergeCell ref="I12:K12"/>
    <mergeCell ref="D5:K5"/>
    <mergeCell ref="A6:B6"/>
    <mergeCell ref="A8:B8"/>
    <mergeCell ref="A7:B7"/>
    <mergeCell ref="D6:K6"/>
    <mergeCell ref="D7:K7"/>
    <mergeCell ref="A1:K1"/>
    <mergeCell ref="D4:K4"/>
    <mergeCell ref="D8:K8"/>
    <mergeCell ref="A14:K15"/>
    <mergeCell ref="A5:B5"/>
    <mergeCell ref="A2:K2"/>
    <mergeCell ref="A4:B4"/>
    <mergeCell ref="A3:K3"/>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8" t="s">
        <v>380</v>
      </c>
      <c r="B1" s="89"/>
      <c r="C1" s="89"/>
      <c r="D1" s="89"/>
      <c r="E1" s="89"/>
      <c r="F1" s="89"/>
      <c r="G1" s="89"/>
      <c r="H1" s="89"/>
      <c r="I1" s="89"/>
      <c r="J1" s="1"/>
      <c r="K1" s="1"/>
    </row>
    <row r="2" spans="1:11" x14ac:dyDescent="0.35">
      <c r="A2" s="105" t="s">
        <v>381</v>
      </c>
      <c r="B2" s="106"/>
      <c r="C2" s="106"/>
      <c r="D2" s="106"/>
      <c r="E2" s="106"/>
      <c r="F2" s="106"/>
      <c r="G2" s="106"/>
      <c r="H2" s="106"/>
      <c r="I2" s="106"/>
      <c r="J2" s="89"/>
      <c r="K2" s="89"/>
    </row>
    <row r="3" spans="1:11" ht="18" customHeight="1" x14ac:dyDescent="0.35">
      <c r="A3" s="97" t="s">
        <v>382</v>
      </c>
      <c r="B3" s="98"/>
      <c r="C3" s="98"/>
      <c r="D3" s="98"/>
      <c r="E3" s="98"/>
      <c r="F3" s="98"/>
      <c r="G3" s="98"/>
      <c r="H3" s="98"/>
      <c r="I3" s="98"/>
      <c r="J3" s="98"/>
      <c r="K3" s="98"/>
    </row>
    <row r="4" spans="1:11" x14ac:dyDescent="0.35">
      <c r="A4" s="104" t="s">
        <v>132</v>
      </c>
      <c r="B4" s="89"/>
      <c r="C4" s="20">
        <v>0.2</v>
      </c>
      <c r="D4" s="92" t="s">
        <v>383</v>
      </c>
      <c r="E4" s="89"/>
      <c r="F4" s="89"/>
      <c r="G4" s="89"/>
      <c r="H4" s="89"/>
      <c r="I4" s="89"/>
      <c r="J4" s="1"/>
      <c r="K4" s="1"/>
    </row>
    <row r="5" spans="1:11" x14ac:dyDescent="0.35">
      <c r="A5" s="104" t="s">
        <v>133</v>
      </c>
      <c r="B5" s="89"/>
      <c r="C5" s="43">
        <v>0.85</v>
      </c>
      <c r="D5" s="92" t="s">
        <v>384</v>
      </c>
      <c r="E5" s="89"/>
      <c r="F5" s="89"/>
      <c r="G5" s="89"/>
      <c r="H5" s="89"/>
      <c r="I5" s="89"/>
      <c r="J5" s="1"/>
      <c r="K5" s="1"/>
    </row>
    <row r="6" spans="1:11" x14ac:dyDescent="0.35">
      <c r="A6" s="104" t="s">
        <v>385</v>
      </c>
      <c r="B6" s="89"/>
      <c r="C6" s="42">
        <v>0</v>
      </c>
      <c r="D6" s="92" t="s">
        <v>386</v>
      </c>
      <c r="E6" s="89"/>
      <c r="F6" s="89"/>
      <c r="G6" s="89"/>
      <c r="H6" s="89"/>
      <c r="I6" s="89"/>
      <c r="J6" s="1"/>
      <c r="K6" s="1"/>
    </row>
    <row r="7" spans="1:11" x14ac:dyDescent="0.35">
      <c r="A7" s="104" t="s">
        <v>387</v>
      </c>
      <c r="B7" s="89"/>
      <c r="C7" s="81">
        <v>3</v>
      </c>
      <c r="D7" s="92" t="s">
        <v>388</v>
      </c>
      <c r="E7" s="89"/>
      <c r="F7" s="89"/>
      <c r="G7" s="89"/>
      <c r="H7" s="89"/>
      <c r="I7" s="89"/>
      <c r="J7" s="1"/>
      <c r="K7" s="1"/>
    </row>
    <row r="8" spans="1:11" x14ac:dyDescent="0.35">
      <c r="A8" s="104" t="s">
        <v>389</v>
      </c>
      <c r="B8" s="89"/>
      <c r="C8" s="20">
        <v>0.15</v>
      </c>
      <c r="D8" s="92" t="s">
        <v>390</v>
      </c>
      <c r="E8" s="89"/>
      <c r="F8" s="89"/>
      <c r="G8" s="89"/>
      <c r="H8" s="89"/>
      <c r="I8" s="89"/>
      <c r="J8" s="1"/>
      <c r="K8" s="1"/>
    </row>
    <row r="9" spans="1:11" x14ac:dyDescent="0.35">
      <c r="A9" s="1"/>
      <c r="B9" s="1"/>
      <c r="C9" s="1"/>
      <c r="D9" s="1"/>
      <c r="E9" s="1"/>
      <c r="F9" s="1"/>
      <c r="G9" s="1"/>
      <c r="H9" s="1"/>
      <c r="I9" s="1"/>
      <c r="J9" s="1"/>
      <c r="K9" s="1"/>
    </row>
    <row r="10" spans="1:11" ht="18" customHeight="1" x14ac:dyDescent="0.35">
      <c r="A10" s="97" t="s">
        <v>391</v>
      </c>
      <c r="B10" s="98"/>
      <c r="C10" s="98"/>
      <c r="D10" s="98"/>
      <c r="E10" s="98"/>
      <c r="F10" s="98"/>
      <c r="G10" s="98"/>
      <c r="H10" s="98"/>
      <c r="I10" s="98"/>
      <c r="J10" s="98"/>
      <c r="K10" s="98"/>
    </row>
    <row r="11" spans="1:11" ht="24" customHeight="1" x14ac:dyDescent="0.35">
      <c r="A11" s="17" t="s">
        <v>338</v>
      </c>
      <c r="B11" s="17" t="s">
        <v>392</v>
      </c>
      <c r="C11" s="17" t="s">
        <v>393</v>
      </c>
      <c r="D11" s="17" t="s">
        <v>394</v>
      </c>
      <c r="E11" s="17" t="s">
        <v>395</v>
      </c>
      <c r="F11" s="17" t="s">
        <v>396</v>
      </c>
      <c r="G11" s="17" t="s">
        <v>397</v>
      </c>
      <c r="H11" s="17" t="s">
        <v>398</v>
      </c>
      <c r="I11" s="17" t="s">
        <v>399</v>
      </c>
      <c r="J11" s="17" t="s">
        <v>400</v>
      </c>
      <c r="K11" s="17" t="s">
        <v>401</v>
      </c>
    </row>
    <row r="12" spans="1:11" ht="18" x14ac:dyDescent="0.35">
      <c r="A12" s="66">
        <v>10</v>
      </c>
      <c r="B12" s="24">
        <f t="shared" ref="B12:B17" si="0">$A12*PR_Density*PR_ConcPct*ConcCostPerGLoaded+$A12*PR_Density*(1-PR_ConcPct)*AlcCostPerG</f>
        <v>5.4644561866862444</v>
      </c>
      <c r="C12" s="42">
        <v>12</v>
      </c>
      <c r="D12" s="24">
        <f t="shared" ref="D12:D17" si="1">PR_Labour</f>
        <v>0</v>
      </c>
      <c r="E12" s="50">
        <f t="shared" ref="E12:E17" si="2">B12+C12+D12</f>
        <v>17.464456186686245</v>
      </c>
      <c r="F12" s="24">
        <f t="shared" ref="F12:F17" si="3">IF(A12=0,"",E12/A12)</f>
        <v>1.7464456186686246</v>
      </c>
      <c r="G12" s="4">
        <f t="shared" ref="G12:G17" si="4">E12*PR_Mult</f>
        <v>52.393368560058732</v>
      </c>
      <c r="H12" s="24">
        <f t="shared" ref="H12:H17" si="5">IF(A12=0,"",G12/A12)</f>
        <v>5.2393368560058731</v>
      </c>
      <c r="I12" s="24">
        <f t="shared" ref="I12:I17" si="6">G12*(1+PR_Vat)</f>
        <v>60.252373844067534</v>
      </c>
      <c r="J12" s="24">
        <f t="shared" ref="J12:J17" si="7">G12-E12</f>
        <v>34.928912373372484</v>
      </c>
      <c r="K12" s="75">
        <f t="shared" ref="K12:K17" si="8">IF(G12=0,"",(G12-E12)/G12)</f>
        <v>0.66666666666666663</v>
      </c>
    </row>
    <row r="13" spans="1:11" ht="18" x14ac:dyDescent="0.35">
      <c r="A13" s="66">
        <v>20</v>
      </c>
      <c r="B13" s="24">
        <f t="shared" si="0"/>
        <v>10.928912373372489</v>
      </c>
      <c r="C13" s="42">
        <v>18</v>
      </c>
      <c r="D13" s="24">
        <f t="shared" si="1"/>
        <v>0</v>
      </c>
      <c r="E13" s="50">
        <f t="shared" si="2"/>
        <v>28.928912373372491</v>
      </c>
      <c r="F13" s="24">
        <f t="shared" si="3"/>
        <v>1.4464456186686245</v>
      </c>
      <c r="G13" s="4">
        <f t="shared" si="4"/>
        <v>86.786737120117465</v>
      </c>
      <c r="H13" s="24">
        <f t="shared" si="5"/>
        <v>4.3393368560058736</v>
      </c>
      <c r="I13" s="24">
        <f t="shared" si="6"/>
        <v>99.80474768813508</v>
      </c>
      <c r="J13" s="24">
        <f t="shared" si="7"/>
        <v>57.857824746744974</v>
      </c>
      <c r="K13" s="75">
        <f t="shared" si="8"/>
        <v>0.66666666666666663</v>
      </c>
    </row>
    <row r="14" spans="1:11" ht="18" x14ac:dyDescent="0.35">
      <c r="A14" s="66">
        <v>30</v>
      </c>
      <c r="B14" s="24">
        <f t="shared" si="0"/>
        <v>16.393368560058732</v>
      </c>
      <c r="C14" s="42">
        <v>30</v>
      </c>
      <c r="D14" s="24">
        <f t="shared" si="1"/>
        <v>0</v>
      </c>
      <c r="E14" s="50">
        <f t="shared" si="2"/>
        <v>46.393368560058732</v>
      </c>
      <c r="F14" s="24">
        <f t="shared" si="3"/>
        <v>1.5464456186686244</v>
      </c>
      <c r="G14" s="4">
        <f t="shared" si="4"/>
        <v>139.18010568017621</v>
      </c>
      <c r="H14" s="24">
        <f t="shared" si="5"/>
        <v>4.6393368560058734</v>
      </c>
      <c r="I14" s="24">
        <f t="shared" si="6"/>
        <v>160.05712153220264</v>
      </c>
      <c r="J14" s="24">
        <f t="shared" si="7"/>
        <v>92.786737120117479</v>
      </c>
      <c r="K14" s="75">
        <f t="shared" si="8"/>
        <v>0.66666666666666674</v>
      </c>
    </row>
    <row r="15" spans="1:11" ht="18" x14ac:dyDescent="0.35">
      <c r="A15" s="66">
        <v>50</v>
      </c>
      <c r="B15" s="24">
        <f t="shared" si="0"/>
        <v>27.32228093343122</v>
      </c>
      <c r="C15" s="42">
        <v>40</v>
      </c>
      <c r="D15" s="24">
        <f t="shared" si="1"/>
        <v>0</v>
      </c>
      <c r="E15" s="50">
        <f t="shared" si="2"/>
        <v>67.322280933431216</v>
      </c>
      <c r="F15" s="24">
        <f t="shared" si="3"/>
        <v>1.3464456186686242</v>
      </c>
      <c r="G15" s="4">
        <f t="shared" si="4"/>
        <v>201.96684280029365</v>
      </c>
      <c r="H15" s="24">
        <f t="shared" si="5"/>
        <v>4.0393368560058729</v>
      </c>
      <c r="I15" s="24">
        <f t="shared" si="6"/>
        <v>232.26186922033767</v>
      </c>
      <c r="J15" s="24">
        <f t="shared" si="7"/>
        <v>134.64456186686243</v>
      </c>
      <c r="K15" s="75">
        <f t="shared" si="8"/>
        <v>0.66666666666666663</v>
      </c>
    </row>
    <row r="16" spans="1:11" ht="18" x14ac:dyDescent="0.35">
      <c r="A16" s="66">
        <v>70</v>
      </c>
      <c r="B16" s="24">
        <f t="shared" si="0"/>
        <v>38.251193306803714</v>
      </c>
      <c r="C16" s="42">
        <v>48</v>
      </c>
      <c r="D16" s="24">
        <f t="shared" si="1"/>
        <v>0</v>
      </c>
      <c r="E16" s="50">
        <f t="shared" si="2"/>
        <v>86.251193306803714</v>
      </c>
      <c r="F16" s="24">
        <f t="shared" si="3"/>
        <v>1.2321599043829101</v>
      </c>
      <c r="G16" s="4">
        <f t="shared" si="4"/>
        <v>258.75357992041114</v>
      </c>
      <c r="H16" s="24">
        <f t="shared" si="5"/>
        <v>3.6964797131487308</v>
      </c>
      <c r="I16" s="24">
        <f t="shared" si="6"/>
        <v>297.56661690847278</v>
      </c>
      <c r="J16" s="24">
        <f t="shared" si="7"/>
        <v>172.50238661360743</v>
      </c>
      <c r="K16" s="75">
        <f t="shared" si="8"/>
        <v>0.66666666666666663</v>
      </c>
    </row>
    <row r="17" spans="1:11" ht="18" x14ac:dyDescent="0.35">
      <c r="A17" s="66">
        <v>100</v>
      </c>
      <c r="B17" s="24">
        <f t="shared" si="0"/>
        <v>54.644561866862439</v>
      </c>
      <c r="C17" s="42">
        <v>55</v>
      </c>
      <c r="D17" s="24">
        <f t="shared" si="1"/>
        <v>0</v>
      </c>
      <c r="E17" s="50">
        <f t="shared" si="2"/>
        <v>109.64456186686243</v>
      </c>
      <c r="F17" s="24">
        <f t="shared" si="3"/>
        <v>1.0964456186686242</v>
      </c>
      <c r="G17" s="4">
        <f t="shared" si="4"/>
        <v>328.9336856005873</v>
      </c>
      <c r="H17" s="24">
        <f t="shared" si="5"/>
        <v>3.2893368560058729</v>
      </c>
      <c r="I17" s="24">
        <f t="shared" si="6"/>
        <v>378.27373844067534</v>
      </c>
      <c r="J17" s="24">
        <f t="shared" si="7"/>
        <v>219.28912373372486</v>
      </c>
      <c r="K17" s="75">
        <f t="shared" si="8"/>
        <v>0.66666666666666663</v>
      </c>
    </row>
    <row r="18" spans="1:11" x14ac:dyDescent="0.35">
      <c r="A18" s="1"/>
      <c r="B18" s="1"/>
      <c r="C18" s="1"/>
      <c r="D18" s="1"/>
      <c r="E18" s="1"/>
      <c r="F18" s="1"/>
      <c r="G18" s="1"/>
      <c r="H18" s="1"/>
      <c r="I18" s="1"/>
      <c r="J18" s="1"/>
      <c r="K18" s="1"/>
    </row>
    <row r="19" spans="1:11" ht="18" customHeight="1" x14ac:dyDescent="0.35">
      <c r="A19" s="97" t="s">
        <v>402</v>
      </c>
      <c r="B19" s="98"/>
      <c r="C19" s="98"/>
      <c r="D19" s="98"/>
      <c r="E19" s="98"/>
      <c r="F19" s="98"/>
      <c r="G19" s="98"/>
      <c r="H19" s="98"/>
      <c r="I19" s="98"/>
      <c r="J19" s="98"/>
      <c r="K19" s="98"/>
    </row>
    <row r="20" spans="1:11" ht="24" customHeight="1" x14ac:dyDescent="0.35">
      <c r="A20" s="17" t="s">
        <v>403</v>
      </c>
      <c r="B20" s="17" t="s">
        <v>404</v>
      </c>
      <c r="C20" s="17" t="s">
        <v>405</v>
      </c>
      <c r="D20" s="17" t="s">
        <v>406</v>
      </c>
      <c r="E20" s="17" t="s">
        <v>407</v>
      </c>
      <c r="F20" s="129" t="s">
        <v>408</v>
      </c>
      <c r="G20" s="116"/>
      <c r="H20" s="116"/>
      <c r="I20" s="116"/>
      <c r="J20" s="116"/>
      <c r="K20" s="117"/>
    </row>
    <row r="21" spans="1:11" x14ac:dyDescent="0.35">
      <c r="A21" s="82" t="s">
        <v>409</v>
      </c>
      <c r="B21" s="24">
        <f>$E$15*2</f>
        <v>134.64456186686243</v>
      </c>
      <c r="C21" s="24">
        <f>$E$15*2.5</f>
        <v>168.30570233357804</v>
      </c>
      <c r="D21" s="24">
        <f>$E$15*3</f>
        <v>201.96684280029365</v>
      </c>
      <c r="E21" s="24">
        <f>$E$15*4</f>
        <v>269.28912373372486</v>
      </c>
      <c r="F21" s="113" t="str">
        <f>"Your total cost for a 50 ml = "&amp;TEXT($E$15,"0.00")&amp;" SAR, cost/ml = "&amp;TEXT($F$15,"0.00")&amp;" SAR, retail/ml = "&amp;TEXT($H$15,"0.00")&amp;" SAR"</f>
        <v>Your total cost for a 50 ml = 67.32 SAR, cost/ml = 1.35 SAR, retail/ml = 4.04 SAR</v>
      </c>
      <c r="G21" s="89"/>
      <c r="H21" s="89"/>
      <c r="I21" s="89"/>
      <c r="J21" s="89"/>
      <c r="K21" s="89"/>
    </row>
    <row r="22" spans="1:11" x14ac:dyDescent="0.35">
      <c r="A22" s="1"/>
      <c r="B22" s="1"/>
      <c r="C22" s="1"/>
      <c r="D22" s="1"/>
      <c r="E22" s="1"/>
      <c r="F22" s="1"/>
      <c r="G22" s="1"/>
      <c r="H22" s="1"/>
      <c r="I22" s="1"/>
      <c r="J22" s="1"/>
      <c r="K22" s="1"/>
    </row>
    <row r="23" spans="1:11" ht="18" customHeight="1" x14ac:dyDescent="0.35">
      <c r="A23" s="97" t="s">
        <v>410</v>
      </c>
      <c r="B23" s="98"/>
      <c r="C23" s="98"/>
      <c r="D23" s="98"/>
      <c r="E23" s="98"/>
      <c r="F23" s="98"/>
      <c r="G23" s="98"/>
      <c r="H23" s="98"/>
      <c r="I23" s="98"/>
      <c r="J23" s="98"/>
      <c r="K23" s="98"/>
    </row>
    <row r="24" spans="1:11" x14ac:dyDescent="0.35">
      <c r="A24" s="104" t="s">
        <v>411</v>
      </c>
      <c r="B24" s="89"/>
      <c r="C24" s="66">
        <v>4</v>
      </c>
      <c r="D24" s="92" t="s">
        <v>412</v>
      </c>
      <c r="E24" s="89"/>
      <c r="F24" s="89"/>
      <c r="G24" s="89"/>
      <c r="H24" s="89"/>
      <c r="I24" s="89"/>
      <c r="J24" s="89"/>
      <c r="K24" s="89"/>
    </row>
    <row r="25" spans="1:11" x14ac:dyDescent="0.35">
      <c r="A25" s="88" t="s">
        <v>413</v>
      </c>
      <c r="B25" s="89"/>
      <c r="C25" s="46">
        <f>PR_NSell*$G$15</f>
        <v>807.86737120117459</v>
      </c>
      <c r="D25" s="92" t="s">
        <v>414</v>
      </c>
      <c r="E25" s="89"/>
      <c r="F25" s="89"/>
      <c r="G25" s="89"/>
      <c r="H25" s="89"/>
      <c r="I25" s="89"/>
      <c r="J25" s="89"/>
      <c r="K25" s="89"/>
    </row>
    <row r="26" spans="1:11" x14ac:dyDescent="0.35">
      <c r="A26" s="88" t="s">
        <v>415</v>
      </c>
      <c r="B26" s="89"/>
      <c r="C26" s="46">
        <f>PR_NSell*$E$15</f>
        <v>269.28912373372486</v>
      </c>
      <c r="D26" s="92" t="s">
        <v>416</v>
      </c>
      <c r="E26" s="89"/>
      <c r="F26" s="89"/>
      <c r="G26" s="89"/>
      <c r="H26" s="89"/>
      <c r="I26" s="89"/>
      <c r="J26" s="89"/>
      <c r="K26" s="89"/>
    </row>
    <row r="27" spans="1:11" x14ac:dyDescent="0.35">
      <c r="A27" s="88" t="s">
        <v>417</v>
      </c>
      <c r="B27" s="89"/>
      <c r="C27" s="46">
        <f>PR_NSell*($G$15-$E$15)</f>
        <v>538.57824746744973</v>
      </c>
      <c r="D27" s="92" t="s">
        <v>418</v>
      </c>
      <c r="E27" s="89"/>
      <c r="F27" s="89"/>
      <c r="G27" s="89"/>
      <c r="H27" s="89"/>
      <c r="I27" s="89"/>
      <c r="J27" s="89"/>
      <c r="K27" s="89"/>
    </row>
    <row r="28" spans="1:11" x14ac:dyDescent="0.35">
      <c r="A28" s="88" t="s">
        <v>419</v>
      </c>
      <c r="B28" s="89"/>
      <c r="C28" s="46">
        <f>$E$15</f>
        <v>67.322280933431216</v>
      </c>
      <c r="D28" s="92" t="s">
        <v>420</v>
      </c>
      <c r="E28" s="89"/>
      <c r="F28" s="89"/>
      <c r="G28" s="89"/>
      <c r="H28" s="89"/>
      <c r="I28" s="89"/>
      <c r="J28" s="89"/>
      <c r="K28" s="89"/>
    </row>
    <row r="29" spans="1:11" x14ac:dyDescent="0.35">
      <c r="A29" s="1"/>
      <c r="B29" s="1"/>
      <c r="C29" s="1"/>
      <c r="D29" s="1"/>
      <c r="E29" s="1"/>
      <c r="F29" s="1"/>
      <c r="G29" s="1"/>
      <c r="H29" s="1"/>
      <c r="I29" s="1"/>
      <c r="J29" s="1"/>
      <c r="K29" s="1"/>
    </row>
    <row r="30" spans="1:11" ht="18" customHeight="1" x14ac:dyDescent="0.35">
      <c r="A30" s="130" t="s">
        <v>421</v>
      </c>
      <c r="B30" s="131"/>
      <c r="C30" s="131"/>
      <c r="D30" s="131"/>
      <c r="E30" s="131"/>
      <c r="F30" s="131"/>
      <c r="G30" s="131"/>
      <c r="H30" s="131"/>
      <c r="I30" s="131"/>
      <c r="J30" s="131"/>
      <c r="K30" s="131"/>
    </row>
    <row r="31" spans="1:11" ht="28" customHeight="1" x14ac:dyDescent="0.35">
      <c r="A31" s="107" t="s">
        <v>422</v>
      </c>
      <c r="B31" s="89"/>
      <c r="C31" s="89"/>
      <c r="D31" s="89"/>
      <c r="E31" s="89"/>
      <c r="F31" s="89"/>
      <c r="G31" s="89"/>
      <c r="H31" s="89"/>
      <c r="I31" s="89"/>
      <c r="J31" s="89"/>
      <c r="K31" s="89"/>
    </row>
    <row r="32" spans="1:11" ht="28" customHeight="1" x14ac:dyDescent="0.35">
      <c r="A32" s="107" t="s">
        <v>423</v>
      </c>
      <c r="B32" s="89"/>
      <c r="C32" s="89"/>
      <c r="D32" s="89"/>
      <c r="E32" s="89"/>
      <c r="F32" s="89"/>
      <c r="G32" s="89"/>
      <c r="H32" s="89"/>
      <c r="I32" s="89"/>
      <c r="J32" s="89"/>
      <c r="K32" s="89"/>
    </row>
    <row r="33" spans="1:11" ht="28" customHeight="1" x14ac:dyDescent="0.35">
      <c r="A33" s="107" t="s">
        <v>424</v>
      </c>
      <c r="B33" s="89"/>
      <c r="C33" s="89"/>
      <c r="D33" s="89"/>
      <c r="E33" s="89"/>
      <c r="F33" s="89"/>
      <c r="G33" s="89"/>
      <c r="H33" s="89"/>
      <c r="I33" s="89"/>
      <c r="J33" s="89"/>
      <c r="K33" s="89"/>
    </row>
    <row r="34" spans="1:11" ht="28" customHeight="1" x14ac:dyDescent="0.35">
      <c r="A34" s="107" t="s">
        <v>425</v>
      </c>
      <c r="B34" s="89"/>
      <c r="C34" s="89"/>
      <c r="D34" s="89"/>
      <c r="E34" s="89"/>
      <c r="F34" s="89"/>
      <c r="G34" s="89"/>
      <c r="H34" s="89"/>
      <c r="I34" s="89"/>
      <c r="J34" s="89"/>
      <c r="K34" s="89"/>
    </row>
    <row r="35" spans="1:11" ht="28" customHeight="1" x14ac:dyDescent="0.35">
      <c r="A35" s="107" t="s">
        <v>426</v>
      </c>
      <c r="B35" s="89"/>
      <c r="C35" s="89"/>
      <c r="D35" s="89"/>
      <c r="E35" s="89"/>
      <c r="F35" s="89"/>
      <c r="G35" s="89"/>
      <c r="H35" s="89"/>
      <c r="I35" s="89"/>
      <c r="J35" s="89"/>
      <c r="K35" s="89"/>
    </row>
    <row r="36" spans="1:11" ht="28" customHeight="1" x14ac:dyDescent="0.35">
      <c r="A36" s="107" t="s">
        <v>427</v>
      </c>
      <c r="B36" s="89"/>
      <c r="C36" s="89"/>
      <c r="D36" s="89"/>
      <c r="E36" s="89"/>
      <c r="F36" s="89"/>
      <c r="G36" s="89"/>
      <c r="H36" s="89"/>
      <c r="I36" s="89"/>
      <c r="J36" s="89"/>
      <c r="K36" s="89"/>
    </row>
  </sheetData>
  <mergeCells count="35">
    <mergeCell ref="A36:K36"/>
    <mergeCell ref="D7:I7"/>
    <mergeCell ref="A6:B6"/>
    <mergeCell ref="A7:B7"/>
    <mergeCell ref="A25:B25"/>
    <mergeCell ref="A35:K35"/>
    <mergeCell ref="D26:K26"/>
    <mergeCell ref="A24:B24"/>
    <mergeCell ref="F20:K20"/>
    <mergeCell ref="A34:K34"/>
    <mergeCell ref="A30:K30"/>
    <mergeCell ref="A33:K33"/>
    <mergeCell ref="D28:K28"/>
    <mergeCell ref="A32:K32"/>
    <mergeCell ref="A8:B8"/>
    <mergeCell ref="A23:K23"/>
    <mergeCell ref="D25:K25"/>
    <mergeCell ref="D24:K24"/>
    <mergeCell ref="A28:B28"/>
    <mergeCell ref="A31:K31"/>
    <mergeCell ref="D27:K27"/>
    <mergeCell ref="A27:B27"/>
    <mergeCell ref="D8:I8"/>
    <mergeCell ref="A26:B26"/>
    <mergeCell ref="A1:I1"/>
    <mergeCell ref="A19:K19"/>
    <mergeCell ref="A10:K10"/>
    <mergeCell ref="D6:I6"/>
    <mergeCell ref="F21:K21"/>
    <mergeCell ref="A3:K3"/>
    <mergeCell ref="D5:I5"/>
    <mergeCell ref="A5:B5"/>
    <mergeCell ref="A2:K2"/>
    <mergeCell ref="A4:B4"/>
    <mergeCell ref="D4:I4"/>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7"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4" xr:uid="{00000000-0002-0000-0C00-000005000000}">
      <formula1>0</formula1>
      <formula2>100000</formula2>
    </dataValidation>
  </dataValidation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8" t="s">
        <v>428</v>
      </c>
      <c r="B1" s="89"/>
      <c r="C1" s="89"/>
      <c r="D1" s="89"/>
      <c r="E1" s="89"/>
      <c r="F1" s="89"/>
      <c r="G1" s="89"/>
      <c r="H1" s="89"/>
      <c r="I1" s="89"/>
      <c r="J1" s="1"/>
      <c r="K1" s="1"/>
    </row>
    <row r="2" spans="1:11" x14ac:dyDescent="0.35">
      <c r="A2" s="105" t="s">
        <v>429</v>
      </c>
      <c r="B2" s="106"/>
      <c r="C2" s="106"/>
      <c r="D2" s="106"/>
      <c r="E2" s="106"/>
      <c r="F2" s="106"/>
      <c r="G2" s="106"/>
      <c r="H2" s="106"/>
      <c r="I2" s="106"/>
      <c r="J2" s="89"/>
      <c r="K2" s="89"/>
    </row>
    <row r="3" spans="1:11" ht="18" customHeight="1" x14ac:dyDescent="0.35">
      <c r="A3" s="97" t="s">
        <v>430</v>
      </c>
      <c r="B3" s="98"/>
      <c r="C3" s="98"/>
      <c r="D3" s="98"/>
      <c r="E3" s="98"/>
      <c r="F3" s="98"/>
      <c r="G3" s="98"/>
      <c r="H3" s="98"/>
      <c r="I3" s="98"/>
      <c r="J3" s="98"/>
      <c r="K3" s="98"/>
    </row>
    <row r="4" spans="1:11" x14ac:dyDescent="0.35">
      <c r="A4" s="104" t="s">
        <v>431</v>
      </c>
      <c r="B4" s="89"/>
      <c r="C4" s="60">
        <f>ScaleTargetBottles50</f>
        <v>119</v>
      </c>
      <c r="D4" s="92" t="s">
        <v>432</v>
      </c>
      <c r="E4" s="89"/>
      <c r="F4" s="89"/>
      <c r="G4" s="89"/>
      <c r="H4" s="89"/>
      <c r="I4" s="89"/>
      <c r="J4" s="89"/>
      <c r="K4" s="89"/>
    </row>
    <row r="5" spans="1:11" x14ac:dyDescent="0.35">
      <c r="A5" s="104" t="s">
        <v>433</v>
      </c>
      <c r="B5" s="89"/>
      <c r="C5" s="60">
        <f>MIN(8,$C$4)</f>
        <v>8</v>
      </c>
      <c r="D5" s="92" t="s">
        <v>434</v>
      </c>
      <c r="E5" s="89"/>
      <c r="F5" s="89"/>
      <c r="G5" s="89"/>
      <c r="H5" s="89"/>
      <c r="I5" s="89"/>
      <c r="J5" s="89"/>
      <c r="K5" s="89"/>
    </row>
    <row r="6" spans="1:11" x14ac:dyDescent="0.35">
      <c r="A6" s="104" t="s">
        <v>435</v>
      </c>
      <c r="B6" s="89"/>
      <c r="C6" s="20">
        <v>0.35</v>
      </c>
      <c r="D6" s="92" t="s">
        <v>436</v>
      </c>
      <c r="E6" s="89"/>
      <c r="F6" s="89"/>
      <c r="G6" s="89"/>
      <c r="H6" s="89"/>
      <c r="I6" s="89"/>
      <c r="J6" s="89"/>
      <c r="K6" s="89"/>
    </row>
    <row r="7" spans="1:11" x14ac:dyDescent="0.35">
      <c r="A7" s="104" t="s">
        <v>437</v>
      </c>
      <c r="B7" s="89"/>
      <c r="C7" s="20">
        <v>0.1</v>
      </c>
      <c r="D7" s="92" t="s">
        <v>438</v>
      </c>
      <c r="E7" s="89"/>
      <c r="F7" s="89"/>
      <c r="G7" s="89"/>
      <c r="H7" s="89"/>
      <c r="I7" s="89"/>
      <c r="J7" s="89"/>
      <c r="K7" s="89"/>
    </row>
    <row r="8" spans="1:11" x14ac:dyDescent="0.35">
      <c r="A8" s="104" t="s">
        <v>439</v>
      </c>
      <c r="B8" s="89"/>
      <c r="C8" s="20">
        <f>PR_Vat</f>
        <v>0.15</v>
      </c>
      <c r="D8" s="92" t="s">
        <v>440</v>
      </c>
      <c r="E8" s="89"/>
      <c r="F8" s="89"/>
      <c r="G8" s="89"/>
      <c r="H8" s="89"/>
      <c r="I8" s="89"/>
      <c r="J8" s="89"/>
      <c r="K8" s="89"/>
    </row>
    <row r="9" spans="1:11" x14ac:dyDescent="0.35">
      <c r="A9" s="1"/>
      <c r="B9" s="1"/>
      <c r="C9" s="1"/>
      <c r="D9" s="1"/>
      <c r="E9" s="1"/>
      <c r="F9" s="1"/>
      <c r="G9" s="1"/>
      <c r="H9" s="1"/>
      <c r="I9" s="1"/>
      <c r="J9" s="1"/>
      <c r="K9" s="1"/>
    </row>
    <row r="10" spans="1:11" ht="18" customHeight="1" x14ac:dyDescent="0.35">
      <c r="A10" s="97" t="s">
        <v>441</v>
      </c>
      <c r="B10" s="98"/>
      <c r="C10" s="98"/>
      <c r="D10" s="98"/>
      <c r="E10" s="98"/>
      <c r="F10" s="98"/>
      <c r="G10" s="98"/>
      <c r="H10" s="98"/>
      <c r="I10" s="98"/>
      <c r="J10" s="98"/>
      <c r="K10" s="98"/>
    </row>
    <row r="11" spans="1:11" ht="24" customHeight="1" x14ac:dyDescent="0.35">
      <c r="A11" s="17" t="s">
        <v>442</v>
      </c>
      <c r="B11" s="17" t="s">
        <v>443</v>
      </c>
      <c r="C11" s="17" t="s">
        <v>396</v>
      </c>
      <c r="D11" s="17" t="s">
        <v>444</v>
      </c>
      <c r="E11" s="17" t="s">
        <v>398</v>
      </c>
      <c r="F11" s="17" t="s">
        <v>445</v>
      </c>
      <c r="G11" s="17" t="s">
        <v>446</v>
      </c>
      <c r="H11" s="17" t="s">
        <v>447</v>
      </c>
      <c r="I11" s="17" t="s">
        <v>448</v>
      </c>
      <c r="J11" s="17" t="s">
        <v>449</v>
      </c>
      <c r="K11" s="17" t="s">
        <v>450</v>
      </c>
    </row>
    <row r="12" spans="1:11" ht="18" x14ac:dyDescent="0.35">
      <c r="A12" s="83" t="s">
        <v>451</v>
      </c>
      <c r="B12" s="24">
        <f>'Pricing &amp; Sales'!$E$12</f>
        <v>17.464456186686245</v>
      </c>
      <c r="C12" s="24">
        <f>'Pricing &amp; Sales'!$F$12</f>
        <v>1.7464456186686246</v>
      </c>
      <c r="D12" s="24">
        <f>'Pricing &amp; Sales'!$G$12</f>
        <v>52.393368560058732</v>
      </c>
      <c r="E12" s="24">
        <f>'Pricing &amp; Sales'!$H$12</f>
        <v>5.2393368560058731</v>
      </c>
      <c r="F12" s="80">
        <f t="shared" ref="F12:F17" si="0">CEILING(D12*(1+$C$7),10)</f>
        <v>60</v>
      </c>
      <c r="G12" s="24">
        <f t="shared" ref="G12:G17" si="1">F12*(1+$C$8)</f>
        <v>69</v>
      </c>
      <c r="H12" s="24">
        <f t="shared" ref="H12:H17" si="2">F12-B12</f>
        <v>42.535543813313751</v>
      </c>
      <c r="I12" s="75">
        <f t="shared" ref="I12:I17" si="3">IF(F12=0,"",H12/F12)</f>
        <v>0.70892573022189587</v>
      </c>
      <c r="J12" s="61" t="s">
        <v>452</v>
      </c>
      <c r="K12" s="61" t="s">
        <v>453</v>
      </c>
    </row>
    <row r="13" spans="1:11" ht="18" x14ac:dyDescent="0.35">
      <c r="A13" s="83" t="s">
        <v>454</v>
      </c>
      <c r="B13" s="24">
        <f>'Pricing &amp; Sales'!$E$13</f>
        <v>28.928912373372491</v>
      </c>
      <c r="C13" s="24">
        <f>'Pricing &amp; Sales'!$F$13</f>
        <v>1.4464456186686245</v>
      </c>
      <c r="D13" s="24">
        <f>'Pricing &amp; Sales'!$G$13</f>
        <v>86.786737120117465</v>
      </c>
      <c r="E13" s="24">
        <f>'Pricing &amp; Sales'!$H$13</f>
        <v>4.3393368560058736</v>
      </c>
      <c r="F13" s="80">
        <f t="shared" si="0"/>
        <v>100</v>
      </c>
      <c r="G13" s="24">
        <f t="shared" si="1"/>
        <v>114.99999999999999</v>
      </c>
      <c r="H13" s="24">
        <f t="shared" si="2"/>
        <v>71.071087626627502</v>
      </c>
      <c r="I13" s="75">
        <f t="shared" si="3"/>
        <v>0.71071087626627505</v>
      </c>
      <c r="J13" s="61" t="s">
        <v>455</v>
      </c>
      <c r="K13" s="61" t="s">
        <v>456</v>
      </c>
    </row>
    <row r="14" spans="1:11" ht="18" x14ac:dyDescent="0.35">
      <c r="A14" s="83" t="s">
        <v>457</v>
      </c>
      <c r="B14" s="24">
        <f>'Pricing &amp; Sales'!$E$14</f>
        <v>46.393368560058732</v>
      </c>
      <c r="C14" s="24">
        <f>'Pricing &amp; Sales'!$F$14</f>
        <v>1.5464456186686244</v>
      </c>
      <c r="D14" s="24">
        <f>'Pricing &amp; Sales'!$G$14</f>
        <v>139.18010568017621</v>
      </c>
      <c r="E14" s="24">
        <f>'Pricing &amp; Sales'!$H$14</f>
        <v>4.6393368560058734</v>
      </c>
      <c r="F14" s="80">
        <f t="shared" si="0"/>
        <v>160</v>
      </c>
      <c r="G14" s="24">
        <f t="shared" si="1"/>
        <v>184</v>
      </c>
      <c r="H14" s="24">
        <f t="shared" si="2"/>
        <v>113.60663143994127</v>
      </c>
      <c r="I14" s="75">
        <f t="shared" si="3"/>
        <v>0.71004144649963297</v>
      </c>
      <c r="J14" s="61" t="s">
        <v>458</v>
      </c>
      <c r="K14" s="61" t="s">
        <v>459</v>
      </c>
    </row>
    <row r="15" spans="1:11" ht="18" x14ac:dyDescent="0.35">
      <c r="A15" s="83" t="s">
        <v>460</v>
      </c>
      <c r="B15" s="24">
        <f>'Pricing &amp; Sales'!$E$15</f>
        <v>67.322280933431216</v>
      </c>
      <c r="C15" s="24">
        <f>'Pricing &amp; Sales'!$F$15</f>
        <v>1.3464456186686242</v>
      </c>
      <c r="D15" s="24">
        <f>'Pricing &amp; Sales'!$G$15</f>
        <v>201.96684280029365</v>
      </c>
      <c r="E15" s="24">
        <f>'Pricing &amp; Sales'!$H$15</f>
        <v>4.0393368560058729</v>
      </c>
      <c r="F15" s="80">
        <f t="shared" si="0"/>
        <v>230</v>
      </c>
      <c r="G15" s="24">
        <f t="shared" si="1"/>
        <v>264.5</v>
      </c>
      <c r="H15" s="24">
        <f t="shared" si="2"/>
        <v>162.67771906656878</v>
      </c>
      <c r="I15" s="75">
        <f t="shared" si="3"/>
        <v>0.70729443072421205</v>
      </c>
      <c r="J15" s="61" t="s">
        <v>461</v>
      </c>
      <c r="K15" s="61" t="s">
        <v>462</v>
      </c>
    </row>
    <row r="16" spans="1:11" ht="18" x14ac:dyDescent="0.35">
      <c r="A16" s="83" t="s">
        <v>463</v>
      </c>
      <c r="B16" s="24">
        <f>'Pricing &amp; Sales'!$E$16</f>
        <v>86.251193306803714</v>
      </c>
      <c r="C16" s="24">
        <f>'Pricing &amp; Sales'!$F$16</f>
        <v>1.2321599043829101</v>
      </c>
      <c r="D16" s="24">
        <f>'Pricing &amp; Sales'!$G$16</f>
        <v>258.75357992041114</v>
      </c>
      <c r="E16" s="24">
        <f>'Pricing &amp; Sales'!$H$16</f>
        <v>3.6964797131487308</v>
      </c>
      <c r="F16" s="80">
        <f t="shared" si="0"/>
        <v>290</v>
      </c>
      <c r="G16" s="24">
        <f t="shared" si="1"/>
        <v>333.5</v>
      </c>
      <c r="H16" s="24">
        <f t="shared" si="2"/>
        <v>203.74880669319629</v>
      </c>
      <c r="I16" s="75">
        <f t="shared" si="3"/>
        <v>0.70258209204550448</v>
      </c>
      <c r="J16" s="61" t="s">
        <v>464</v>
      </c>
      <c r="K16" s="61" t="s">
        <v>465</v>
      </c>
    </row>
    <row r="17" spans="1:11" ht="18" x14ac:dyDescent="0.35">
      <c r="A17" s="83" t="s">
        <v>466</v>
      </c>
      <c r="B17" s="24">
        <f>'Pricing &amp; Sales'!$E$17</f>
        <v>109.64456186686243</v>
      </c>
      <c r="C17" s="24">
        <f>'Pricing &amp; Sales'!$F$17</f>
        <v>1.0964456186686242</v>
      </c>
      <c r="D17" s="24">
        <f>'Pricing &amp; Sales'!$G$17</f>
        <v>328.9336856005873</v>
      </c>
      <c r="E17" s="24">
        <f>'Pricing &amp; Sales'!$H$17</f>
        <v>3.2893368560058729</v>
      </c>
      <c r="F17" s="80">
        <f t="shared" si="0"/>
        <v>370</v>
      </c>
      <c r="G17" s="24">
        <f t="shared" si="1"/>
        <v>425.49999999999994</v>
      </c>
      <c r="H17" s="24">
        <f t="shared" si="2"/>
        <v>260.35543813313757</v>
      </c>
      <c r="I17" s="75">
        <f t="shared" si="3"/>
        <v>0.7036633463057772</v>
      </c>
      <c r="J17" s="61" t="s">
        <v>467</v>
      </c>
      <c r="K17" s="61" t="s">
        <v>465</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7" t="s">
        <v>468</v>
      </c>
      <c r="B20" s="98"/>
      <c r="C20" s="98"/>
      <c r="D20" s="98"/>
      <c r="E20" s="98"/>
      <c r="F20" s="98"/>
      <c r="G20" s="98"/>
      <c r="H20" s="98"/>
      <c r="I20" s="98"/>
      <c r="J20" s="98"/>
      <c r="K20" s="98"/>
    </row>
    <row r="21" spans="1:11" ht="24" customHeight="1" x14ac:dyDescent="0.35">
      <c r="A21" s="17" t="s">
        <v>469</v>
      </c>
      <c r="B21" s="17" t="s">
        <v>470</v>
      </c>
      <c r="C21" s="17" t="s">
        <v>471</v>
      </c>
      <c r="D21" s="17" t="s">
        <v>472</v>
      </c>
      <c r="E21" s="17" t="s">
        <v>473</v>
      </c>
      <c r="F21" s="17" t="s">
        <v>474</v>
      </c>
      <c r="G21" s="17" t="s">
        <v>475</v>
      </c>
      <c r="H21" s="17" t="s">
        <v>476</v>
      </c>
      <c r="I21" s="17" t="s">
        <v>278</v>
      </c>
      <c r="J21" s="17"/>
      <c r="K21" s="17"/>
    </row>
    <row r="22" spans="1:11" ht="60" x14ac:dyDescent="0.35">
      <c r="A22" s="82" t="s">
        <v>477</v>
      </c>
      <c r="B22" s="69">
        <f>MAX($C$4-B23-B24,0)</f>
        <v>83</v>
      </c>
      <c r="C22" s="24">
        <f>$F$15*(1-$C$7)</f>
        <v>207</v>
      </c>
      <c r="D22" s="75">
        <v>0</v>
      </c>
      <c r="E22" s="24">
        <f>B22*C22*(1-D22)</f>
        <v>17181</v>
      </c>
      <c r="F22" s="24">
        <f>'Pricing &amp; Sales'!$E$15</f>
        <v>67.322280933431216</v>
      </c>
      <c r="G22" s="24">
        <f>E22-B22*F22</f>
        <v>11593.250682525209</v>
      </c>
      <c r="H22" s="61" t="s">
        <v>478</v>
      </c>
      <c r="I22" s="84" t="s">
        <v>479</v>
      </c>
      <c r="J22" s="1"/>
      <c r="K22" s="1"/>
    </row>
    <row r="23" spans="1:11" ht="72" x14ac:dyDescent="0.35">
      <c r="A23" s="82" t="s">
        <v>433</v>
      </c>
      <c r="B23" s="69">
        <f>MIN($C$5,$C$4)</f>
        <v>8</v>
      </c>
      <c r="C23" s="24">
        <v>0</v>
      </c>
      <c r="D23" s="75">
        <v>0</v>
      </c>
      <c r="E23" s="24">
        <f>B23*C23*(1-D23)</f>
        <v>0</v>
      </c>
      <c r="F23" s="24">
        <f>'Pricing &amp; Sales'!$E$15</f>
        <v>67.322280933431216</v>
      </c>
      <c r="G23" s="24">
        <f>E23-B23*F23</f>
        <v>-538.57824746744973</v>
      </c>
      <c r="H23" s="61" t="s">
        <v>478</v>
      </c>
      <c r="I23" s="84" t="s">
        <v>480</v>
      </c>
      <c r="J23" s="1"/>
      <c r="K23" s="1"/>
    </row>
    <row r="24" spans="1:11" ht="48" x14ac:dyDescent="0.35">
      <c r="A24" s="82" t="s">
        <v>481</v>
      </c>
      <c r="B24" s="69">
        <f>ROUND(MAX($C$4-B23,0)*0.25,0)</f>
        <v>28</v>
      </c>
      <c r="C24" s="24">
        <f>$F$15</f>
        <v>230</v>
      </c>
      <c r="D24" s="75">
        <f>$C$6</f>
        <v>0.35</v>
      </c>
      <c r="E24" s="24">
        <f>B24*C24*(1-D24)</f>
        <v>4186</v>
      </c>
      <c r="F24" s="24">
        <f>'Pricing &amp; Sales'!$E$15</f>
        <v>67.322280933431216</v>
      </c>
      <c r="G24" s="24">
        <f>E24-B24*F24</f>
        <v>2300.976133863926</v>
      </c>
      <c r="H24" s="61" t="s">
        <v>478</v>
      </c>
      <c r="I24" s="84" t="s">
        <v>482</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7" t="s">
        <v>483</v>
      </c>
      <c r="B27" s="98"/>
      <c r="C27" s="98"/>
      <c r="D27" s="98"/>
      <c r="E27" s="98"/>
      <c r="F27" s="98"/>
      <c r="G27" s="98"/>
      <c r="H27" s="98"/>
      <c r="I27" s="98"/>
      <c r="J27" s="98"/>
      <c r="K27" s="98"/>
    </row>
    <row r="28" spans="1:11" x14ac:dyDescent="0.35">
      <c r="A28" s="107" t="s">
        <v>484</v>
      </c>
      <c r="B28" s="89"/>
      <c r="C28" s="89"/>
      <c r="D28" s="89"/>
      <c r="E28" s="89"/>
      <c r="F28" s="89"/>
      <c r="G28" s="89"/>
      <c r="H28" s="89"/>
      <c r="I28" s="89"/>
      <c r="J28" s="89"/>
      <c r="K28" s="89"/>
    </row>
    <row r="29" spans="1:11" x14ac:dyDescent="0.35">
      <c r="A29" s="107" t="s">
        <v>485</v>
      </c>
      <c r="B29" s="89"/>
      <c r="C29" s="89"/>
      <c r="D29" s="89"/>
      <c r="E29" s="89"/>
      <c r="F29" s="89"/>
      <c r="G29" s="89"/>
      <c r="H29" s="89"/>
      <c r="I29" s="89"/>
      <c r="J29" s="89"/>
      <c r="K29" s="89"/>
    </row>
    <row r="30" spans="1:11" x14ac:dyDescent="0.35">
      <c r="A30" s="107" t="s">
        <v>486</v>
      </c>
      <c r="B30" s="89"/>
      <c r="C30" s="89"/>
      <c r="D30" s="89"/>
      <c r="E30" s="89"/>
      <c r="F30" s="89"/>
      <c r="G30" s="89"/>
      <c r="H30" s="89"/>
      <c r="I30" s="89"/>
      <c r="J30" s="89"/>
      <c r="K30" s="89"/>
    </row>
    <row r="31" spans="1:11" x14ac:dyDescent="0.35">
      <c r="A31" s="107" t="s">
        <v>487</v>
      </c>
      <c r="B31" s="89"/>
      <c r="C31" s="89"/>
      <c r="D31" s="89"/>
      <c r="E31" s="89"/>
      <c r="F31" s="89"/>
      <c r="G31" s="89"/>
      <c r="H31" s="89"/>
      <c r="I31" s="89"/>
      <c r="J31" s="89"/>
      <c r="K31" s="89"/>
    </row>
  </sheetData>
  <mergeCells count="20">
    <mergeCell ref="D6:K6"/>
    <mergeCell ref="A27:K27"/>
    <mergeCell ref="A20:K20"/>
    <mergeCell ref="A29:K29"/>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488</v>
      </c>
      <c r="B1" s="89"/>
      <c r="C1" s="89"/>
      <c r="D1" s="89"/>
      <c r="E1" s="89"/>
      <c r="F1" s="89"/>
      <c r="G1" s="89"/>
      <c r="H1" s="89"/>
      <c r="I1" s="89"/>
    </row>
    <row r="2" spans="1:9" x14ac:dyDescent="0.35">
      <c r="A2" s="105" t="s">
        <v>489</v>
      </c>
      <c r="B2" s="106"/>
      <c r="C2" s="106"/>
      <c r="D2" s="106"/>
      <c r="E2" s="106"/>
      <c r="F2" s="106"/>
      <c r="G2" s="106"/>
      <c r="H2" s="106"/>
      <c r="I2" s="106"/>
    </row>
    <row r="3" spans="1:9" x14ac:dyDescent="0.35">
      <c r="A3" s="1"/>
      <c r="B3" s="1"/>
      <c r="C3" s="1"/>
      <c r="D3" s="1"/>
      <c r="E3" s="1"/>
      <c r="F3" s="1"/>
      <c r="G3" s="1"/>
      <c r="H3" s="1"/>
      <c r="I3" s="1"/>
    </row>
    <row r="4" spans="1:9" ht="18" customHeight="1" x14ac:dyDescent="0.35">
      <c r="A4" s="97" t="s">
        <v>490</v>
      </c>
      <c r="B4" s="98"/>
      <c r="C4" s="98"/>
      <c r="D4" s="98"/>
      <c r="E4" s="98"/>
      <c r="F4" s="98"/>
      <c r="G4" s="98"/>
      <c r="H4" s="98"/>
      <c r="I4" s="98"/>
    </row>
    <row r="5" spans="1:9" ht="16" customHeight="1" x14ac:dyDescent="0.35">
      <c r="A5" s="1"/>
      <c r="B5" s="101" t="s">
        <v>491</v>
      </c>
      <c r="C5" s="89"/>
      <c r="D5" s="89"/>
      <c r="E5" s="89"/>
      <c r="F5" s="89"/>
      <c r="G5" s="89"/>
      <c r="H5" s="89"/>
      <c r="I5" s="89"/>
    </row>
    <row r="6" spans="1:9" ht="28" customHeight="1" x14ac:dyDescent="0.35">
      <c r="A6" s="1"/>
      <c r="B6" s="101" t="s">
        <v>492</v>
      </c>
      <c r="C6" s="89"/>
      <c r="D6" s="89"/>
      <c r="E6" s="89"/>
      <c r="F6" s="89"/>
      <c r="G6" s="89"/>
      <c r="H6" s="89"/>
      <c r="I6" s="89"/>
    </row>
    <row r="7" spans="1:9" ht="16" customHeight="1" x14ac:dyDescent="0.35">
      <c r="A7" s="1"/>
      <c r="B7" s="101" t="s">
        <v>493</v>
      </c>
      <c r="C7" s="89"/>
      <c r="D7" s="89"/>
      <c r="E7" s="89"/>
      <c r="F7" s="89"/>
      <c r="G7" s="89"/>
      <c r="H7" s="89"/>
      <c r="I7" s="89"/>
    </row>
    <row r="8" spans="1:9" x14ac:dyDescent="0.35">
      <c r="A8" s="1"/>
      <c r="B8" s="1"/>
      <c r="C8" s="1"/>
      <c r="D8" s="1"/>
      <c r="E8" s="1"/>
      <c r="F8" s="1"/>
      <c r="G8" s="1"/>
      <c r="H8" s="1"/>
      <c r="I8" s="1"/>
    </row>
    <row r="9" spans="1:9" ht="18" customHeight="1" x14ac:dyDescent="0.35">
      <c r="A9" s="97" t="s">
        <v>494</v>
      </c>
      <c r="B9" s="98"/>
      <c r="C9" s="98"/>
      <c r="D9" s="98"/>
      <c r="E9" s="98"/>
      <c r="F9" s="98"/>
      <c r="G9" s="98"/>
      <c r="H9" s="98"/>
      <c r="I9" s="98"/>
    </row>
    <row r="10" spans="1:9" ht="56" customHeight="1" x14ac:dyDescent="0.35">
      <c r="A10" s="1"/>
      <c r="B10" s="101" t="s">
        <v>495</v>
      </c>
      <c r="C10" s="89"/>
      <c r="D10" s="89"/>
      <c r="E10" s="89"/>
      <c r="F10" s="89"/>
      <c r="G10" s="89"/>
      <c r="H10" s="89"/>
      <c r="I10" s="89"/>
    </row>
    <row r="11" spans="1:9" ht="42" customHeight="1" x14ac:dyDescent="0.35">
      <c r="A11" s="1"/>
      <c r="B11" s="101" t="s">
        <v>496</v>
      </c>
      <c r="C11" s="89"/>
      <c r="D11" s="89"/>
      <c r="E11" s="89"/>
      <c r="F11" s="89"/>
      <c r="G11" s="89"/>
      <c r="H11" s="89"/>
      <c r="I11" s="89"/>
    </row>
    <row r="12" spans="1:9" ht="28" customHeight="1" x14ac:dyDescent="0.35">
      <c r="A12" s="1"/>
      <c r="B12" s="101" t="s">
        <v>497</v>
      </c>
      <c r="C12" s="89"/>
      <c r="D12" s="89"/>
      <c r="E12" s="89"/>
      <c r="F12" s="89"/>
      <c r="G12" s="89"/>
      <c r="H12" s="89"/>
      <c r="I12" s="89"/>
    </row>
    <row r="13" spans="1:9" ht="42" customHeight="1" x14ac:dyDescent="0.35">
      <c r="A13" s="1"/>
      <c r="B13" s="101" t="s">
        <v>498</v>
      </c>
      <c r="C13" s="89"/>
      <c r="D13" s="89"/>
      <c r="E13" s="89"/>
      <c r="F13" s="89"/>
      <c r="G13" s="89"/>
      <c r="H13" s="89"/>
      <c r="I13" s="89"/>
    </row>
    <row r="14" spans="1:9" ht="56" customHeight="1" x14ac:dyDescent="0.35">
      <c r="A14" s="1"/>
      <c r="B14" s="101" t="s">
        <v>499</v>
      </c>
      <c r="C14" s="89"/>
      <c r="D14" s="89"/>
      <c r="E14" s="89"/>
      <c r="F14" s="89"/>
      <c r="G14" s="89"/>
      <c r="H14" s="89"/>
      <c r="I14" s="89"/>
    </row>
    <row r="15" spans="1:9" ht="28" customHeight="1" x14ac:dyDescent="0.35">
      <c r="A15" s="1"/>
      <c r="B15" s="101" t="s">
        <v>500</v>
      </c>
      <c r="C15" s="89"/>
      <c r="D15" s="89"/>
      <c r="E15" s="89"/>
      <c r="F15" s="89"/>
      <c r="G15" s="89"/>
      <c r="H15" s="89"/>
      <c r="I15" s="89"/>
    </row>
    <row r="16" spans="1:9" ht="42" customHeight="1" x14ac:dyDescent="0.35">
      <c r="A16" s="1"/>
      <c r="B16" s="101" t="s">
        <v>501</v>
      </c>
      <c r="C16" s="89"/>
      <c r="D16" s="89"/>
      <c r="E16" s="89"/>
      <c r="F16" s="89"/>
      <c r="G16" s="89"/>
      <c r="H16" s="89"/>
      <c r="I16" s="89"/>
    </row>
    <row r="17" spans="1:9" ht="16" customHeight="1" x14ac:dyDescent="0.35">
      <c r="A17" s="1"/>
      <c r="B17" s="101" t="s">
        <v>502</v>
      </c>
      <c r="C17" s="89"/>
      <c r="D17" s="89"/>
      <c r="E17" s="89"/>
      <c r="F17" s="89"/>
      <c r="G17" s="89"/>
      <c r="H17" s="89"/>
      <c r="I17" s="89"/>
    </row>
    <row r="18" spans="1:9" ht="16" customHeight="1" x14ac:dyDescent="0.35">
      <c r="A18" s="1"/>
      <c r="B18" s="101" t="s">
        <v>503</v>
      </c>
      <c r="C18" s="89"/>
      <c r="D18" s="89"/>
      <c r="E18" s="89"/>
      <c r="F18" s="89"/>
      <c r="G18" s="89"/>
      <c r="H18" s="89"/>
      <c r="I18" s="89"/>
    </row>
    <row r="19" spans="1:9" ht="28" customHeight="1" x14ac:dyDescent="0.35">
      <c r="A19" s="1"/>
      <c r="B19" s="101" t="s">
        <v>504</v>
      </c>
      <c r="C19" s="89"/>
      <c r="D19" s="89"/>
      <c r="E19" s="89"/>
      <c r="F19" s="89"/>
      <c r="G19" s="89"/>
      <c r="H19" s="89"/>
      <c r="I19" s="89"/>
    </row>
    <row r="20" spans="1:9" ht="28" customHeight="1" x14ac:dyDescent="0.35">
      <c r="A20" s="1"/>
      <c r="B20" s="101" t="s">
        <v>505</v>
      </c>
      <c r="C20" s="89"/>
      <c r="D20" s="89"/>
      <c r="E20" s="89"/>
      <c r="F20" s="89"/>
      <c r="G20" s="89"/>
      <c r="H20" s="89"/>
      <c r="I20" s="89"/>
    </row>
    <row r="21" spans="1:9" x14ac:dyDescent="0.35">
      <c r="A21" s="1"/>
      <c r="B21" s="1"/>
      <c r="C21" s="1"/>
      <c r="D21" s="1"/>
      <c r="E21" s="1"/>
      <c r="F21" s="1"/>
      <c r="G21" s="1"/>
      <c r="H21" s="1"/>
      <c r="I21" s="1"/>
    </row>
    <row r="22" spans="1:9" ht="18" customHeight="1" x14ac:dyDescent="0.35">
      <c r="A22" s="97" t="s">
        <v>506</v>
      </c>
      <c r="B22" s="98"/>
      <c r="C22" s="98"/>
      <c r="D22" s="98"/>
      <c r="E22" s="98"/>
      <c r="F22" s="98"/>
      <c r="G22" s="98"/>
      <c r="H22" s="98"/>
      <c r="I22" s="98"/>
    </row>
    <row r="23" spans="1:9" ht="28" customHeight="1" x14ac:dyDescent="0.35">
      <c r="A23" s="1"/>
      <c r="B23" s="101" t="s">
        <v>507</v>
      </c>
      <c r="C23" s="89"/>
      <c r="D23" s="89"/>
      <c r="E23" s="89"/>
      <c r="F23" s="89"/>
      <c r="G23" s="89"/>
      <c r="H23" s="89"/>
      <c r="I23" s="89"/>
    </row>
    <row r="24" spans="1:9" ht="16" customHeight="1" x14ac:dyDescent="0.35">
      <c r="A24" s="1"/>
      <c r="B24" s="101" t="s">
        <v>508</v>
      </c>
      <c r="C24" s="89"/>
      <c r="D24" s="89"/>
      <c r="E24" s="89"/>
      <c r="F24" s="89"/>
      <c r="G24" s="89"/>
      <c r="H24" s="89"/>
      <c r="I24" s="89"/>
    </row>
    <row r="25" spans="1:9" x14ac:dyDescent="0.35">
      <c r="A25" s="1"/>
      <c r="B25" s="1"/>
      <c r="C25" s="1"/>
      <c r="D25" s="1"/>
      <c r="E25" s="1"/>
      <c r="F25" s="1"/>
      <c r="G25" s="1"/>
      <c r="H25" s="1"/>
      <c r="I25" s="1"/>
    </row>
    <row r="26" spans="1:9" ht="18" customHeight="1" x14ac:dyDescent="0.35">
      <c r="A26" s="97" t="s">
        <v>509</v>
      </c>
      <c r="B26" s="98"/>
      <c r="C26" s="98"/>
      <c r="D26" s="98"/>
      <c r="E26" s="98"/>
      <c r="F26" s="98"/>
      <c r="G26" s="98"/>
      <c r="H26" s="98"/>
      <c r="I26" s="98"/>
    </row>
    <row r="27" spans="1:9" ht="16" customHeight="1" x14ac:dyDescent="0.35">
      <c r="A27" s="1"/>
      <c r="B27" s="101" t="s">
        <v>510</v>
      </c>
      <c r="C27" s="89"/>
      <c r="D27" s="89"/>
      <c r="E27" s="89"/>
      <c r="F27" s="89"/>
      <c r="G27" s="89"/>
      <c r="H27" s="89"/>
      <c r="I27" s="89"/>
    </row>
    <row r="28" spans="1:9" ht="16" customHeight="1" x14ac:dyDescent="0.35">
      <c r="A28" s="1"/>
      <c r="B28" s="101" t="s">
        <v>511</v>
      </c>
      <c r="C28" s="89"/>
      <c r="D28" s="89"/>
      <c r="E28" s="89"/>
      <c r="F28" s="89"/>
      <c r="G28" s="89"/>
      <c r="H28" s="89"/>
      <c r="I28" s="89"/>
    </row>
    <row r="29" spans="1:9" ht="16" customHeight="1" x14ac:dyDescent="0.35">
      <c r="A29" s="1"/>
      <c r="B29" s="101" t="s">
        <v>512</v>
      </c>
      <c r="C29" s="89"/>
      <c r="D29" s="89"/>
      <c r="E29" s="89"/>
      <c r="F29" s="89"/>
      <c r="G29" s="89"/>
      <c r="H29" s="89"/>
      <c r="I29" s="89"/>
    </row>
    <row r="30" spans="1:9" ht="16" customHeight="1" x14ac:dyDescent="0.35">
      <c r="A30" s="1"/>
      <c r="B30" s="101" t="s">
        <v>513</v>
      </c>
      <c r="C30" s="89"/>
      <c r="D30" s="89"/>
      <c r="E30" s="89"/>
      <c r="F30" s="89"/>
      <c r="G30" s="89"/>
      <c r="H30" s="89"/>
      <c r="I30" s="89"/>
    </row>
    <row r="31" spans="1:9" ht="28" customHeight="1" x14ac:dyDescent="0.35">
      <c r="A31" s="1"/>
      <c r="B31" s="101" t="s">
        <v>514</v>
      </c>
      <c r="C31" s="89"/>
      <c r="D31" s="89"/>
      <c r="E31" s="89"/>
      <c r="F31" s="89"/>
      <c r="G31" s="89"/>
      <c r="H31" s="89"/>
      <c r="I31" s="89"/>
    </row>
    <row r="32" spans="1:9" x14ac:dyDescent="0.35">
      <c r="A32" s="1"/>
      <c r="B32" s="1"/>
      <c r="C32" s="1"/>
      <c r="D32" s="1"/>
      <c r="E32" s="1"/>
      <c r="F32" s="1"/>
      <c r="G32" s="1"/>
      <c r="H32" s="1"/>
      <c r="I32" s="1"/>
    </row>
    <row r="33" spans="1:9" ht="18" customHeight="1" x14ac:dyDescent="0.35">
      <c r="A33" s="97" t="s">
        <v>515</v>
      </c>
      <c r="B33" s="98"/>
      <c r="C33" s="98"/>
      <c r="D33" s="98"/>
      <c r="E33" s="98"/>
      <c r="F33" s="98"/>
      <c r="G33" s="98"/>
      <c r="H33" s="98"/>
      <c r="I33" s="98"/>
    </row>
    <row r="34" spans="1:9" ht="16" customHeight="1" x14ac:dyDescent="0.35">
      <c r="A34" s="1"/>
      <c r="B34" s="101" t="s">
        <v>516</v>
      </c>
      <c r="C34" s="89"/>
      <c r="D34" s="89"/>
      <c r="E34" s="89"/>
      <c r="F34" s="89"/>
      <c r="G34" s="89"/>
      <c r="H34" s="89"/>
      <c r="I34" s="89"/>
    </row>
    <row r="35" spans="1:9" ht="28" customHeight="1" x14ac:dyDescent="0.35">
      <c r="A35" s="1"/>
      <c r="B35" s="101" t="s">
        <v>517</v>
      </c>
      <c r="C35" s="89"/>
      <c r="D35" s="89"/>
      <c r="E35" s="89"/>
      <c r="F35" s="89"/>
      <c r="G35" s="89"/>
      <c r="H35" s="89"/>
      <c r="I35" s="89"/>
    </row>
    <row r="36" spans="1:9" ht="16" customHeight="1" x14ac:dyDescent="0.35">
      <c r="A36" s="1"/>
      <c r="B36" s="101" t="s">
        <v>518</v>
      </c>
      <c r="C36" s="89"/>
      <c r="D36" s="89"/>
      <c r="E36" s="89"/>
      <c r="F36" s="89"/>
      <c r="G36" s="89"/>
      <c r="H36" s="89"/>
      <c r="I36" s="89"/>
    </row>
    <row r="37" spans="1:9" x14ac:dyDescent="0.35">
      <c r="A37" s="1"/>
      <c r="B37" s="1"/>
      <c r="C37" s="1"/>
      <c r="D37" s="1"/>
      <c r="E37" s="1"/>
      <c r="F37" s="1"/>
      <c r="G37" s="1"/>
      <c r="H37" s="1"/>
      <c r="I37" s="1"/>
    </row>
    <row r="38" spans="1:9" ht="18" customHeight="1" x14ac:dyDescent="0.35">
      <c r="A38" s="97" t="s">
        <v>519</v>
      </c>
      <c r="B38" s="98"/>
      <c r="C38" s="98"/>
      <c r="D38" s="98"/>
      <c r="E38" s="98"/>
      <c r="F38" s="98"/>
      <c r="G38" s="98"/>
      <c r="H38" s="98"/>
      <c r="I38" s="98"/>
    </row>
    <row r="39" spans="1:9" ht="16" customHeight="1" x14ac:dyDescent="0.35">
      <c r="A39" s="1"/>
      <c r="B39" s="101" t="s">
        <v>520</v>
      </c>
      <c r="C39" s="89"/>
      <c r="D39" s="89"/>
      <c r="E39" s="89"/>
      <c r="F39" s="89"/>
      <c r="G39" s="89"/>
      <c r="H39" s="89"/>
      <c r="I39" s="89"/>
    </row>
    <row r="40" spans="1:9" ht="16" customHeight="1" x14ac:dyDescent="0.35">
      <c r="A40" s="1"/>
      <c r="B40" s="101" t="s">
        <v>521</v>
      </c>
      <c r="C40" s="89"/>
      <c r="D40" s="89"/>
      <c r="E40" s="89"/>
      <c r="F40" s="89"/>
      <c r="G40" s="89"/>
      <c r="H40" s="89"/>
      <c r="I40" s="89"/>
    </row>
    <row r="41" spans="1:9" ht="16" customHeight="1" x14ac:dyDescent="0.35">
      <c r="A41" s="1"/>
      <c r="B41" s="101" t="s">
        <v>522</v>
      </c>
      <c r="C41" s="89"/>
      <c r="D41" s="89"/>
      <c r="E41" s="89"/>
      <c r="F41" s="89"/>
      <c r="G41" s="89"/>
      <c r="H41" s="89"/>
      <c r="I41" s="89"/>
    </row>
    <row r="42" spans="1:9" ht="16" customHeight="1" x14ac:dyDescent="0.35">
      <c r="A42" s="1"/>
      <c r="B42" s="101" t="s">
        <v>523</v>
      </c>
      <c r="C42" s="89"/>
      <c r="D42" s="89"/>
      <c r="E42" s="89"/>
      <c r="F42" s="89"/>
      <c r="G42" s="89"/>
      <c r="H42" s="89"/>
      <c r="I42" s="89"/>
    </row>
    <row r="43" spans="1:9" ht="16" customHeight="1" x14ac:dyDescent="0.35">
      <c r="A43" s="1"/>
      <c r="B43" s="101" t="s">
        <v>524</v>
      </c>
      <c r="C43" s="89"/>
      <c r="D43" s="89"/>
      <c r="E43" s="89"/>
      <c r="F43" s="89"/>
      <c r="G43" s="89"/>
      <c r="H43" s="89"/>
      <c r="I43" s="89"/>
    </row>
    <row r="44" spans="1:9" ht="16" customHeight="1" x14ac:dyDescent="0.35">
      <c r="A44" s="1"/>
      <c r="B44" s="101" t="s">
        <v>525</v>
      </c>
      <c r="C44" s="89"/>
      <c r="D44" s="89"/>
      <c r="E44" s="89"/>
      <c r="F44" s="89"/>
      <c r="G44" s="89"/>
      <c r="H44" s="89"/>
      <c r="I44" s="89"/>
    </row>
  </sheetData>
  <mergeCells count="38">
    <mergeCell ref="B39:I39"/>
    <mergeCell ref="B11:I11"/>
    <mergeCell ref="B42:I42"/>
    <mergeCell ref="B14:I14"/>
    <mergeCell ref="A22:I22"/>
    <mergeCell ref="B23:I23"/>
    <mergeCell ref="A38:I38"/>
    <mergeCell ref="B17:I17"/>
    <mergeCell ref="B13:I13"/>
    <mergeCell ref="B16:I16"/>
    <mergeCell ref="B31:I31"/>
    <mergeCell ref="B27:I27"/>
    <mergeCell ref="A26:I26"/>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33:I33"/>
    <mergeCell ref="B6:I6"/>
    <mergeCell ref="B24:I24"/>
    <mergeCell ref="B20:I20"/>
    <mergeCell ref="A1:I1"/>
    <mergeCell ref="B5:I5"/>
    <mergeCell ref="A2:I2"/>
    <mergeCell ref="A4:I4"/>
    <mergeCell ref="A9:I9"/>
    <mergeCell ref="B7:I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526</v>
      </c>
      <c r="B1" s="89"/>
      <c r="C1" s="89"/>
      <c r="D1" s="89"/>
      <c r="E1" s="89"/>
      <c r="F1" s="89"/>
      <c r="G1" s="89"/>
      <c r="H1" s="89"/>
      <c r="I1" s="89"/>
    </row>
    <row r="2" spans="1:9" x14ac:dyDescent="0.35">
      <c r="A2" s="105" t="s">
        <v>527</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528</v>
      </c>
      <c r="B4" s="101" t="s">
        <v>529</v>
      </c>
      <c r="C4" s="89"/>
      <c r="D4" s="89"/>
      <c r="E4" s="89"/>
      <c r="F4" s="89"/>
      <c r="G4" s="89"/>
      <c r="H4" s="89"/>
      <c r="I4" s="89"/>
    </row>
    <row r="5" spans="1:9" x14ac:dyDescent="0.35">
      <c r="A5" s="1"/>
      <c r="B5" s="1"/>
      <c r="C5" s="1"/>
      <c r="D5" s="1"/>
      <c r="E5" s="1"/>
      <c r="F5" s="1"/>
      <c r="G5" s="1"/>
      <c r="H5" s="1"/>
      <c r="I5" s="1"/>
    </row>
    <row r="6" spans="1:9" ht="28" customHeight="1" x14ac:dyDescent="0.35">
      <c r="A6" s="85" t="s">
        <v>528</v>
      </c>
      <c r="B6" s="101" t="s">
        <v>530</v>
      </c>
      <c r="C6" s="89"/>
      <c r="D6" s="89"/>
      <c r="E6" s="89"/>
      <c r="F6" s="89"/>
      <c r="G6" s="89"/>
      <c r="H6" s="89"/>
      <c r="I6" s="89"/>
    </row>
    <row r="7" spans="1:9" x14ac:dyDescent="0.35">
      <c r="A7" s="1"/>
      <c r="B7" s="1"/>
      <c r="C7" s="1"/>
      <c r="D7" s="1"/>
      <c r="E7" s="1"/>
      <c r="F7" s="1"/>
      <c r="G7" s="1"/>
      <c r="H7" s="1"/>
      <c r="I7" s="1"/>
    </row>
    <row r="8" spans="1:9" ht="28" customHeight="1" x14ac:dyDescent="0.35">
      <c r="A8" s="85" t="s">
        <v>528</v>
      </c>
      <c r="B8" s="101" t="s">
        <v>531</v>
      </c>
      <c r="C8" s="89"/>
      <c r="D8" s="89"/>
      <c r="E8" s="89"/>
      <c r="F8" s="89"/>
      <c r="G8" s="89"/>
      <c r="H8" s="89"/>
      <c r="I8" s="89"/>
    </row>
    <row r="9" spans="1:9" x14ac:dyDescent="0.35">
      <c r="A9" s="1"/>
      <c r="B9" s="1"/>
      <c r="C9" s="1"/>
      <c r="D9" s="1"/>
      <c r="E9" s="1"/>
      <c r="F9" s="1"/>
      <c r="G9" s="1"/>
      <c r="H9" s="1"/>
      <c r="I9" s="1"/>
    </row>
    <row r="10" spans="1:9" ht="18" customHeight="1" x14ac:dyDescent="0.35">
      <c r="A10" s="86" t="s">
        <v>532</v>
      </c>
      <c r="B10" s="101" t="s">
        <v>533</v>
      </c>
      <c r="C10" s="89"/>
      <c r="D10" s="89"/>
      <c r="E10" s="89"/>
      <c r="F10" s="89"/>
      <c r="G10" s="89"/>
      <c r="H10" s="89"/>
      <c r="I10" s="89"/>
    </row>
    <row r="11" spans="1:9" x14ac:dyDescent="0.35">
      <c r="A11" s="1"/>
      <c r="B11" s="1"/>
      <c r="C11" s="1"/>
      <c r="D11" s="1"/>
      <c r="E11" s="1"/>
      <c r="F11" s="1"/>
      <c r="G11" s="1"/>
      <c r="H11" s="1"/>
      <c r="I11" s="1"/>
    </row>
    <row r="12" spans="1:9" ht="42" customHeight="1" x14ac:dyDescent="0.35">
      <c r="A12" s="86" t="s">
        <v>532</v>
      </c>
      <c r="B12" s="101" t="s">
        <v>534</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532</v>
      </c>
      <c r="B14" s="101" t="s">
        <v>535</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532</v>
      </c>
      <c r="B16" s="101" t="s">
        <v>536</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532</v>
      </c>
      <c r="B18" s="101" t="s">
        <v>537</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532</v>
      </c>
      <c r="B20" s="101" t="s">
        <v>538</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539</v>
      </c>
      <c r="B22" s="101" t="s">
        <v>540</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539</v>
      </c>
      <c r="B24" s="101" t="s">
        <v>541</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539</v>
      </c>
      <c r="B26" s="101" t="s">
        <v>542</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539</v>
      </c>
      <c r="B28" s="101" t="s">
        <v>543</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544</v>
      </c>
      <c r="C1" s="1" t="s">
        <v>545</v>
      </c>
      <c r="D1" s="1" t="s">
        <v>546</v>
      </c>
      <c r="E1" s="1" t="s">
        <v>225</v>
      </c>
      <c r="F1" s="1"/>
      <c r="G1" s="1" t="s">
        <v>232</v>
      </c>
      <c r="H1" s="1" t="s">
        <v>547</v>
      </c>
      <c r="I1" s="1" t="s">
        <v>223</v>
      </c>
    </row>
    <row r="2" spans="1:9" x14ac:dyDescent="0.35">
      <c r="A2" s="1" t="s">
        <v>125</v>
      </c>
      <c r="B2" s="1">
        <v>0.2</v>
      </c>
      <c r="C2" s="1">
        <v>0.12</v>
      </c>
      <c r="D2" s="1">
        <v>0.3</v>
      </c>
      <c r="E2" s="1">
        <v>0.85</v>
      </c>
      <c r="F2" s="1"/>
      <c r="G2" s="1" t="s">
        <v>548</v>
      </c>
      <c r="H2" s="1" t="s">
        <v>50</v>
      </c>
      <c r="I2" s="1" t="s">
        <v>130</v>
      </c>
    </row>
    <row r="3" spans="1:9" x14ac:dyDescent="0.35">
      <c r="A3" s="1" t="s">
        <v>313</v>
      </c>
      <c r="B3" s="1">
        <v>0.28000000000000003</v>
      </c>
      <c r="C3" s="1">
        <v>0.2</v>
      </c>
      <c r="D3" s="1">
        <v>0.35</v>
      </c>
      <c r="E3" s="1">
        <v>0.85</v>
      </c>
      <c r="F3" s="1"/>
      <c r="G3" s="1" t="s">
        <v>549</v>
      </c>
      <c r="H3" s="1" t="s">
        <v>550</v>
      </c>
      <c r="I3" s="1" t="s">
        <v>236</v>
      </c>
    </row>
    <row r="4" spans="1:9" x14ac:dyDescent="0.35">
      <c r="A4" s="1" t="s">
        <v>314</v>
      </c>
      <c r="B4" s="1">
        <v>0.05</v>
      </c>
      <c r="C4" s="1">
        <v>0.03</v>
      </c>
      <c r="D4" s="1">
        <v>0.06</v>
      </c>
      <c r="E4" s="1">
        <v>0.87</v>
      </c>
      <c r="F4" s="1"/>
      <c r="G4" s="1" t="s">
        <v>551</v>
      </c>
      <c r="H4" s="1"/>
      <c r="I4" s="1"/>
    </row>
    <row r="5" spans="1:9" x14ac:dyDescent="0.35">
      <c r="A5" s="1" t="s">
        <v>150</v>
      </c>
      <c r="B5" s="1">
        <v>2.5000000000000001E-2</v>
      </c>
      <c r="C5" s="1">
        <v>0.02</v>
      </c>
      <c r="D5" s="1">
        <v>0.03</v>
      </c>
      <c r="E5" s="1">
        <v>0.99</v>
      </c>
      <c r="F5" s="1"/>
      <c r="G5" s="1"/>
      <c r="H5" s="1"/>
      <c r="I5" s="1"/>
    </row>
    <row r="6" spans="1:9" x14ac:dyDescent="0.35">
      <c r="A6" s="1" t="s">
        <v>552</v>
      </c>
      <c r="B6" s="1">
        <v>0.01</v>
      </c>
      <c r="C6" s="1">
        <v>8.0000000000000002E-3</v>
      </c>
      <c r="D6" s="1">
        <v>1.2E-2</v>
      </c>
      <c r="E6" s="1">
        <v>0.98</v>
      </c>
      <c r="F6" s="1"/>
      <c r="G6" s="1"/>
      <c r="H6" s="1"/>
      <c r="I6" s="1"/>
    </row>
    <row r="7" spans="1:9" x14ac:dyDescent="0.35">
      <c r="A7" s="1" t="s">
        <v>553</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95</vt:i4>
      </vt:variant>
    </vt:vector>
  </HeadingPairs>
  <TitlesOfParts>
    <vt:vector size="113" baseType="lpstr">
      <vt:lpstr>Dashboard</vt:lpstr>
      <vt:lpstr>The Scent</vt:lpstr>
      <vt:lpstr>Formula Master</vt:lpstr>
      <vt:lpstr>SAHAR 28% Formula</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2026-07-14T17:56:22Z</dcterms:modified>
</cp:coreProperties>
</file>